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ru\Numeros Motors\PCBA\Should costing\"/>
    </mc:Choice>
  </mc:AlternateContent>
  <xr:revisionPtr revIDLastSave="0" documentId="13_ncr:1_{E4598325-6F2F-4548-A99D-6E052FE02BFA}" xr6:coauthVersionLast="47" xr6:coauthVersionMax="47" xr10:uidLastSave="{00000000-0000-0000-0000-000000000000}"/>
  <bookViews>
    <workbookView xWindow="-110" yWindow="-110" windowWidth="19420" windowHeight="10300" xr2:uid="{1F3B2470-1C0E-4AFE-887B-C31E723CB746}"/>
  </bookViews>
  <sheets>
    <sheet name="Cost Summar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_d1" hidden="1">{#N/A,#N/A,FALSE,"Sales"}</definedName>
    <definedName name="_______d116" hidden="1">{#N/A,#N/A,FALSE,"Sales"}</definedName>
    <definedName name="_______d16" hidden="1">{"Annual",#N/A,FALSE,"Sales &amp; Market";"Quarterly",#N/A,FALSE,"Sales &amp; Market"}</definedName>
    <definedName name="_______d2" hidden="1">{#N/A,#N/A,FALSE,"Sales"}</definedName>
    <definedName name="_______d216" hidden="1">{#N/A,#N/A,FALSE,"Sales"}</definedName>
    <definedName name="_______d3" hidden="1">{#N/A,#N/A,FALSE,"Sales"}</definedName>
    <definedName name="_______dsa2" hidden="1">{"'B-S Accounts Translation'!$A$1:$G$190"}</definedName>
    <definedName name="_______fff1" hidden="1">{"Annual",#N/A,FALSE,"Sales &amp; Market";"Quarterly",#N/A,FALSE,"Sales &amp; Market"}</definedName>
    <definedName name="_______gc1" hidden="1">{"Annual",#N/A,FALSE,"Sales &amp; Market";"Quarterly",#N/A,FALSE,"Sales &amp; Market"}</definedName>
    <definedName name="_______ok1" hidden="1">{"Annual",#N/A,FALSE,"Sales &amp; Market";"Quarterly",#N/A,FALSE,"Sales &amp; Market"}</definedName>
    <definedName name="_______q1" hidden="1">{"Annual",#N/A,FALSE,"Sales &amp; Market";"Quarterly",#N/A,FALSE,"Sales &amp; Market"}</definedName>
    <definedName name="_______q3" hidden="1">{"Annual",#N/A,FALSE,"Sales &amp; Market";"Quarterly",#N/A,FALSE,"Sales &amp; Market"}</definedName>
    <definedName name="_______q4" hidden="1">{"Annual",#N/A,FALSE,"Sales &amp; Market";"Quarterly",#N/A,FALSE,"Sales &amp; Market"}</definedName>
    <definedName name="_______q5" hidden="1">{"'B-S Accounts Translation'!$A$1:$G$190"}</definedName>
    <definedName name="______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_tay1" hidden="1">{"Annual",#N/A,FALSE,"Sales &amp; Market";"Quarterly",#N/A,FALSE,"Sales &amp; Market"}</definedName>
    <definedName name="_______tay2" hidden="1">{"Annual",#N/A,FALSE,"Sales &amp; Market";"Quarterly",#N/A,FALSE,"Sales &amp; Market"}</definedName>
    <definedName name="_______tay3" hidden="1">{"Annual",#N/A,FALSE,"Sales &amp; Market";"Quarterly",#N/A,FALSE,"Sales &amp; Market"}</definedName>
    <definedName name="_______tay5" hidden="1">{#N/A,#N/A,FALSE,"Sales"}</definedName>
    <definedName name="_______w2" hidden="1">{#N/A,#N/A,FALSE,"Sales"}</definedName>
    <definedName name="______d1" hidden="1">{#N/A,#N/A,FALSE,"Sales"}</definedName>
    <definedName name="______d116" hidden="1">{#N/A,#N/A,FALSE,"Sales"}</definedName>
    <definedName name="______d16" hidden="1">{"Annual",#N/A,FALSE,"Sales &amp; Market";"Quarterly",#N/A,FALSE,"Sales &amp; Market"}</definedName>
    <definedName name="______d2" hidden="1">{#N/A,#N/A,FALSE,"Sales"}</definedName>
    <definedName name="______d216" hidden="1">{#N/A,#N/A,FALSE,"Sales"}</definedName>
    <definedName name="______dsa2" hidden="1">{"'B-S Accounts Translation'!$A$1:$G$190"}</definedName>
    <definedName name="______fff1" hidden="1">{"Annual",#N/A,FALSE,"Sales &amp; Market";"Quarterly",#N/A,FALSE,"Sales &amp; Market"}</definedName>
    <definedName name="______gc1" hidden="1">{"Annual",#N/A,FALSE,"Sales &amp; Market";"Quarterly",#N/A,FALSE,"Sales &amp; Market"}</definedName>
    <definedName name="______ok1" hidden="1">{"Annual",#N/A,FALSE,"Sales &amp; Market";"Quarterly",#N/A,FALSE,"Sales &amp; Market"}</definedName>
    <definedName name="______q1" hidden="1">{"Annual",#N/A,FALSE,"Sales &amp; Market";"Quarterly",#N/A,FALSE,"Sales &amp; Market"}</definedName>
    <definedName name="______q3" hidden="1">{"Annual",#N/A,FALSE,"Sales &amp; Market";"Quarterly",#N/A,FALSE,"Sales &amp; Market"}</definedName>
    <definedName name="______q4" hidden="1">{"Annual",#N/A,FALSE,"Sales &amp; Market";"Quarterly",#N/A,FALSE,"Sales &amp; Market"}</definedName>
    <definedName name="______q5" hidden="1">{"'B-S Accounts Translation'!$A$1:$G$190"}</definedName>
    <definedName name="_____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_tay1" hidden="1">{"Annual",#N/A,FALSE,"Sales &amp; Market";"Quarterly",#N/A,FALSE,"Sales &amp; Market"}</definedName>
    <definedName name="______tay2" hidden="1">{"Annual",#N/A,FALSE,"Sales &amp; Market";"Quarterly",#N/A,FALSE,"Sales &amp; Market"}</definedName>
    <definedName name="______tay3" hidden="1">{"Annual",#N/A,FALSE,"Sales &amp; Market";"Quarterly",#N/A,FALSE,"Sales &amp; Market"}</definedName>
    <definedName name="______tay5" hidden="1">{#N/A,#N/A,FALSE,"Sales"}</definedName>
    <definedName name="______w2" hidden="1">{#N/A,#N/A,FALSE,"Sales"}</definedName>
    <definedName name="_____d1" hidden="1">{#N/A,#N/A,FALSE,"Sales"}</definedName>
    <definedName name="_____d116" hidden="1">{#N/A,#N/A,FALSE,"Sales"}</definedName>
    <definedName name="_____d16" hidden="1">{"Annual",#N/A,FALSE,"Sales &amp; Market";"Quarterly",#N/A,FALSE,"Sales &amp; Market"}</definedName>
    <definedName name="_____d2" hidden="1">{#N/A,#N/A,FALSE,"Sales"}</definedName>
    <definedName name="_____d216" hidden="1">{#N/A,#N/A,FALSE,"Sales"}</definedName>
    <definedName name="_____dsa2" hidden="1">{"'B-S Accounts Translation'!$A$1:$G$190"}</definedName>
    <definedName name="_____fff1" hidden="1">{"Annual",#N/A,FALSE,"Sales &amp; Market";"Quarterly",#N/A,FALSE,"Sales &amp; Market"}</definedName>
    <definedName name="_____gc1" hidden="1">{"Annual",#N/A,FALSE,"Sales &amp; Market";"Quarterly",#N/A,FALSE,"Sales &amp; Market"}</definedName>
    <definedName name="_____ok1" hidden="1">{"Annual",#N/A,FALSE,"Sales &amp; Market";"Quarterly",#N/A,FALSE,"Sales &amp; Market"}</definedName>
    <definedName name="_____q1" hidden="1">{"Annual",#N/A,FALSE,"Sales &amp; Market";"Quarterly",#N/A,FALSE,"Sales &amp; Market"}</definedName>
    <definedName name="_____q3" hidden="1">{"Annual",#N/A,FALSE,"Sales &amp; Market";"Quarterly",#N/A,FALSE,"Sales &amp; Market"}</definedName>
    <definedName name="_____q4" hidden="1">{"Annual",#N/A,FALSE,"Sales &amp; Market";"Quarterly",#N/A,FALSE,"Sales &amp; Market"}</definedName>
    <definedName name="_____q5" hidden="1">{"'B-S Accounts Translation'!$A$1:$G$190"}</definedName>
    <definedName name="____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_tay1" hidden="1">{"Annual",#N/A,FALSE,"Sales &amp; Market";"Quarterly",#N/A,FALSE,"Sales &amp; Market"}</definedName>
    <definedName name="_____tay2" hidden="1">{"Annual",#N/A,FALSE,"Sales &amp; Market";"Quarterly",#N/A,FALSE,"Sales &amp; Market"}</definedName>
    <definedName name="_____tay3" hidden="1">{"Annual",#N/A,FALSE,"Sales &amp; Market";"Quarterly",#N/A,FALSE,"Sales &amp; Market"}</definedName>
    <definedName name="_____tay5" hidden="1">{#N/A,#N/A,FALSE,"Sales"}</definedName>
    <definedName name="_____w2" hidden="1">{#N/A,#N/A,FALSE,"Sales"}</definedName>
    <definedName name="____d1" hidden="1">{#N/A,#N/A,FALSE,"Sales"}</definedName>
    <definedName name="____d116" hidden="1">{#N/A,#N/A,FALSE,"Sales"}</definedName>
    <definedName name="____d16" hidden="1">{"Annual",#N/A,FALSE,"Sales &amp; Market";"Quarterly",#N/A,FALSE,"Sales &amp; Market"}</definedName>
    <definedName name="____d2" hidden="1">{#N/A,#N/A,FALSE,"Sales"}</definedName>
    <definedName name="____d216" hidden="1">{#N/A,#N/A,FALSE,"Sales"}</definedName>
    <definedName name="____dsa2" hidden="1">{"'B-S Accounts Translation'!$A$1:$G$190"}</definedName>
    <definedName name="____fff1" hidden="1">{"Annual",#N/A,FALSE,"Sales &amp; Market";"Quarterly",#N/A,FALSE,"Sales &amp; Market"}</definedName>
    <definedName name="____gc1" hidden="1">{"Annual",#N/A,FALSE,"Sales &amp; Market";"Quarterly",#N/A,FALSE,"Sales &amp; Market"}</definedName>
    <definedName name="____ok1" hidden="1">{"Annual",#N/A,FALSE,"Sales &amp; Market";"Quarterly",#N/A,FALSE,"Sales &amp; Market"}</definedName>
    <definedName name="____q1" hidden="1">{"Annual",#N/A,FALSE,"Sales &amp; Market";"Quarterly",#N/A,FALSE,"Sales &amp; Market"}</definedName>
    <definedName name="____q3" hidden="1">{"Annual",#N/A,FALSE,"Sales &amp; Market";"Quarterly",#N/A,FALSE,"Sales &amp; Market"}</definedName>
    <definedName name="____q4" hidden="1">{"Annual",#N/A,FALSE,"Sales &amp; Market";"Quarterly",#N/A,FALSE,"Sales &amp; Market"}</definedName>
    <definedName name="____q5" hidden="1">{"'B-S Accounts Translation'!$A$1:$G$190"}</definedName>
    <definedName name="___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_tay1" hidden="1">{"Annual",#N/A,FALSE,"Sales &amp; Market";"Quarterly",#N/A,FALSE,"Sales &amp; Market"}</definedName>
    <definedName name="____tay2" hidden="1">{"Annual",#N/A,FALSE,"Sales &amp; Market";"Quarterly",#N/A,FALSE,"Sales &amp; Market"}</definedName>
    <definedName name="____tay3" hidden="1">{"Annual",#N/A,FALSE,"Sales &amp; Market";"Quarterly",#N/A,FALSE,"Sales &amp; Market"}</definedName>
    <definedName name="____tay5" hidden="1">{#N/A,#N/A,FALSE,"Sales"}</definedName>
    <definedName name="____w2" hidden="1">{#N/A,#N/A,FALSE,"Sales"}</definedName>
    <definedName name="___d1" hidden="1">{#N/A,#N/A,FALSE,"Sales"}</definedName>
    <definedName name="___d116" hidden="1">{#N/A,#N/A,FALSE,"Sales"}</definedName>
    <definedName name="___d16" hidden="1">{"Annual",#N/A,FALSE,"Sales &amp; Market";"Quarterly",#N/A,FALSE,"Sales &amp; Market"}</definedName>
    <definedName name="___d2" hidden="1">{#N/A,#N/A,FALSE,"Sales"}</definedName>
    <definedName name="___d216" hidden="1">{#N/A,#N/A,FALSE,"Sales"}</definedName>
    <definedName name="___dsa2" hidden="1">{"'B-S Accounts Translation'!$A$1:$G$190"}</definedName>
    <definedName name="___fff1" hidden="1">{"Annual",#N/A,FALSE,"Sales &amp; Market";"Quarterly",#N/A,FALSE,"Sales &amp; Market"}</definedName>
    <definedName name="___gc1" hidden="1">{"Annual",#N/A,FALSE,"Sales &amp; Market";"Quarterly",#N/A,FALSE,"Sales &amp; Market"}</definedName>
    <definedName name="___ok1" hidden="1">{"Annual",#N/A,FALSE,"Sales &amp; Market";"Quarterly",#N/A,FALSE,"Sales &amp; Market"}</definedName>
    <definedName name="___q1" hidden="1">{"Annual",#N/A,FALSE,"Sales &amp; Market";"Quarterly",#N/A,FALSE,"Sales &amp; Market"}</definedName>
    <definedName name="___q3" hidden="1">{"Annual",#N/A,FALSE,"Sales &amp; Market";"Quarterly",#N/A,FALSE,"Sales &amp; Market"}</definedName>
    <definedName name="___q4" hidden="1">{"Annual",#N/A,FALSE,"Sales &amp; Market";"Quarterly",#N/A,FALSE,"Sales &amp; Market"}</definedName>
    <definedName name="___q5" hidden="1">{"'B-S Accounts Translation'!$A$1:$G$190"}</definedName>
    <definedName name="__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ay1" hidden="1">{"Annual",#N/A,FALSE,"Sales &amp; Market";"Quarterly",#N/A,FALSE,"Sales &amp; Market"}</definedName>
    <definedName name="___tay2" hidden="1">{"Annual",#N/A,FALSE,"Sales &amp; Market";"Quarterly",#N/A,FALSE,"Sales &amp; Market"}</definedName>
    <definedName name="___tay3" hidden="1">{"Annual",#N/A,FALSE,"Sales &amp; Market";"Quarterly",#N/A,FALSE,"Sales &amp; Market"}</definedName>
    <definedName name="___tay5" hidden="1">{#N/A,#N/A,FALSE,"Sales"}</definedName>
    <definedName name="___w2" hidden="1">{#N/A,#N/A,FALSE,"Sales"}</definedName>
    <definedName name="__d1" hidden="1">{#N/A,#N/A,FALSE,"Sales"}</definedName>
    <definedName name="__d116" hidden="1">{#N/A,#N/A,FALSE,"Sales"}</definedName>
    <definedName name="__d16" hidden="1">{"Annual",#N/A,FALSE,"Sales &amp; Market";"Quarterly",#N/A,FALSE,"Sales &amp; Market"}</definedName>
    <definedName name="__d2" hidden="1">{#N/A,#N/A,FALSE,"Sales"}</definedName>
    <definedName name="__d216" hidden="1">{#N/A,#N/A,FALSE,"Sales"}</definedName>
    <definedName name="__dsa2" hidden="1">{"'B-S Accounts Translation'!$A$1:$G$190"}</definedName>
    <definedName name="__fff1" hidden="1">{"Annual",#N/A,FALSE,"Sales &amp; Market";"Quarterly",#N/A,FALSE,"Sales &amp; Market"}</definedName>
    <definedName name="__gc1" hidden="1">{"Annual",#N/A,FALSE,"Sales &amp; Market";"Quarterly",#N/A,FALSE,"Sales &amp; Market"}</definedName>
    <definedName name="__ok1" hidden="1">{"Annual",#N/A,FALSE,"Sales &amp; Market";"Quarterly",#N/A,FALSE,"Sales &amp; Market"}</definedName>
    <definedName name="__q1" hidden="1">{"Annual",#N/A,FALSE,"Sales &amp; Market";"Quarterly",#N/A,FALSE,"Sales &amp; Market"}</definedName>
    <definedName name="__q3" hidden="1">{"Annual",#N/A,FALSE,"Sales &amp; Market";"Quarterly",#N/A,FALSE,"Sales &amp; Market"}</definedName>
    <definedName name="__q4" hidden="1">{"Annual",#N/A,FALSE,"Sales &amp; Market";"Quarterly",#N/A,FALSE,"Sales &amp; Market"}</definedName>
    <definedName name="__q5" hidden="1">{"'B-S Accounts Translation'!$A$1:$G$190"}</definedName>
    <definedName name="_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tay1" hidden="1">{"Annual",#N/A,FALSE,"Sales &amp; Market";"Quarterly",#N/A,FALSE,"Sales &amp; Market"}</definedName>
    <definedName name="__tay2" hidden="1">{"Annual",#N/A,FALSE,"Sales &amp; Market";"Quarterly",#N/A,FALSE,"Sales &amp; Market"}</definedName>
    <definedName name="__tay3" hidden="1">{"Annual",#N/A,FALSE,"Sales &amp; Market";"Quarterly",#N/A,FALSE,"Sales &amp; Market"}</definedName>
    <definedName name="__tay5" hidden="1">{#N/A,#N/A,FALSE,"Sales"}</definedName>
    <definedName name="__w2" hidden="1">{#N/A,#N/A,FALSE,"Sales"}</definedName>
    <definedName name="_d1" hidden="1">{#N/A,#N/A,FALSE,"Sales"}</definedName>
    <definedName name="_d116" hidden="1">{#N/A,#N/A,FALSE,"Sales"}</definedName>
    <definedName name="_d16" hidden="1">{"Annual",#N/A,FALSE,"Sales &amp; Market";"Quarterly",#N/A,FALSE,"Sales &amp; Market"}</definedName>
    <definedName name="_d2" hidden="1">{#N/A,#N/A,FALSE,"Sales"}</definedName>
    <definedName name="_d216" hidden="1">{#N/A,#N/A,FALSE,"Sales"}</definedName>
    <definedName name="_dsa2" hidden="1">{"'B-S Accounts Translation'!$A$1:$G$190"}</definedName>
    <definedName name="_fff1" hidden="1">{"Annual",#N/A,FALSE,"Sales &amp; Market";"Quarterly",#N/A,FALSE,"Sales &amp; Market"}</definedName>
    <definedName name="_ok1" hidden="1">{"Annual",#N/A,FALSE,"Sales &amp; Market";"Quarterly",#N/A,FALSE,"Sales &amp; Market"}</definedName>
    <definedName name="_Order1" hidden="1">0</definedName>
    <definedName name="_Order2" hidden="1">0</definedName>
    <definedName name="_q1" hidden="1">{"Annual",#N/A,FALSE,"Sales &amp; Market";"Quarterly",#N/A,FALSE,"Sales &amp; Market"}</definedName>
    <definedName name="_q3" hidden="1">{"Annual",#N/A,FALSE,"Sales &amp; Market";"Quarterly",#N/A,FALSE,"Sales &amp; Market"}</definedName>
    <definedName name="_q4" hidden="1">{"Annual",#N/A,FALSE,"Sales &amp; Market";"Quarterly",#N/A,FALSE,"Sales &amp; Market"}</definedName>
    <definedName name="_q5" hidden="1">{"'B-S Accounts Translation'!$A$1:$G$190"}</definedName>
    <definedName name="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y1" hidden="1">{"Annual",#N/A,FALSE,"Sales &amp; Market";"Quarterly",#N/A,FALSE,"Sales &amp; Market"}</definedName>
    <definedName name="_tay2" hidden="1">{"Annual",#N/A,FALSE,"Sales &amp; Market";"Quarterly",#N/A,FALSE,"Sales &amp; Market"}</definedName>
    <definedName name="_tay3" hidden="1">{"Annual",#N/A,FALSE,"Sales &amp; Market";"Quarterly",#N/A,FALSE,"Sales &amp; Market"}</definedName>
    <definedName name="_tay5" hidden="1">{#N/A,#N/A,FALSE,"Sales"}</definedName>
    <definedName name="_w2" hidden="1">{#N/A,#N/A,FALSE,"Sales"}</definedName>
    <definedName name="a">'[1]Process Plan'!$B$5:$AD$250</definedName>
    <definedName name="ACCDEPR">[2]DataYTD!$B$166</definedName>
    <definedName name="ACCRCOMP">[2]DataYTD!$B$316</definedName>
    <definedName name="ACCRINCTX">[2]DataYTD!$B$335</definedName>
    <definedName name="ACCRPAY">[2]DataYTD!$B$232</definedName>
    <definedName name="ACCRPRLIAB">[2]DataYTD!$B$308</definedName>
    <definedName name="ACCRPSLIAB">[2]DataYTD!$B$297</definedName>
    <definedName name="ACCRTXLIAB">[2]DataYTD!$B$324</definedName>
    <definedName name="ADSLSRECBLE">[2]DataYTD!$B$49</definedName>
    <definedName name="AP">[2]DataYTD!$B$223</definedName>
    <definedName name="as">#REF!</definedName>
    <definedName name="Blanking">#REF!</definedName>
    <definedName name="BOM">#REF!</definedName>
    <definedName name="BURDEN_DETAIL">[3]StandardRates!$B$10:$AC$194</definedName>
    <definedName name="CASHEQUIV">[2]DataYTD!$B$30</definedName>
    <definedName name="CASTING_MC_NAME">[3]StandardRates!$B$124:$B$154</definedName>
    <definedName name="Categery">'[4]BOM Cost'!$A$201:$A$218</definedName>
    <definedName name="Cavity_No">[5]Cylinder!$N$287:$N$296</definedName>
    <definedName name="Cleaning\Washing">#REF!</definedName>
    <definedName name="Cleaniong\washing">#REF!</definedName>
    <definedName name="CommentLine">[6]Notes!$C$8</definedName>
    <definedName name="COMMODITY">#REF!</definedName>
    <definedName name="copy" hidden="1">{#N/A,#N/A,FALSE,"Sales"}</definedName>
    <definedName name="DBTACCTSADV">[2]DataYTD!$B$54</definedName>
    <definedName name="dddf">#REF!</definedName>
    <definedName name="DEFREV">[2]DataYTD!$B$356</definedName>
    <definedName name="DEFRVLT">[2]DataYTD!$B$365</definedName>
    <definedName name="DESIGN1">#REF!</definedName>
    <definedName name="DESIGN2">#REF!</definedName>
    <definedName name="DESIGNERS">#REF!</definedName>
    <definedName name="EERECV">[2]DataYTD!$B$92</definedName>
    <definedName name="EEWITH">[2]DataYTD!$B$242</definedName>
    <definedName name="Extrusion_MC_Name">[3]StandardRates!$B$87:$B$99</definedName>
    <definedName name="Forging">#REF!</definedName>
    <definedName name="Forming_Tool">#REF!</definedName>
    <definedName name="HeaderInfo">#REF!,#REF!,#REF!,#REF!,#REF!,#REF!,#REF!</definedName>
    <definedName name="HEADINGS">[3]StandardRates!$B$8:$AC$8</definedName>
    <definedName name="heat">#REF!</definedName>
    <definedName name="heat_treatment">#REF!</definedName>
    <definedName name="HTML_CodePage" hidden="1">1252</definedName>
    <definedName name="HTML_Description" hidden="1">""</definedName>
    <definedName name="HTML_Email" hidden="1">""</definedName>
    <definedName name="HTML_Header" hidden="1">"B/S Accounts Translation - Version 2.1"</definedName>
    <definedName name="HTML_LastUpdate" hidden="1">"12/09/1998"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"F:\WEB\CFI\1298\bstrans.htm"</definedName>
    <definedName name="HTML_Title" hidden="1">"B/S Accounts Translation - Version 2.1"</definedName>
    <definedName name="HTML1_1" hidden="1">"'[B-STRAN.XLS]Sheet 1'!$A$1:$F$176"</definedName>
    <definedName name="HTML1_10" hidden="1">""</definedName>
    <definedName name="HTML1_11" hidden="1">-4146</definedName>
    <definedName name="HTML1_12" hidden="1">"F:\WEB\CORPORAT\CFI\b-stran.htm"</definedName>
    <definedName name="HTML1_2" hidden="1">1</definedName>
    <definedName name="HTML1_3" hidden="1">"B-S Accounts Translation"</definedName>
    <definedName name="HTML1_4" hidden="1">"B-S Accounts Translation"</definedName>
    <definedName name="HTML1_5" hidden="1">""</definedName>
    <definedName name="HTML1_6" hidden="1">1</definedName>
    <definedName name="HTML1_7" hidden="1">1</definedName>
    <definedName name="HTML1_8" hidden="1">"10/28/97"</definedName>
    <definedName name="HTML1_9" hidden="1">""</definedName>
    <definedName name="HTML2_1" hidden="1">"'[B-STRAN.XLS]B-S Accounts Translation'!$A$1:$G$180"</definedName>
    <definedName name="HTML2_10" hidden="1">""</definedName>
    <definedName name="HTML2_11" hidden="1">1</definedName>
    <definedName name="HTML2_12" hidden="1">"F:\WEB\CORPORAT\CFI\1297\b-stran.htm"</definedName>
    <definedName name="HTML2_2" hidden="1">1</definedName>
    <definedName name="HTML2_3" hidden="1">"B/S Accounts Translation"</definedName>
    <definedName name="HTML2_4" hidden="1">"B/S Accounts Translation"</definedName>
    <definedName name="HTML2_5" hidden="1">""</definedName>
    <definedName name="HTML2_6" hidden="1">1</definedName>
    <definedName name="HTML2_7" hidden="1">1</definedName>
    <definedName name="HTML2_8" hidden="1">"12/18/97"</definedName>
    <definedName name="HTML2_9" hidden="1">""</definedName>
    <definedName name="HTMLCount" hidden="1">2</definedName>
    <definedName name="ICORECV">[2]DataYTD!$B$87</definedName>
    <definedName name="INDEX">[7]INDEX!$B$42</definedName>
    <definedName name="Induction">#REF!</definedName>
    <definedName name="Inspection">#REF!</definedName>
    <definedName name="INVENT">[2]DataYTD!$B$99</definedName>
    <definedName name="Labor_Rate">[3]StandardRates!$C$2:$AA$5</definedName>
    <definedName name="labour">#REF!</definedName>
    <definedName name="LTRECV">[2]DataYTD!$B$192</definedName>
    <definedName name="Mach.">#REF!</definedName>
    <definedName name="Machine">#REF!</definedName>
    <definedName name="machines">#REF!</definedName>
    <definedName name="Machining_Dt">#REF!</definedName>
    <definedName name="MACHINING_MC_NAME">[3]StandardRates!$B$101:$B$122</definedName>
    <definedName name="MachRates2">'[8]Should Cost'!#REF!</definedName>
    <definedName name="MainArea1">#REF!,#REF!,#REF!,#REF!,#REF!,#REF!,#REF!,#REF!</definedName>
    <definedName name="MainArea3">#REF!,#REF!,#REF!,#REF!</definedName>
    <definedName name="mat.form">[5]Cylinder!$C$339:$C$342</definedName>
    <definedName name="MATL">#REF!</definedName>
    <definedName name="MIM">[9]Notes!$D$11</definedName>
    <definedName name="min">#REF!</definedName>
    <definedName name="No">#REF!</definedName>
    <definedName name="No.">#REF!</definedName>
    <definedName name="No.of_Labour">[5]Cylinder!$I$287:$I$299</definedName>
    <definedName name="no_boards_perPanel">[10]QuoteSummary!$J$14</definedName>
    <definedName name="NTPAY">[2]DataYTD!$B$226</definedName>
    <definedName name="NTRCVCURR">[2]DataYTD!$B$68</definedName>
    <definedName name="Number">#REF!</definedName>
    <definedName name="Ope_Skill_level">[3]StandardRates!$C$3:$C$5</definedName>
    <definedName name="OPTexponents">"0 3 6"</definedName>
    <definedName name="OPTvec">"1 1 1 3 0 0 0 0 0 0 0 8 0 1 0 30 1 1 0 0 1 0 1 0 1 0 0 0 0 0 1 0 100 300 0 0 0 0 13.78125 0 0 0 0"</definedName>
    <definedName name="OTHRECBL">[2]DataYTD!$B$66</definedName>
    <definedName name="PartNumber">#REF!</definedName>
    <definedName name="percent">#REF!</definedName>
    <definedName name="Percent_forg">#REF!</definedName>
    <definedName name="Percentage">[5]Cylinder!$L$287:$L$299</definedName>
    <definedName name="percents">[5]Cylinder!#REF!</definedName>
    <definedName name="Period">[11]TOTAL!$C$3</definedName>
    <definedName name="PIC">[2]DataYTD!$B$417</definedName>
    <definedName name="PLASTIC_MC_Det">[3]StandardRates!$B$11:$C$38</definedName>
    <definedName name="Plastic1234">#REF!</definedName>
    <definedName name="Post_stamping">#REF!</definedName>
    <definedName name="PPDS">[2]DataYTD!$B$109</definedName>
    <definedName name="_xlnm.Print_Area" localSheetId="0">'Cost Summary'!$A$1:$I$17</definedName>
    <definedName name="_xlnm.Print_Area">#REF!</definedName>
    <definedName name="PRINT_AREA_MI">#REF!</definedName>
    <definedName name="Process">#REF!</definedName>
    <definedName name="Process_cas">#REF!</definedName>
    <definedName name="Process_Dt">#REF!</definedName>
    <definedName name="Process_For">#REF!</definedName>
    <definedName name="Process_Forging">#REF!</definedName>
    <definedName name="Process_Mach">#REF!</definedName>
    <definedName name="processes">#REF!</definedName>
    <definedName name="PROJECT">#REF!</definedName>
    <definedName name="Project_Name">'[12]Project Definition Form Summary'!$D$9</definedName>
    <definedName name="PROPIS">[2]DataYTD!$B$141</definedName>
    <definedName name="PROPNIS">[2]DataYTD!$B$147</definedName>
    <definedName name="PUC">[2]DataYTD!$B$175</definedName>
    <definedName name="qa">#REF!</definedName>
    <definedName name="RateArea">#REF!,#REF!,#REF!,#REF!,#REF!,#REF!,#REF!,#REF!</definedName>
    <definedName name="REGIONS">[3]StandardRates!$D$2:$AA$2</definedName>
    <definedName name="RETEARNS">[2]DataYTD!$B$423</definedName>
    <definedName name="rob">[13]Notes!$C$8</definedName>
    <definedName name="rust">#REF!</definedName>
    <definedName name="Sequence">[5]Cylinder!$G$287:$G$306</definedName>
    <definedName name="Sheet_metal_MC_Name">[3]StandardRates!$B$40:$B$85</definedName>
    <definedName name="spru">#REF!</definedName>
    <definedName name="stage_tool">#REF!</definedName>
    <definedName name="Stamping_Press">#REF!</definedName>
    <definedName name="Sub_Areas">#REF!,#REF!,#REF!</definedName>
    <definedName name="SUBRECBL">[2]DataYTD!$B$41</definedName>
    <definedName name="system">#REF!</definedName>
    <definedName name="Teardowbn_1" hidden="1">{#N/A,#N/A,FALSE,"Sales"}</definedName>
    <definedName name="Transfer_tool">#REF!</definedName>
    <definedName name="TREASTK">[2]DataYTD!$B$419</definedName>
    <definedName name="Trim">#REF!</definedName>
    <definedName name="TUBE_MC_NAME">[3]StandardRates!$B$156:$B$175</definedName>
    <definedName name="TXASSTS">[2]DataYTD!$B$117</definedName>
    <definedName name="weightOfCasting">'[14]Variable Sheet'!$P$3:$P$4</definedName>
    <definedName name="welding\drilling">#REF!</definedName>
    <definedName name="XLOPTvec">"12 14 3 125 1 0 1 1 1 1 1 2 0 0 0 0 0 0 0 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1" i="1" l="1"/>
  <c r="C12" i="1"/>
  <c r="C14" i="1"/>
  <c r="C15" i="1"/>
  <c r="M25" i="1"/>
  <c r="C5" i="1"/>
  <c r="C16" i="1" l="1"/>
  <c r="M26" i="1"/>
</calcChain>
</file>

<file path=xl/sharedStrings.xml><?xml version="1.0" encoding="utf-8"?>
<sst xmlns="http://schemas.openxmlformats.org/spreadsheetml/2006/main" count="30" uniqueCount="23">
  <si>
    <t xml:space="preserve">                                  Should Costing Report (Wire Harness)</t>
  </si>
  <si>
    <t>Product Name</t>
  </si>
  <si>
    <t>Annual Quantity</t>
  </si>
  <si>
    <t>Batch</t>
  </si>
  <si>
    <t>Monthly</t>
  </si>
  <si>
    <t>Batch Qty</t>
  </si>
  <si>
    <t>Region</t>
  </si>
  <si>
    <t>COSTING FACTORS</t>
  </si>
  <si>
    <t>UNITS</t>
  </si>
  <si>
    <t>COST PER UNIT</t>
  </si>
  <si>
    <t>Material Cost</t>
  </si>
  <si>
    <t>Process Cost</t>
  </si>
  <si>
    <t>Ex Works Cost</t>
  </si>
  <si>
    <t>DTPL</t>
  </si>
  <si>
    <t>Modine GCA</t>
  </si>
  <si>
    <t>INR</t>
  </si>
  <si>
    <t>SG&amp;A Cost (5% of BOM+Process)</t>
  </si>
  <si>
    <t>Rejection (1% of BOM Cost)</t>
  </si>
  <si>
    <t xml:space="preserve">Margin (10%) </t>
  </si>
  <si>
    <t>ICC(1.5% of Mat+Process)</t>
  </si>
  <si>
    <t>DC Convertor Wire Harness</t>
  </si>
  <si>
    <t>India</t>
  </si>
  <si>
    <t>Packing Cost-1%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</si>
</sst>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indexed="8"/>
      <name val="Calibri"/>
      <family val="2"/>
    </font>
    <font>
      <b/>
      <sz val="12"/>
      <color rgb="FF0066CC"/>
      <name val="Rockwell"/>
      <family val="1"/>
    </font>
    <font>
      <sz val="12"/>
      <color theme="1"/>
      <name val="Rockwell"/>
      <family val="1"/>
    </font>
    <font>
      <b/>
      <sz val="12"/>
      <name val="Rockwell"/>
      <family val="1"/>
    </font>
    <font>
      <sz val="12"/>
      <color rgb="FF000000"/>
      <name val="Rockwell"/>
      <family val="1"/>
    </font>
    <font>
      <b/>
      <sz val="12"/>
      <color theme="1"/>
      <name val="Rockwell"/>
      <family val="1"/>
    </font>
    <font>
      <b/>
      <sz val="12"/>
      <color rgb="FF000000"/>
      <name val="Rockwell"/>
      <family val="1"/>
    </font>
    <font>
      <b/>
      <sz val="12"/>
      <color theme="0"/>
      <name val="Rockwell"/>
      <family val="1"/>
    </font>
    <font>
      <sz val="12"/>
      <color theme="0"/>
      <name val="Rockwell"/>
      <family val="1"/>
    </font>
  </fonts>
  <fills count="7">
    <fill>
      <patternFill patternType="none"/>
    </fill>
    <fill>
      <patternFill patternType="gray125"/>
    </fill>
    <fill>
      <patternFill patternType="solid">
        <fgColor rgb="FF8DB4E2"/>
        <bgColor rgb="FF000000"/>
      </patternFill>
    </fill>
    <fill>
      <gradientFill degree="90">
        <stop position="0">
          <color theme="0"/>
        </stop>
        <stop position="1">
          <color theme="5" tint="0.59999389629810485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patternFill patternType="solid">
        <fgColor rgb="FF92D050"/>
        <bgColor auto="1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</cellStyleXfs>
  <cellXfs count="43">
    <xf numFmtId="0" fontId="0" fillId="0" borderId="0" xfId="0"/>
    <xf numFmtId="0" fontId="5" fillId="0" borderId="0" xfId="0" applyFont="1"/>
    <xf numFmtId="0" fontId="6" fillId="2" borderId="4" xfId="3" applyFont="1" applyFill="1" applyBorder="1" applyAlignment="1">
      <alignment horizontal="left" vertical="center"/>
    </xf>
    <xf numFmtId="0" fontId="5" fillId="0" borderId="4" xfId="0" applyFont="1" applyBorder="1"/>
    <xf numFmtId="0" fontId="5" fillId="0" borderId="5" xfId="0" applyFont="1" applyBorder="1"/>
    <xf numFmtId="0" fontId="6" fillId="2" borderId="1" xfId="3" applyFont="1" applyFill="1" applyBorder="1" applyAlignment="1">
      <alignment horizontal="left" vertical="center"/>
    </xf>
    <xf numFmtId="0" fontId="6" fillId="2" borderId="1" xfId="3" applyFont="1" applyFill="1" applyBorder="1" applyAlignment="1">
      <alignment vertical="center"/>
    </xf>
    <xf numFmtId="0" fontId="6" fillId="2" borderId="3" xfId="3" applyFont="1" applyFill="1" applyBorder="1" applyAlignment="1">
      <alignment vertical="center"/>
    </xf>
    <xf numFmtId="0" fontId="6" fillId="2" borderId="6" xfId="3" applyFont="1" applyFill="1" applyBorder="1" applyAlignment="1">
      <alignment horizontal="left" vertical="center"/>
    </xf>
    <xf numFmtId="0" fontId="6" fillId="2" borderId="7" xfId="3" applyFont="1" applyFill="1" applyBorder="1" applyAlignment="1">
      <alignment horizontal="right" vertical="center"/>
    </xf>
    <xf numFmtId="0" fontId="6" fillId="2" borderId="1" xfId="3" applyFont="1" applyFill="1" applyBorder="1" applyAlignment="1">
      <alignment horizontal="right" vertical="center"/>
    </xf>
    <xf numFmtId="0" fontId="6" fillId="2" borderId="3" xfId="3" applyFont="1" applyFill="1" applyBorder="1" applyAlignment="1">
      <alignment horizontal="right" vertical="center"/>
    </xf>
    <xf numFmtId="0" fontId="5" fillId="0" borderId="8" xfId="0" applyFont="1" applyBorder="1"/>
    <xf numFmtId="0" fontId="5" fillId="0" borderId="7" xfId="0" applyFont="1" applyBorder="1"/>
    <xf numFmtId="0" fontId="5" fillId="0" borderId="9" xfId="0" applyFont="1" applyBorder="1"/>
    <xf numFmtId="0" fontId="6" fillId="0" borderId="0" xfId="3" applyFont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1" fontId="5" fillId="0" borderId="10" xfId="0" applyNumberFormat="1" applyFont="1" applyBorder="1" applyAlignment="1" applyProtection="1">
      <alignment horizontal="center" vertical="center"/>
      <protection locked="0"/>
    </xf>
    <xf numFmtId="0" fontId="5" fillId="0" borderId="11" xfId="0" applyFont="1" applyBorder="1"/>
    <xf numFmtId="0" fontId="5" fillId="0" borderId="12" xfId="0" applyFont="1" applyBorder="1"/>
    <xf numFmtId="0" fontId="5" fillId="3" borderId="13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 vertical="center"/>
    </xf>
    <xf numFmtId="2" fontId="7" fillId="4" borderId="13" xfId="0" applyNumberFormat="1" applyFont="1" applyFill="1" applyBorder="1" applyAlignment="1" applyProtection="1">
      <alignment horizontal="right" vertical="center"/>
      <protection locked="0"/>
    </xf>
    <xf numFmtId="0" fontId="5" fillId="3" borderId="14" xfId="0" applyFont="1" applyFill="1" applyBorder="1" applyAlignment="1">
      <alignment horizontal="left"/>
    </xf>
    <xf numFmtId="2" fontId="7" fillId="4" borderId="14" xfId="0" applyNumberFormat="1" applyFont="1" applyFill="1" applyBorder="1" applyAlignment="1" applyProtection="1">
      <alignment horizontal="right" vertical="center"/>
      <protection locked="0"/>
    </xf>
    <xf numFmtId="2" fontId="7" fillId="4" borderId="15" xfId="0" applyNumberFormat="1" applyFont="1" applyFill="1" applyBorder="1" applyAlignment="1" applyProtection="1">
      <alignment horizontal="right" vertical="center"/>
      <protection locked="0"/>
    </xf>
    <xf numFmtId="0" fontId="8" fillId="3" borderId="16" xfId="0" applyFont="1" applyFill="1" applyBorder="1"/>
    <xf numFmtId="2" fontId="5" fillId="0" borderId="0" xfId="0" applyNumberFormat="1" applyFont="1"/>
    <xf numFmtId="0" fontId="9" fillId="0" borderId="0" xfId="0" applyFont="1" applyAlignment="1" applyProtection="1">
      <alignment horizontal="center" vertical="center"/>
      <protection locked="0"/>
    </xf>
    <xf numFmtId="9" fontId="5" fillId="0" borderId="0" xfId="1" applyFont="1"/>
    <xf numFmtId="0" fontId="10" fillId="0" borderId="0" xfId="3" applyFont="1" applyAlignment="1">
      <alignment horizontal="center" vertical="center"/>
    </xf>
    <xf numFmtId="2" fontId="10" fillId="0" borderId="0" xfId="0" applyNumberFormat="1" applyFont="1" applyAlignment="1" applyProtection="1">
      <alignment horizontal="right" vertical="center"/>
      <protection locked="0"/>
    </xf>
    <xf numFmtId="0" fontId="11" fillId="6" borderId="8" xfId="0" applyFont="1" applyFill="1" applyBorder="1"/>
    <xf numFmtId="0" fontId="11" fillId="6" borderId="7" xfId="0" applyFont="1" applyFill="1" applyBorder="1"/>
    <xf numFmtId="0" fontId="6" fillId="0" borderId="4" xfId="3" applyFont="1" applyBorder="1" applyAlignment="1">
      <alignment horizontal="center" vertical="center"/>
    </xf>
    <xf numFmtId="0" fontId="6" fillId="0" borderId="0" xfId="3" applyFont="1" applyAlignment="1">
      <alignment vertical="center"/>
    </xf>
    <xf numFmtId="2" fontId="5" fillId="0" borderId="7" xfId="0" applyNumberFormat="1" applyFont="1" applyBorder="1"/>
    <xf numFmtId="164" fontId="9" fillId="5" borderId="16" xfId="0" applyNumberFormat="1" applyFont="1" applyFill="1" applyBorder="1" applyAlignment="1" applyProtection="1">
      <alignment horizontal="right" vertical="center"/>
      <protection locked="0"/>
    </xf>
    <xf numFmtId="0" fontId="4" fillId="0" borderId="1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6" fillId="2" borderId="4" xfId="3" applyFont="1" applyFill="1" applyBorder="1" applyAlignment="1">
      <alignment horizontal="right" vertical="center"/>
    </xf>
    <xf numFmtId="0" fontId="6" fillId="2" borderId="5" xfId="3" applyFont="1" applyFill="1" applyBorder="1" applyAlignment="1">
      <alignment horizontal="right" vertical="center"/>
    </xf>
  </cellXfs>
  <cellStyles count="4">
    <cellStyle name="Normal" xfId="0" builtinId="0"/>
    <cellStyle name="Normal 8_Sheet1 2" xfId="3" xr:uid="{FE955976-A779-4187-907A-293DFD35412C}"/>
    <cellStyle name="Normal_Sheet1" xfId="2" xr:uid="{99E88280-2498-4A09-A11D-A9537CC8EF4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13-4383-8CB3-FAF2B5F4E7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13-4383-8CB3-FAF2B5F4E7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13-4383-8CB3-FAF2B5F4E7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13-4383-8CB3-FAF2B5F4E7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813-4383-8CB3-FAF2B5F4E7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813-4383-8CB3-FAF2B5F4E7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813-4383-8CB3-FAF2B5F4E76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'Cost Summary'!$A$9:$A$15</c:f>
              <c:strCache>
                <c:ptCount val="7"/>
                <c:pt idx="0">
                  <c:v>Material Cost</c:v>
                </c:pt>
                <c:pt idx="1">
                  <c:v>Process Cost</c:v>
                </c:pt>
                <c:pt idx="2">
                  <c:v>SG&amp;A Cost (5% of BOM+Process)</c:v>
                </c:pt>
                <c:pt idx="3">
                  <c:v>Rejection (1% of BOM Cost)</c:v>
                </c:pt>
                <c:pt idx="4">
                  <c:v>Packing Cost-1%</c:v>
                </c:pt>
                <c:pt idx="5">
                  <c:v>ICC(1.5% of Mat+Process)</c:v>
                </c:pt>
                <c:pt idx="6">
                  <c:v>Margin (10%) </c:v>
                </c:pt>
              </c:strCache>
            </c:strRef>
          </c:cat>
          <c:val>
            <c:numRef>
              <c:f>'Cost Summary'!$C$9:$C$15</c:f>
              <c:numCache>
                <c:formatCode>0.00</c:formatCode>
                <c:ptCount val="7"/>
                <c:pt idx="0">
                  <c:v>53.923999999999999</c:v>
                </c:pt>
                <c:pt idx="1">
                  <c:v>20.16</c:v>
                </c:pt>
                <c:pt idx="2">
                  <c:v>3.7042000000000002</c:v>
                </c:pt>
                <c:pt idx="3">
                  <c:v>0.74084000000000005</c:v>
                </c:pt>
                <c:pt idx="4">
                  <c:v>0.74084000000000005</c:v>
                </c:pt>
                <c:pt idx="5">
                  <c:v>0.80885999999999991</c:v>
                </c:pt>
                <c:pt idx="6">
                  <c:v>7.4084000000000003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7-46C2-B0D5-A6EDC4395D4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7</xdr:row>
      <xdr:rowOff>32123</xdr:rowOff>
    </xdr:from>
    <xdr:to>
      <xdr:col>8</xdr:col>
      <xdr:colOff>501649</xdr:colOff>
      <xdr:row>16</xdr:row>
      <xdr:rowOff>62752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D12BC6-B441-843F-86D7-CE92868DE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954616</xdr:colOff>
      <xdr:row>1</xdr:row>
      <xdr:rowOff>151090</xdr:rowOff>
    </xdr:from>
    <xdr:to>
      <xdr:col>7</xdr:col>
      <xdr:colOff>323748</xdr:colOff>
      <xdr:row>3</xdr:row>
      <xdr:rowOff>278655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99C296-E24B-B9DD-CB51-F636526CE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52" t="25397" r="24787"/>
        <a:stretch/>
      </xdr:blipFill>
      <xdr:spPr>
        <a:xfrm rot="4848069">
          <a:off x="6957523" y="-174170"/>
          <a:ext cx="705789" cy="25814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ATON\WIP\SC_%20EATON_PUMP_V01_17022015_ND_V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ermofisher-my.sharepoint.com/CorpFinance/SF/BS-ANNPL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ermofisher-my.sharepoint.com/SRIPIN/MyDocuments/mmanikandan/Documents/Modine/Templates/Costing%20template%20Modine_15Feb_Master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hiru\WH\Sample%20Template.xlsx" TargetMode="External"/><Relationship Id="rId1" Type="http://schemas.openxmlformats.org/officeDocument/2006/relationships/externalLinkPath" Target="/Thiru/WH/Sample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ermofisher-my.sharepoint.com/3.%20TYCO/Gas%20Cylinder/6.%20Costing/Gas%20Cylinder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nt022\rfq_confidential\loUiS\Capacity\Share%20Sept%20Cap\My%20Documents\Planning\Budget-2005\Budget-2005-v0.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nt022\RFQ_Confidential\DOCUME~1\SNA17006\LOCALS~1\Temp\P%20&amp;%20L%20-%20March%20v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ermofisher-my.sharepoint.com/users/Complete%20Parts/Saravanakumar%20Rathinasamy/Saravanakumar%20Rathinasamy%201/Templates/Projects/SCSS%20V3.24%20Documentation/CatTemplate%20v3.2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rflores\LOCALS~1\Temp\Production%20Inventory%20Forecast%207-19-2.2%20Presentation%20to%20Hug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w1246\D%20Drive\Quote%20formats\3%20Site%20Standardlize%20Quote\Melaka%20Quote%20Mode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nt022\RFQ_CONFIDENTIAL\Sales_Quotation\CostEngineering\ZAL2(A)\Calculation\Xerox\Q4%202002\BRUNEL\BOM_pricing_Q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nt022\IE\Documents%20and%20Settings\sna12567\Local%20Settings\Temporary%20Internet%20Files\OLK71\Six%20Sigma\Six%20Sigma\Analyze%20Phase\Pre-realizat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ant022\rfq_confidential\loUiS\Capacity\Share%20Sept%20Cap\DOCUME~1\rflores\LOCALS~1\Temp\Budget-2005-v0.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ermofisher-my.sharepoint.com/Users/mummman/Documents/Mani/Quest%20training/Should%20cost%20tools/Should%20Costing%20Database%20and%20Tool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Cost Model Maturity"/>
      <sheetName val="Assumptions"/>
      <sheetName val="Summary"/>
      <sheetName val="BOM-1"/>
      <sheetName val="Process Plan"/>
      <sheetName val="Sand casting"/>
      <sheetName val="Bala"/>
      <sheetName val="Machined"/>
      <sheetName val="Forging"/>
      <sheetName val="Burden rates 1"/>
      <sheetName val="Sheet Metal"/>
      <sheetName val="Heat treatment"/>
      <sheetName val="Tool Amortization "/>
      <sheetName val="Sintering"/>
      <sheetName val="Inputs"/>
      <sheetName val="Burden rates"/>
      <sheetName val="Parts Details"/>
      <sheetName val="Reference documents"/>
      <sheetName val="Cycle Time for Machining"/>
      <sheetName val="Calc"/>
      <sheetName val="Sheet1"/>
      <sheetName val="Machining"/>
      <sheetName val="DirectworksLists"/>
      <sheetName val="Currency Conversions"/>
    </sheetNames>
    <sheetDataSet>
      <sheetData sheetId="0"/>
      <sheetData sheetId="1"/>
      <sheetData sheetId="2"/>
      <sheetData sheetId="3"/>
      <sheetData sheetId="4"/>
      <sheetData sheetId="5">
        <row r="5">
          <cell r="B5" t="str">
            <v>Sl.No</v>
          </cell>
          <cell r="C5" t="str">
            <v>Level</v>
          </cell>
          <cell r="D5" t="str">
            <v>Part No</v>
          </cell>
          <cell r="E5" t="str">
            <v>Part Description</v>
          </cell>
          <cell r="F5" t="str">
            <v xml:space="preserve"> Make / Bought-out</v>
          </cell>
          <cell r="G5" t="str">
            <v>Man.location</v>
          </cell>
          <cell r="H5" t="str">
            <v>BOM Qty</v>
          </cell>
          <cell r="I5" t="str">
            <v>Commodity</v>
          </cell>
          <cell r="J5" t="str">
            <v>Extended Quantity per Batch</v>
          </cell>
          <cell r="K5" t="str">
            <v xml:space="preserve">Material </v>
          </cell>
          <cell r="L5" t="str">
            <v>Material Grade</v>
          </cell>
          <cell r="M5" t="str">
            <v>Raw Material Form</v>
          </cell>
          <cell r="N5" t="str">
            <v>Finished Part Weight in gms</v>
          </cell>
          <cell r="O5" t="str">
            <v>Raw Material Length</v>
          </cell>
          <cell r="P5" t="str">
            <v xml:space="preserve">Raw Material Width / Ø  of the Raw Material </v>
          </cell>
          <cell r="Q5" t="str">
            <v>Raw Material Height</v>
          </cell>
          <cell r="R5" t="str">
            <v>Raw Material Thickness</v>
          </cell>
          <cell r="S5" t="str">
            <v>Manufacturing Process -I</v>
          </cell>
          <cell r="T5" t="str">
            <v>Manufacturing Process -II</v>
          </cell>
          <cell r="U5" t="str">
            <v>Manufacturing Process -III</v>
          </cell>
          <cell r="V5" t="str">
            <v>Manufacturing Process -IV</v>
          </cell>
          <cell r="W5" t="str">
            <v>Manufacturing Process -V</v>
          </cell>
          <cell r="X5" t="str">
            <v>Manufacturing Process -VI</v>
          </cell>
          <cell r="Y5" t="str">
            <v>Finishing Process</v>
          </cell>
          <cell r="Z5" t="str">
            <v>Assembly</v>
          </cell>
          <cell r="AA5" t="str">
            <v>Inspection/Testing</v>
          </cell>
          <cell r="AB5" t="str">
            <v>Remarks</v>
          </cell>
          <cell r="AC5" t="str">
            <v>Repeat / Unique Part</v>
          </cell>
          <cell r="AD5" t="str">
            <v>SL#</v>
          </cell>
        </row>
        <row r="6">
          <cell r="B6">
            <v>1</v>
          </cell>
          <cell r="C6">
            <v>1</v>
          </cell>
          <cell r="D6" t="str">
            <v>6026704-001</v>
          </cell>
          <cell r="E6" t="str">
            <v>Drive Shaft</v>
          </cell>
          <cell r="F6" t="str">
            <v>MAKE</v>
          </cell>
          <cell r="H6">
            <v>1</v>
          </cell>
          <cell r="I6" t="str">
            <v>MACHINED</v>
          </cell>
          <cell r="J6">
            <v>222.5</v>
          </cell>
          <cell r="K6" t="str">
            <v>L</v>
          </cell>
          <cell r="L6" t="str">
            <v>8620 ASTM A29 FINE GRAIN 5-8 inclusive</v>
          </cell>
          <cell r="M6" t="str">
            <v>Round Bar Stock</v>
          </cell>
          <cell r="N6">
            <v>628.5</v>
          </cell>
          <cell r="O6">
            <v>186.05</v>
          </cell>
          <cell r="P6">
            <v>39.25</v>
          </cell>
          <cell r="Q6">
            <v>0</v>
          </cell>
          <cell r="R6">
            <v>0</v>
          </cell>
          <cell r="S6" t="str">
            <v>CNC Turning</v>
          </cell>
          <cell r="T6" t="str">
            <v>Spline Rolling</v>
          </cell>
          <cell r="U6" t="str">
            <v>Case Caburising &amp; Hardening</v>
          </cell>
          <cell r="V6" t="str">
            <v>Cylindrical Grinding</v>
          </cell>
          <cell r="AA6" t="str">
            <v>Critical</v>
          </cell>
        </row>
        <row r="7">
          <cell r="B7">
            <v>2</v>
          </cell>
          <cell r="C7">
            <v>2</v>
          </cell>
          <cell r="D7" t="str">
            <v>6028118-XXX</v>
          </cell>
          <cell r="E7" t="str">
            <v>Spacer</v>
          </cell>
          <cell r="F7" t="str">
            <v>MAKE</v>
          </cell>
          <cell r="H7">
            <v>1</v>
          </cell>
          <cell r="I7" t="str">
            <v>MACHINED</v>
          </cell>
          <cell r="J7">
            <v>222.5</v>
          </cell>
          <cell r="K7" t="str">
            <v>SA</v>
          </cell>
          <cell r="L7" t="str">
            <v>STEEL ASTM A29</v>
          </cell>
          <cell r="M7" t="str">
            <v>Hollow Tube ?</v>
          </cell>
          <cell r="N7">
            <v>14.5</v>
          </cell>
          <cell r="O7">
            <v>5.07</v>
          </cell>
          <cell r="P7">
            <v>33.15</v>
          </cell>
          <cell r="Q7">
            <v>0</v>
          </cell>
          <cell r="R7">
            <v>0</v>
          </cell>
          <cell r="S7" t="str">
            <v>CNC Turning</v>
          </cell>
          <cell r="T7" t="str">
            <v>Grinding</v>
          </cell>
          <cell r="AA7" t="str">
            <v>Generic</v>
          </cell>
        </row>
        <row r="8">
          <cell r="B8">
            <v>4</v>
          </cell>
          <cell r="C8">
            <v>4</v>
          </cell>
          <cell r="D8" t="str">
            <v>6026786-001</v>
          </cell>
          <cell r="E8" t="str">
            <v>End Cover S/A</v>
          </cell>
          <cell r="F8" t="str">
            <v>MAKE</v>
          </cell>
          <cell r="H8">
            <v>1</v>
          </cell>
          <cell r="I8" t="str">
            <v>SUB ASSEMBLY</v>
          </cell>
          <cell r="J8">
            <v>222.5</v>
          </cell>
          <cell r="L8" t="str">
            <v>EN-GJS-450-15</v>
          </cell>
          <cell r="N8">
            <v>3380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B9">
            <v>5</v>
          </cell>
          <cell r="C9">
            <v>4.0999999999999996</v>
          </cell>
          <cell r="D9" t="str">
            <v>6026309-001</v>
          </cell>
          <cell r="E9" t="str">
            <v>End Cover</v>
          </cell>
          <cell r="F9" t="str">
            <v>MAKE</v>
          </cell>
          <cell r="H9">
            <v>1</v>
          </cell>
          <cell r="I9" t="str">
            <v>SAND CASTING</v>
          </cell>
          <cell r="J9">
            <v>667.5</v>
          </cell>
          <cell r="K9" t="str">
            <v>L</v>
          </cell>
          <cell r="L9" t="str">
            <v>65-45-12 DUCTILE IRON PER ASTM A536</v>
          </cell>
          <cell r="M9" t="str">
            <v>Ingot &amp; Bales</v>
          </cell>
          <cell r="N9">
            <v>3380</v>
          </cell>
          <cell r="O9">
            <v>114.14</v>
          </cell>
          <cell r="P9">
            <v>128.19999999999999</v>
          </cell>
          <cell r="Q9">
            <v>54</v>
          </cell>
          <cell r="R9">
            <v>0</v>
          </cell>
          <cell r="S9" t="str">
            <v>Green Sand Casting</v>
          </cell>
          <cell r="T9" t="str">
            <v>CNC VMC Milling</v>
          </cell>
          <cell r="U9" t="str">
            <v>CNC VTL</v>
          </cell>
          <cell r="V9" t="str">
            <v>Lapping</v>
          </cell>
          <cell r="Y9" t="str">
            <v>Cleaning</v>
          </cell>
          <cell r="AA9" t="str">
            <v>Critical</v>
          </cell>
        </row>
        <row r="10">
          <cell r="B10">
            <v>6</v>
          </cell>
          <cell r="C10">
            <v>4.2</v>
          </cell>
          <cell r="D10" t="str">
            <v>5992792-001</v>
          </cell>
          <cell r="E10" t="str">
            <v>SEAT</v>
          </cell>
          <cell r="F10" t="str">
            <v>MAKE</v>
          </cell>
          <cell r="H10">
            <v>1</v>
          </cell>
          <cell r="I10" t="str">
            <v>MACHINED</v>
          </cell>
          <cell r="J10">
            <v>222.5</v>
          </cell>
          <cell r="K10" t="str">
            <v>L</v>
          </cell>
          <cell r="L10" t="str">
            <v>VS-1-1-7-18 FATIGUE PROOF</v>
          </cell>
          <cell r="M10" t="str">
            <v>Round Bar Stock</v>
          </cell>
          <cell r="N10">
            <v>0</v>
          </cell>
          <cell r="O10">
            <v>5.206999999999999</v>
          </cell>
          <cell r="P10">
            <v>12.98194</v>
          </cell>
          <cell r="Q10">
            <v>0</v>
          </cell>
          <cell r="R10">
            <v>0</v>
          </cell>
          <cell r="S10" t="str">
            <v>CNC Turning</v>
          </cell>
          <cell r="T10" t="str">
            <v>Centerless Grinding</v>
          </cell>
          <cell r="U10" t="str">
            <v>Suface Grinding</v>
          </cell>
          <cell r="AA10" t="str">
            <v>Critical</v>
          </cell>
          <cell r="AB10" t="str">
            <v>Not removed</v>
          </cell>
        </row>
        <row r="11">
          <cell r="B11">
            <v>7</v>
          </cell>
          <cell r="C11">
            <v>4.3</v>
          </cell>
          <cell r="D11" t="str">
            <v>6026930-001</v>
          </cell>
          <cell r="E11" t="str">
            <v>POPPET</v>
          </cell>
          <cell r="F11" t="str">
            <v>MAKE</v>
          </cell>
          <cell r="H11">
            <v>1</v>
          </cell>
          <cell r="I11" t="str">
            <v>SHEET METAL</v>
          </cell>
          <cell r="J11">
            <v>222.5</v>
          </cell>
          <cell r="K11" t="str">
            <v>NA</v>
          </cell>
          <cell r="L11" t="str">
            <v>VS-1-1-7-19 CARBON SPRING STEEL</v>
          </cell>
          <cell r="M11" t="str">
            <v>??</v>
          </cell>
          <cell r="N11">
            <v>0</v>
          </cell>
          <cell r="O11">
            <v>0</v>
          </cell>
          <cell r="P11">
            <v>12.242799999999999</v>
          </cell>
          <cell r="Q11">
            <v>0</v>
          </cell>
          <cell r="R11">
            <v>1.016</v>
          </cell>
          <cell r="AB11" t="str">
            <v>Not removed</v>
          </cell>
        </row>
        <row r="12">
          <cell r="B12">
            <v>10</v>
          </cell>
          <cell r="C12">
            <v>6</v>
          </cell>
          <cell r="D12" t="str">
            <v>6029630-002</v>
          </cell>
          <cell r="E12" t="str">
            <v>Valve Plate LH</v>
          </cell>
          <cell r="F12" t="str">
            <v>MAKE</v>
          </cell>
          <cell r="H12">
            <v>1</v>
          </cell>
          <cell r="I12" t="str">
            <v>SHEET METAL</v>
          </cell>
          <cell r="J12">
            <v>222.5</v>
          </cell>
          <cell r="L12" t="str">
            <v>VS 1-1-2-28</v>
          </cell>
          <cell r="M12" t="str">
            <v>Flat CR Sheet</v>
          </cell>
          <cell r="N12">
            <v>122</v>
          </cell>
          <cell r="O12">
            <v>0</v>
          </cell>
          <cell r="P12">
            <v>83</v>
          </cell>
          <cell r="Q12">
            <v>5</v>
          </cell>
          <cell r="R12">
            <v>5</v>
          </cell>
          <cell r="S12" t="str">
            <v>Profile Cutting ( Abrasive Water Jet? )</v>
          </cell>
          <cell r="T12" t="str">
            <v>Bronze Metal Spraying</v>
          </cell>
          <cell r="U12" t="str">
            <v>CNC Turning</v>
          </cell>
          <cell r="V12" t="str">
            <v>CNC VMC Milling</v>
          </cell>
          <cell r="W12" t="str">
            <v>Lapping</v>
          </cell>
          <cell r="Y12" t="str">
            <v>Polishing (Emery)</v>
          </cell>
          <cell r="AA12" t="str">
            <v>Critical</v>
          </cell>
        </row>
        <row r="13">
          <cell r="B13">
            <v>12</v>
          </cell>
          <cell r="C13">
            <v>8</v>
          </cell>
          <cell r="D13" t="str">
            <v>6026919-002</v>
          </cell>
          <cell r="E13" t="str">
            <v xml:space="preserve">Housing </v>
          </cell>
          <cell r="F13" t="str">
            <v>MAKE</v>
          </cell>
          <cell r="H13">
            <v>1</v>
          </cell>
          <cell r="I13" t="str">
            <v>SAND CASTING</v>
          </cell>
          <cell r="J13">
            <v>667.5</v>
          </cell>
          <cell r="K13" t="str">
            <v>NA</v>
          </cell>
          <cell r="L13" t="str">
            <v>(CAST IRON PER SPEC 209-19C)</v>
          </cell>
          <cell r="M13" t="str">
            <v>Ingot &amp; Bales</v>
          </cell>
          <cell r="N13">
            <v>7436</v>
          </cell>
          <cell r="O13">
            <v>172</v>
          </cell>
          <cell r="P13">
            <v>173.54</v>
          </cell>
          <cell r="Q13">
            <v>144.5</v>
          </cell>
          <cell r="R13">
            <v>0</v>
          </cell>
          <cell r="S13" t="str">
            <v>Green Sand Casting</v>
          </cell>
          <cell r="T13" t="str">
            <v>CNC VMC Milling</v>
          </cell>
          <cell r="U13" t="str">
            <v>CNC VTL</v>
          </cell>
          <cell r="V13" t="str">
            <v>Lapping</v>
          </cell>
          <cell r="Y13" t="str">
            <v>Cleaning</v>
          </cell>
          <cell r="AA13" t="str">
            <v>Magnetism / Critical</v>
          </cell>
        </row>
        <row r="14">
          <cell r="B14">
            <v>15</v>
          </cell>
          <cell r="C14">
            <v>11</v>
          </cell>
          <cell r="D14" t="str">
            <v>6026924-001</v>
          </cell>
          <cell r="E14" t="str">
            <v>Bearing (Liner) - Swash Plate</v>
          </cell>
          <cell r="F14" t="str">
            <v>MAKE</v>
          </cell>
          <cell r="H14">
            <v>2</v>
          </cell>
          <cell r="I14" t="str">
            <v>SHEET METAL</v>
          </cell>
          <cell r="J14">
            <v>445</v>
          </cell>
          <cell r="L14" t="str">
            <v>Unindented HI Bearing Material Steel Backed</v>
          </cell>
          <cell r="M14" t="str">
            <v>CR Sheet</v>
          </cell>
          <cell r="N14">
            <v>0</v>
          </cell>
          <cell r="O14">
            <v>71.489999999999995</v>
          </cell>
          <cell r="P14">
            <v>22</v>
          </cell>
          <cell r="Q14">
            <v>30</v>
          </cell>
          <cell r="R14">
            <v>2.4500000000000002</v>
          </cell>
          <cell r="S14" t="str">
            <v>Press Tool Operations</v>
          </cell>
          <cell r="T14" t="str">
            <v>Drilling / CSK</v>
          </cell>
          <cell r="AB14" t="str">
            <v>Not removed</v>
          </cell>
        </row>
        <row r="15">
          <cell r="B15">
            <v>18</v>
          </cell>
          <cell r="C15">
            <v>14</v>
          </cell>
          <cell r="D15" t="str">
            <v>6026917-001</v>
          </cell>
          <cell r="E15" t="str">
            <v>Swash Plate</v>
          </cell>
          <cell r="F15" t="str">
            <v>MAKE</v>
          </cell>
          <cell r="H15">
            <v>1</v>
          </cell>
          <cell r="I15" t="str">
            <v>FORGING</v>
          </cell>
          <cell r="J15">
            <v>667.5</v>
          </cell>
          <cell r="K15" t="str">
            <v>SA</v>
          </cell>
          <cell r="L15" t="str">
            <v>8620 STEEL PER ASTM A788/A29</v>
          </cell>
          <cell r="M15" t="str">
            <v>Billet</v>
          </cell>
          <cell r="N15">
            <v>1032.5</v>
          </cell>
          <cell r="O15">
            <v>0</v>
          </cell>
          <cell r="P15">
            <v>0</v>
          </cell>
          <cell r="Q15" t="str">
            <v>111 x 97.68 x 29.67</v>
          </cell>
          <cell r="R15">
            <v>0</v>
          </cell>
          <cell r="S15" t="str">
            <v>Closed Die Forging</v>
          </cell>
          <cell r="T15" t="str">
            <v>VMC  Milling</v>
          </cell>
          <cell r="U15" t="str">
            <v>Case Carburize and Heat treat</v>
          </cell>
          <cell r="V15" t="str">
            <v>Suface Grinding / Profile Grinding</v>
          </cell>
          <cell r="W15" t="str">
            <v>Super Drilling</v>
          </cell>
          <cell r="X15" t="str">
            <v>Lapping</v>
          </cell>
          <cell r="Y15" t="str">
            <v>Cleaning</v>
          </cell>
          <cell r="AA15" t="str">
            <v>Critical</v>
          </cell>
        </row>
        <row r="16">
          <cell r="B16">
            <v>19</v>
          </cell>
          <cell r="C16">
            <v>15</v>
          </cell>
          <cell r="D16" t="str">
            <v>6026982-001</v>
          </cell>
          <cell r="E16" t="str">
            <v>Rotating Group S/A</v>
          </cell>
          <cell r="F16" t="str">
            <v>MAKE</v>
          </cell>
          <cell r="H16">
            <v>1</v>
          </cell>
          <cell r="I16" t="str">
            <v>SUB ASSEMBLY</v>
          </cell>
          <cell r="J16">
            <v>222.5</v>
          </cell>
          <cell r="L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B17">
            <v>20</v>
          </cell>
          <cell r="C17">
            <v>15.1</v>
          </cell>
          <cell r="D17">
            <v>943908</v>
          </cell>
          <cell r="E17" t="str">
            <v>CYLIDER BLOCK 28 cc</v>
          </cell>
          <cell r="F17" t="str">
            <v>MAKE</v>
          </cell>
          <cell r="H17">
            <v>1</v>
          </cell>
          <cell r="I17" t="str">
            <v>MACHINED</v>
          </cell>
          <cell r="J17">
            <v>222.5</v>
          </cell>
          <cell r="K17" t="str">
            <v>NA</v>
          </cell>
          <cell r="L17" t="str">
            <v xml:space="preserve">DUCTILE IRON 100/70/02 OR 100/70/03 - </v>
          </cell>
          <cell r="M17" t="str">
            <v>Continuous Cast Bar</v>
          </cell>
          <cell r="N17">
            <v>1171.5</v>
          </cell>
          <cell r="O17">
            <v>65.5</v>
          </cell>
          <cell r="P17">
            <v>85.5</v>
          </cell>
          <cell r="Q17">
            <v>0</v>
          </cell>
          <cell r="R17">
            <v>0</v>
          </cell>
          <cell r="S17" t="str">
            <v>CNC Turning</v>
          </cell>
          <cell r="T17" t="str">
            <v>CNC VMC Boring</v>
          </cell>
          <cell r="U17" t="str">
            <v>Internal Splines Broaching</v>
          </cell>
          <cell r="V17" t="str">
            <v>NiTempering  VS-1-3 -2-72  &amp; VS-1-3-5-26</v>
          </cell>
          <cell r="W17" t="str">
            <v>Surface Grinding</v>
          </cell>
          <cell r="X17" t="str">
            <v>Lapping</v>
          </cell>
          <cell r="Y17" t="str">
            <v>Cleaning</v>
          </cell>
          <cell r="AA17" t="str">
            <v>Critical</v>
          </cell>
        </row>
        <row r="18">
          <cell r="B18">
            <v>21</v>
          </cell>
          <cell r="C18">
            <v>15.2</v>
          </cell>
          <cell r="D18">
            <v>943909</v>
          </cell>
          <cell r="E18" t="str">
            <v>Shoe Retainer Plate</v>
          </cell>
          <cell r="F18" t="str">
            <v>MAKE</v>
          </cell>
          <cell r="H18">
            <v>1</v>
          </cell>
          <cell r="I18" t="str">
            <v>SINTERING</v>
          </cell>
          <cell r="J18">
            <v>2670</v>
          </cell>
          <cell r="K18" t="str">
            <v>NA</v>
          </cell>
          <cell r="L18" t="str">
            <v>Iron Powder (Copper Infiltrated)</v>
          </cell>
          <cell r="M18" t="str">
            <v>Powder</v>
          </cell>
          <cell r="N18">
            <v>98.5</v>
          </cell>
          <cell r="O18">
            <v>0</v>
          </cell>
          <cell r="P18">
            <v>0</v>
          </cell>
          <cell r="Q18" t="str">
            <v>83.97/98 x 10.2 x 30.5</v>
          </cell>
          <cell r="R18">
            <v>0</v>
          </cell>
          <cell r="S18" t="str">
            <v>PM Sintering</v>
          </cell>
          <cell r="T18" t="str">
            <v>Internal Spherical Seat Grinding</v>
          </cell>
          <cell r="U18" t="str">
            <v>Polishing</v>
          </cell>
          <cell r="V18" t="str">
            <v>NiTempering  VS-1-3 -2-72  &amp; VS-1-3-5-261</v>
          </cell>
        </row>
        <row r="19">
          <cell r="B19">
            <v>22</v>
          </cell>
          <cell r="C19">
            <v>15.3</v>
          </cell>
          <cell r="D19">
            <v>943910</v>
          </cell>
          <cell r="E19" t="str">
            <v>WASHER SPERICAL</v>
          </cell>
          <cell r="F19" t="str">
            <v>MAKE</v>
          </cell>
          <cell r="H19">
            <v>1</v>
          </cell>
          <cell r="I19" t="str">
            <v>SINTERING</v>
          </cell>
          <cell r="J19">
            <v>2670</v>
          </cell>
          <cell r="K19" t="str">
            <v>SA</v>
          </cell>
          <cell r="L19" t="str">
            <v>Iron Powder</v>
          </cell>
          <cell r="M19" t="str">
            <v>Powder</v>
          </cell>
          <cell r="N19">
            <v>17.5</v>
          </cell>
          <cell r="O19">
            <v>0</v>
          </cell>
          <cell r="P19">
            <v>0</v>
          </cell>
          <cell r="Q19" t="str">
            <v>35.26 x  x 7.12</v>
          </cell>
          <cell r="R19">
            <v>0</v>
          </cell>
          <cell r="S19" t="str">
            <v>PM Sintering</v>
          </cell>
          <cell r="T19" t="str">
            <v>External Spherical Seat Grinding</v>
          </cell>
          <cell r="U19" t="str">
            <v>Polishing</v>
          </cell>
          <cell r="V19" t="str">
            <v>Heat treat RB 105-115 per VS 2-3-2-25</v>
          </cell>
        </row>
        <row r="20">
          <cell r="B20">
            <v>23</v>
          </cell>
          <cell r="C20">
            <v>15.4</v>
          </cell>
          <cell r="D20" t="str">
            <v>6026928-001</v>
          </cell>
          <cell r="E20" t="str">
            <v>Piston &amp; Shoe</v>
          </cell>
          <cell r="F20" t="str">
            <v>MAKE</v>
          </cell>
          <cell r="H20">
            <v>1</v>
          </cell>
          <cell r="I20" t="str">
            <v>SUB ASSEMBLY</v>
          </cell>
          <cell r="J20">
            <v>222.5</v>
          </cell>
          <cell r="L20">
            <v>0</v>
          </cell>
          <cell r="N20">
            <v>46.5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Z20" t="str">
            <v>Crimping</v>
          </cell>
        </row>
        <row r="21">
          <cell r="B21">
            <v>24</v>
          </cell>
          <cell r="C21" t="str">
            <v>15.4.1</v>
          </cell>
          <cell r="D21" t="str">
            <v>6029038-001</v>
          </cell>
          <cell r="E21" t="str">
            <v>Piston</v>
          </cell>
          <cell r="F21" t="str">
            <v>MAKE</v>
          </cell>
          <cell r="H21">
            <v>9</v>
          </cell>
          <cell r="I21" t="str">
            <v>MACHINED</v>
          </cell>
          <cell r="J21">
            <v>2002.5</v>
          </cell>
          <cell r="L21" t="str">
            <v>8620 ASTM A29 FINE GRAIN 5-8 inclusive</v>
          </cell>
          <cell r="M21" t="str">
            <v>Round Bar Stock</v>
          </cell>
          <cell r="N21">
            <v>34</v>
          </cell>
          <cell r="O21">
            <v>50.708500000000001</v>
          </cell>
          <cell r="P21">
            <v>14.497999999999999</v>
          </cell>
          <cell r="Q21">
            <v>0</v>
          </cell>
          <cell r="R21">
            <v>0</v>
          </cell>
          <cell r="S21" t="str">
            <v>CNC Turning</v>
          </cell>
          <cell r="T21" t="str">
            <v>Cylindrical Grinding</v>
          </cell>
          <cell r="U21" t="str">
            <v>Case Caburising &amp; Hardening</v>
          </cell>
          <cell r="V21" t="str">
            <v>Polishing / Super finishing</v>
          </cell>
          <cell r="Y21" t="str">
            <v>Cleaning</v>
          </cell>
          <cell r="AA21" t="str">
            <v>Critical</v>
          </cell>
        </row>
        <row r="22">
          <cell r="B22">
            <v>25</v>
          </cell>
          <cell r="C22" t="str">
            <v>15.4.2</v>
          </cell>
          <cell r="D22" t="str">
            <v>6026685-009</v>
          </cell>
          <cell r="E22" t="str">
            <v xml:space="preserve">Shoe Piston </v>
          </cell>
          <cell r="F22" t="str">
            <v>MAKE</v>
          </cell>
          <cell r="H22">
            <v>9</v>
          </cell>
          <cell r="I22" t="str">
            <v>MACHINED</v>
          </cell>
          <cell r="J22">
            <v>2002.5</v>
          </cell>
          <cell r="K22" t="str">
            <v>L</v>
          </cell>
          <cell r="L22" t="str">
            <v>C6730 Bronze Half Hard as per HES - 02004</v>
          </cell>
          <cell r="M22" t="str">
            <v>Round Bar Stock</v>
          </cell>
          <cell r="N22">
            <v>15</v>
          </cell>
          <cell r="O22">
            <v>10.86</v>
          </cell>
          <cell r="P22">
            <v>18.850000000000001</v>
          </cell>
          <cell r="Q22">
            <v>0</v>
          </cell>
          <cell r="R22">
            <v>0</v>
          </cell>
          <cell r="S22" t="str">
            <v>CNC Turning</v>
          </cell>
          <cell r="T22" t="str">
            <v xml:space="preserve">Polishing </v>
          </cell>
          <cell r="Y22" t="str">
            <v>Cleaning</v>
          </cell>
          <cell r="AA22" t="str">
            <v>Critical</v>
          </cell>
        </row>
        <row r="23">
          <cell r="B23">
            <v>27</v>
          </cell>
          <cell r="C23">
            <v>15.6</v>
          </cell>
          <cell r="D23">
            <v>997139</v>
          </cell>
          <cell r="E23" t="str">
            <v>WASHER OUTER SPRING</v>
          </cell>
          <cell r="F23" t="str">
            <v>MAKE</v>
          </cell>
          <cell r="H23">
            <v>1</v>
          </cell>
          <cell r="I23" t="str">
            <v>MACHINED</v>
          </cell>
          <cell r="J23">
            <v>222.5</v>
          </cell>
          <cell r="K23" t="str">
            <v>L</v>
          </cell>
          <cell r="L23" t="str">
            <v>AISI 12L14 -Carbon steel commercial Quality</v>
          </cell>
          <cell r="M23" t="str">
            <v>Round Bar Stock</v>
          </cell>
          <cell r="N23">
            <v>11.5</v>
          </cell>
          <cell r="O23">
            <v>0</v>
          </cell>
          <cell r="P23">
            <v>0</v>
          </cell>
          <cell r="Q23" t="str">
            <v>39.77 x 33.2 x 5.07</v>
          </cell>
          <cell r="R23">
            <v>0</v>
          </cell>
          <cell r="S23" t="str">
            <v>CNC Turning</v>
          </cell>
          <cell r="U23" t="str">
            <v>Carbonitride VS 1-3-2-64</v>
          </cell>
        </row>
        <row r="24">
          <cell r="B24">
            <v>28</v>
          </cell>
          <cell r="C24">
            <v>15.7</v>
          </cell>
          <cell r="D24">
            <v>996801</v>
          </cell>
          <cell r="E24" t="str">
            <v>WASHER  SPRING</v>
          </cell>
          <cell r="F24" t="str">
            <v>MAKE</v>
          </cell>
          <cell r="H24">
            <v>1</v>
          </cell>
          <cell r="I24" t="str">
            <v>MACHINED</v>
          </cell>
          <cell r="J24">
            <v>222.5</v>
          </cell>
          <cell r="K24" t="str">
            <v>L</v>
          </cell>
          <cell r="L24" t="str">
            <v>AISI 12L14 -Carbon steel commercial Quality</v>
          </cell>
          <cell r="M24" t="str">
            <v>Round Bar Stock</v>
          </cell>
          <cell r="N24">
            <v>8.8000000000000007</v>
          </cell>
          <cell r="O24">
            <v>0</v>
          </cell>
          <cell r="P24">
            <v>0</v>
          </cell>
          <cell r="Q24" t="str">
            <v>39.77 x 33.2 x 5.07</v>
          </cell>
          <cell r="R24">
            <v>0</v>
          </cell>
          <cell r="S24" t="str">
            <v>CNC Turning</v>
          </cell>
          <cell r="U24" t="str">
            <v>Carbonitride VS 1-3-2-64</v>
          </cell>
        </row>
        <row r="25">
          <cell r="B25">
            <v>31</v>
          </cell>
          <cell r="C25">
            <v>15.1</v>
          </cell>
          <cell r="D25" t="str">
            <v>4992733-001</v>
          </cell>
          <cell r="E25" t="str">
            <v>PIN STRAIGHT HEADLESS</v>
          </cell>
          <cell r="F25" t="str">
            <v>MAKE</v>
          </cell>
          <cell r="H25">
            <v>3</v>
          </cell>
          <cell r="I25" t="str">
            <v>MACHINED</v>
          </cell>
          <cell r="J25">
            <v>667.5</v>
          </cell>
          <cell r="L25" t="str">
            <v>AISI C-1212,C1213</v>
          </cell>
          <cell r="N25">
            <v>0.83333333333333337</v>
          </cell>
          <cell r="O25">
            <v>0</v>
          </cell>
          <cell r="P25">
            <v>0</v>
          </cell>
          <cell r="Q25" t="str">
            <v>2.39 x  x 25</v>
          </cell>
          <cell r="R25">
            <v>0</v>
          </cell>
        </row>
        <row r="26">
          <cell r="B26">
            <v>36</v>
          </cell>
          <cell r="C26">
            <v>19.100000000000001</v>
          </cell>
          <cell r="D26">
            <v>934256</v>
          </cell>
          <cell r="E26" t="str">
            <v>Compensator Body</v>
          </cell>
          <cell r="F26" t="str">
            <v>MAKE</v>
          </cell>
          <cell r="H26">
            <v>1</v>
          </cell>
          <cell r="I26" t="str">
            <v>SAND CASTING</v>
          </cell>
          <cell r="J26">
            <v>2670</v>
          </cell>
          <cell r="K26" t="str">
            <v>L</v>
          </cell>
          <cell r="L26" t="str">
            <v>Cast iron grey low Alloy</v>
          </cell>
          <cell r="M26" t="str">
            <v>Ingot &amp; Bales</v>
          </cell>
          <cell r="N26">
            <v>507.5</v>
          </cell>
          <cell r="O26">
            <v>116.5</v>
          </cell>
          <cell r="P26">
            <v>43.5</v>
          </cell>
          <cell r="Q26">
            <v>30.7</v>
          </cell>
          <cell r="R26">
            <v>0</v>
          </cell>
          <cell r="S26" t="str">
            <v>Green Sand Casting</v>
          </cell>
          <cell r="T26" t="str">
            <v>CNC Turning</v>
          </cell>
          <cell r="U26" t="str">
            <v>CNC VMC Milling</v>
          </cell>
          <cell r="AA26" t="str">
            <v>Critical</v>
          </cell>
        </row>
        <row r="27">
          <cell r="B27">
            <v>37</v>
          </cell>
          <cell r="C27">
            <v>19.2</v>
          </cell>
          <cell r="D27">
            <v>913989</v>
          </cell>
          <cell r="E27" t="str">
            <v>PLUG-COMPENSATOR</v>
          </cell>
          <cell r="F27" t="str">
            <v>MAKE</v>
          </cell>
          <cell r="H27">
            <v>1</v>
          </cell>
          <cell r="I27" t="str">
            <v>MACHINED</v>
          </cell>
          <cell r="J27">
            <v>222.5</v>
          </cell>
          <cell r="K27" t="str">
            <v>L</v>
          </cell>
          <cell r="L27" t="str">
            <v>320132 Drg required</v>
          </cell>
          <cell r="N27">
            <v>0</v>
          </cell>
          <cell r="O27">
            <v>0</v>
          </cell>
          <cell r="P27">
            <v>0</v>
          </cell>
          <cell r="Q27" t="str">
            <v>25.51 A/F x 29 A/C x 23.84</v>
          </cell>
          <cell r="R27">
            <v>0</v>
          </cell>
        </row>
        <row r="28">
          <cell r="B28">
            <v>40</v>
          </cell>
          <cell r="C28">
            <v>19.5</v>
          </cell>
          <cell r="D28">
            <v>234204</v>
          </cell>
          <cell r="E28" t="str">
            <v>SEAT-SPRING COMPENSATOR</v>
          </cell>
          <cell r="F28" t="str">
            <v>MAKE</v>
          </cell>
          <cell r="H28">
            <v>2</v>
          </cell>
          <cell r="I28" t="str">
            <v>MACHINED</v>
          </cell>
          <cell r="J28">
            <v>445</v>
          </cell>
          <cell r="L28" t="str">
            <v>SAE 4037 Steel or 4140</v>
          </cell>
          <cell r="M28" t="str">
            <v>Round Bar Stock</v>
          </cell>
          <cell r="N28">
            <v>7.2</v>
          </cell>
          <cell r="O28">
            <v>0</v>
          </cell>
          <cell r="P28">
            <v>0</v>
          </cell>
          <cell r="Q28" t="str">
            <v xml:space="preserve">16.6 x  x </v>
          </cell>
          <cell r="R28">
            <v>10.45</v>
          </cell>
          <cell r="S28" t="str">
            <v>CNC Turnmill</v>
          </cell>
        </row>
        <row r="29">
          <cell r="B29">
            <v>43</v>
          </cell>
          <cell r="C29">
            <v>19.8</v>
          </cell>
          <cell r="D29" t="str">
            <v>5991044-001</v>
          </cell>
          <cell r="E29" t="str">
            <v>SPOOL VALVE</v>
          </cell>
          <cell r="F29" t="str">
            <v>MAKE</v>
          </cell>
          <cell r="H29">
            <v>1</v>
          </cell>
          <cell r="I29" t="str">
            <v>MACHINED</v>
          </cell>
          <cell r="J29">
            <v>222.5</v>
          </cell>
          <cell r="K29" t="str">
            <v>L</v>
          </cell>
          <cell r="L29" t="str">
            <v>AISI 4150 VS 1-1-6-32</v>
          </cell>
          <cell r="M29" t="str">
            <v>Round Bar Stock</v>
          </cell>
          <cell r="N29">
            <v>8</v>
          </cell>
          <cell r="O29">
            <v>45</v>
          </cell>
          <cell r="P29">
            <v>6.3380000000000001</v>
          </cell>
          <cell r="Q29">
            <v>0</v>
          </cell>
          <cell r="R29">
            <v>0</v>
          </cell>
          <cell r="S29" t="str">
            <v>CNC Turning</v>
          </cell>
          <cell r="T29" t="str">
            <v>CNC VMC Drilling</v>
          </cell>
          <cell r="U29" t="str">
            <v>Quench &amp; Temper</v>
          </cell>
          <cell r="V29" t="str">
            <v>Cylindrical Grinding</v>
          </cell>
          <cell r="W29" t="str">
            <v>Surface Grinding</v>
          </cell>
          <cell r="AA29" t="str">
            <v>Critical</v>
          </cell>
        </row>
        <row r="30">
          <cell r="B30">
            <v>44</v>
          </cell>
          <cell r="C30">
            <v>19.100000000000001</v>
          </cell>
          <cell r="D30" t="str">
            <v>5993990-001</v>
          </cell>
          <cell r="E30" t="str">
            <v>PLUG</v>
          </cell>
          <cell r="F30" t="str">
            <v>MAKE</v>
          </cell>
          <cell r="H30">
            <v>1</v>
          </cell>
          <cell r="I30" t="str">
            <v>MACHINED</v>
          </cell>
          <cell r="J30">
            <v>222.5</v>
          </cell>
          <cell r="L30" t="str">
            <v>SAE  J514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B31">
            <v>48</v>
          </cell>
          <cell r="C31">
            <v>23</v>
          </cell>
          <cell r="D31" t="str">
            <v>6030097-001</v>
          </cell>
          <cell r="E31" t="str">
            <v>Control Piston</v>
          </cell>
          <cell r="F31" t="str">
            <v>MAKE</v>
          </cell>
          <cell r="H31">
            <v>1</v>
          </cell>
          <cell r="I31" t="str">
            <v>MACHINED</v>
          </cell>
          <cell r="J31">
            <v>222.5</v>
          </cell>
          <cell r="K31" t="str">
            <v>L</v>
          </cell>
          <cell r="L31" t="str">
            <v>8620H STEEL AS PER ASTM A108 OR A304</v>
          </cell>
          <cell r="M31" t="str">
            <v>Round Bar Stock</v>
          </cell>
          <cell r="N31">
            <v>84</v>
          </cell>
          <cell r="O31">
            <v>49.8</v>
          </cell>
          <cell r="P31">
            <v>18.972000000000001</v>
          </cell>
          <cell r="Q31">
            <v>0</v>
          </cell>
          <cell r="R31">
            <v>0</v>
          </cell>
          <cell r="S31" t="str">
            <v>CNC Turning</v>
          </cell>
          <cell r="T31" t="str">
            <v>Carburize &amp; Harden</v>
          </cell>
          <cell r="U31" t="str">
            <v>Super Drilling</v>
          </cell>
          <cell r="V31" t="str">
            <v>Cylindrical Grinding</v>
          </cell>
          <cell r="W31" t="str">
            <v>Surface Grinding</v>
          </cell>
          <cell r="X31" t="str">
            <v>Phosphate coating</v>
          </cell>
          <cell r="Y31" t="str">
            <v>Cleaning</v>
          </cell>
          <cell r="AA31" t="str">
            <v>Critical</v>
          </cell>
        </row>
        <row r="32">
          <cell r="B32">
            <v>49</v>
          </cell>
          <cell r="C32">
            <v>24</v>
          </cell>
          <cell r="D32" t="str">
            <v>16103-312</v>
          </cell>
          <cell r="E32" t="str">
            <v>Fixed Vol Stop Plug</v>
          </cell>
          <cell r="F32" t="str">
            <v>MAKE</v>
          </cell>
          <cell r="H32">
            <v>1</v>
          </cell>
          <cell r="I32" t="str">
            <v>MACHINED</v>
          </cell>
          <cell r="J32">
            <v>222.5</v>
          </cell>
          <cell r="K32" t="str">
            <v>L</v>
          </cell>
          <cell r="L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B33">
            <v>50</v>
          </cell>
          <cell r="C33">
            <v>25</v>
          </cell>
          <cell r="D33" t="str">
            <v>16103-302</v>
          </cell>
          <cell r="E33" t="str">
            <v>Plug</v>
          </cell>
          <cell r="F33" t="str">
            <v>MAKE</v>
          </cell>
          <cell r="H33">
            <v>3</v>
          </cell>
          <cell r="I33" t="str">
            <v>MACHINED</v>
          </cell>
          <cell r="J33">
            <v>667.5</v>
          </cell>
          <cell r="K33" t="str">
            <v>L</v>
          </cell>
          <cell r="L33" t="str">
            <v>EN8</v>
          </cell>
          <cell r="N33">
            <v>3.5</v>
          </cell>
          <cell r="O33">
            <v>0</v>
          </cell>
          <cell r="P33">
            <v>0</v>
          </cell>
          <cell r="Q33" t="str">
            <v xml:space="preserve">11.19 x  x </v>
          </cell>
          <cell r="R33">
            <v>10.46</v>
          </cell>
        </row>
        <row r="34">
          <cell r="B34">
            <v>51</v>
          </cell>
          <cell r="C34">
            <v>26</v>
          </cell>
          <cell r="D34" t="str">
            <v>P1</v>
          </cell>
          <cell r="E34" t="str">
            <v>Plug</v>
          </cell>
          <cell r="F34" t="str">
            <v>MAKE</v>
          </cell>
          <cell r="H34">
            <v>3</v>
          </cell>
          <cell r="I34" t="str">
            <v>MACHINED</v>
          </cell>
          <cell r="J34">
            <v>667.5</v>
          </cell>
          <cell r="K34" t="str">
            <v>L</v>
          </cell>
          <cell r="L34" t="str">
            <v>EN8</v>
          </cell>
          <cell r="N34">
            <v>40.799999999999997</v>
          </cell>
          <cell r="O34">
            <v>0</v>
          </cell>
          <cell r="P34">
            <v>0</v>
          </cell>
          <cell r="Q34" t="str">
            <v xml:space="preserve">11.19 x  x </v>
          </cell>
          <cell r="R34">
            <v>16.5</v>
          </cell>
        </row>
        <row r="35">
          <cell r="B35">
            <v>52</v>
          </cell>
          <cell r="C35">
            <v>27</v>
          </cell>
          <cell r="D35" t="str">
            <v>P2</v>
          </cell>
          <cell r="E35" t="str">
            <v>Plug</v>
          </cell>
          <cell r="F35" t="str">
            <v>MAKE</v>
          </cell>
          <cell r="H35">
            <v>1</v>
          </cell>
          <cell r="I35" t="str">
            <v>MACHINED</v>
          </cell>
          <cell r="J35">
            <v>222.5</v>
          </cell>
          <cell r="K35" t="str">
            <v>L</v>
          </cell>
          <cell r="L35" t="str">
            <v>EN8</v>
          </cell>
          <cell r="N35">
            <v>27.5</v>
          </cell>
          <cell r="O35">
            <v>0</v>
          </cell>
          <cell r="P35">
            <v>0</v>
          </cell>
          <cell r="Q35" t="str">
            <v xml:space="preserve">11.19 x  x </v>
          </cell>
          <cell r="R35">
            <v>15</v>
          </cell>
        </row>
        <row r="36">
          <cell r="B36">
            <v>53</v>
          </cell>
          <cell r="C36">
            <v>28</v>
          </cell>
          <cell r="D36" t="str">
            <v>P3</v>
          </cell>
          <cell r="E36" t="str">
            <v>Plug</v>
          </cell>
          <cell r="F36" t="str">
            <v>MAKE</v>
          </cell>
          <cell r="H36">
            <v>1</v>
          </cell>
          <cell r="I36" t="str">
            <v>MACHINED</v>
          </cell>
          <cell r="J36">
            <v>222.5</v>
          </cell>
          <cell r="K36" t="str">
            <v>NA</v>
          </cell>
          <cell r="L36" t="str">
            <v>EN8</v>
          </cell>
          <cell r="N36">
            <v>7.7</v>
          </cell>
          <cell r="O36">
            <v>0</v>
          </cell>
          <cell r="P36">
            <v>0</v>
          </cell>
          <cell r="Q36" t="str">
            <v xml:space="preserve">11.19 x  x </v>
          </cell>
          <cell r="R36">
            <v>12.21</v>
          </cell>
        </row>
        <row r="37">
          <cell r="B37">
            <v>54</v>
          </cell>
          <cell r="C37">
            <v>29</v>
          </cell>
          <cell r="D37" t="str">
            <v>P4</v>
          </cell>
          <cell r="E37" t="str">
            <v>Black Plastic Cap</v>
          </cell>
          <cell r="F37" t="str">
            <v>MAKE</v>
          </cell>
          <cell r="H37">
            <v>2</v>
          </cell>
          <cell r="I37" t="str">
            <v>PURCHASE</v>
          </cell>
          <cell r="J37">
            <v>445</v>
          </cell>
          <cell r="K37" t="str">
            <v>L</v>
          </cell>
          <cell r="L37">
            <v>0</v>
          </cell>
          <cell r="N37">
            <v>3.85</v>
          </cell>
          <cell r="O37">
            <v>0</v>
          </cell>
          <cell r="P37">
            <v>0</v>
          </cell>
          <cell r="Q37" t="str">
            <v>34.17 x  x 14.5</v>
          </cell>
          <cell r="R37">
            <v>0</v>
          </cell>
        </row>
        <row r="38">
          <cell r="B38">
            <v>55</v>
          </cell>
          <cell r="C38">
            <v>30</v>
          </cell>
          <cell r="D38" t="str">
            <v>P5</v>
          </cell>
          <cell r="E38" t="str">
            <v>Red Plastic Cap - Pune Hyd Big 1-1/2 BSP</v>
          </cell>
          <cell r="F38" t="str">
            <v>MAKE</v>
          </cell>
          <cell r="H38">
            <v>1</v>
          </cell>
          <cell r="I38" t="str">
            <v>PURCHASE</v>
          </cell>
          <cell r="J38">
            <v>222.5</v>
          </cell>
          <cell r="K38" t="str">
            <v>L</v>
          </cell>
          <cell r="L38">
            <v>0</v>
          </cell>
          <cell r="N38">
            <v>9.1</v>
          </cell>
          <cell r="O38">
            <v>0</v>
          </cell>
          <cell r="P38">
            <v>0</v>
          </cell>
          <cell r="Q38" t="str">
            <v>45.5 x  x 20</v>
          </cell>
          <cell r="R38">
            <v>0</v>
          </cell>
        </row>
        <row r="39">
          <cell r="B39">
            <v>56</v>
          </cell>
          <cell r="C39">
            <v>31</v>
          </cell>
          <cell r="D39" t="str">
            <v>P6</v>
          </cell>
          <cell r="E39" t="str">
            <v>Red Plastic Cap -  Small X2612</v>
          </cell>
          <cell r="F39" t="str">
            <v>MAKE</v>
          </cell>
          <cell r="H39">
            <v>1</v>
          </cell>
          <cell r="I39" t="str">
            <v>PURCHASE</v>
          </cell>
          <cell r="J39">
            <v>222.5</v>
          </cell>
          <cell r="K39" t="e">
            <v>#N/A</v>
          </cell>
          <cell r="L39">
            <v>0</v>
          </cell>
          <cell r="N39">
            <v>3</v>
          </cell>
          <cell r="O39">
            <v>0</v>
          </cell>
          <cell r="P39">
            <v>0</v>
          </cell>
          <cell r="Q39" t="str">
            <v>30.6 x  x 11.73</v>
          </cell>
          <cell r="R39">
            <v>0</v>
          </cell>
        </row>
        <row r="40">
          <cell r="B40" t="e">
            <v>#N/A</v>
          </cell>
          <cell r="C40" t="str">
            <v>--</v>
          </cell>
          <cell r="E40" t="str">
            <v>--</v>
          </cell>
          <cell r="F40" t="str">
            <v>--</v>
          </cell>
          <cell r="H40">
            <v>0</v>
          </cell>
          <cell r="I40" t="str">
            <v>--</v>
          </cell>
          <cell r="L40" t="str">
            <v>--</v>
          </cell>
          <cell r="N40" t="str">
            <v>--</v>
          </cell>
        </row>
        <row r="41">
          <cell r="B41" t="e">
            <v>#N/A</v>
          </cell>
          <cell r="C41" t="str">
            <v>--</v>
          </cell>
          <cell r="E41" t="str">
            <v>--</v>
          </cell>
          <cell r="F41" t="str">
            <v>--</v>
          </cell>
          <cell r="H41">
            <v>0</v>
          </cell>
          <cell r="I41" t="str">
            <v>--</v>
          </cell>
          <cell r="L41" t="str">
            <v>--</v>
          </cell>
          <cell r="N41" t="str">
            <v>--</v>
          </cell>
        </row>
        <row r="42">
          <cell r="B42" t="e">
            <v>#N/A</v>
          </cell>
          <cell r="C42" t="str">
            <v>--</v>
          </cell>
          <cell r="E42" t="str">
            <v>--</v>
          </cell>
          <cell r="F42" t="str">
            <v>--</v>
          </cell>
          <cell r="H42">
            <v>0</v>
          </cell>
          <cell r="I42" t="str">
            <v>--</v>
          </cell>
          <cell r="L42" t="str">
            <v>--</v>
          </cell>
          <cell r="N42" t="str">
            <v>--</v>
          </cell>
        </row>
        <row r="43">
          <cell r="B43" t="e">
            <v>#N/A</v>
          </cell>
          <cell r="C43" t="str">
            <v>--</v>
          </cell>
          <cell r="E43" t="str">
            <v>--</v>
          </cell>
          <cell r="F43" t="str">
            <v>--</v>
          </cell>
          <cell r="H43">
            <v>0</v>
          </cell>
          <cell r="I43" t="str">
            <v>--</v>
          </cell>
          <cell r="L43" t="str">
            <v>--</v>
          </cell>
          <cell r="N43" t="str">
            <v>--</v>
          </cell>
        </row>
        <row r="44">
          <cell r="B44" t="e">
            <v>#N/A</v>
          </cell>
          <cell r="C44" t="str">
            <v>--</v>
          </cell>
          <cell r="E44" t="str">
            <v>--</v>
          </cell>
          <cell r="F44" t="str">
            <v>--</v>
          </cell>
          <cell r="H44">
            <v>0</v>
          </cell>
          <cell r="I44" t="str">
            <v>--</v>
          </cell>
          <cell r="L44" t="str">
            <v>--</v>
          </cell>
          <cell r="N44" t="str">
            <v>--</v>
          </cell>
        </row>
        <row r="45">
          <cell r="B45" t="e">
            <v>#N/A</v>
          </cell>
          <cell r="C45" t="str">
            <v>--</v>
          </cell>
          <cell r="E45" t="str">
            <v>--</v>
          </cell>
          <cell r="F45" t="str">
            <v>--</v>
          </cell>
          <cell r="H45">
            <v>0</v>
          </cell>
          <cell r="I45" t="str">
            <v>--</v>
          </cell>
          <cell r="L45" t="str">
            <v>--</v>
          </cell>
          <cell r="N45" t="str">
            <v>--</v>
          </cell>
        </row>
        <row r="46">
          <cell r="B46" t="e">
            <v>#N/A</v>
          </cell>
          <cell r="C46" t="str">
            <v>--</v>
          </cell>
          <cell r="E46" t="str">
            <v>--</v>
          </cell>
          <cell r="F46" t="str">
            <v>--</v>
          </cell>
          <cell r="H46">
            <v>0</v>
          </cell>
          <cell r="I46" t="str">
            <v>--</v>
          </cell>
          <cell r="L46" t="str">
            <v>--</v>
          </cell>
          <cell r="N46" t="str">
            <v>--</v>
          </cell>
        </row>
        <row r="47">
          <cell r="B47" t="e">
            <v>#N/A</v>
          </cell>
          <cell r="C47" t="str">
            <v>--</v>
          </cell>
          <cell r="E47" t="str">
            <v>--</v>
          </cell>
          <cell r="F47" t="str">
            <v>--</v>
          </cell>
          <cell r="H47">
            <v>0</v>
          </cell>
          <cell r="I47" t="str">
            <v>--</v>
          </cell>
          <cell r="L47" t="str">
            <v>--</v>
          </cell>
          <cell r="N47" t="str">
            <v>--</v>
          </cell>
        </row>
        <row r="48">
          <cell r="B48" t="e">
            <v>#N/A</v>
          </cell>
          <cell r="C48" t="str">
            <v>--</v>
          </cell>
          <cell r="E48" t="str">
            <v>--</v>
          </cell>
          <cell r="F48" t="str">
            <v>--</v>
          </cell>
          <cell r="H48">
            <v>0</v>
          </cell>
          <cell r="I48" t="str">
            <v>--</v>
          </cell>
          <cell r="L48" t="str">
            <v>--</v>
          </cell>
          <cell r="N48" t="str">
            <v>--</v>
          </cell>
        </row>
        <row r="49">
          <cell r="B49" t="e">
            <v>#N/A</v>
          </cell>
          <cell r="C49" t="str">
            <v>--</v>
          </cell>
          <cell r="E49" t="str">
            <v>--</v>
          </cell>
          <cell r="F49" t="str">
            <v>--</v>
          </cell>
          <cell r="H49">
            <v>0</v>
          </cell>
          <cell r="I49" t="str">
            <v>--</v>
          </cell>
          <cell r="L49" t="str">
            <v>--</v>
          </cell>
          <cell r="N49" t="str">
            <v>--</v>
          </cell>
        </row>
        <row r="50">
          <cell r="B50" t="e">
            <v>#N/A</v>
          </cell>
          <cell r="C50" t="str">
            <v>--</v>
          </cell>
          <cell r="E50" t="str">
            <v>--</v>
          </cell>
          <cell r="F50" t="str">
            <v>--</v>
          </cell>
          <cell r="H50">
            <v>0</v>
          </cell>
          <cell r="I50" t="str">
            <v>--</v>
          </cell>
          <cell r="L50" t="str">
            <v>--</v>
          </cell>
          <cell r="N50" t="str">
            <v>--</v>
          </cell>
        </row>
        <row r="51">
          <cell r="B51" t="e">
            <v>#N/A</v>
          </cell>
          <cell r="C51" t="str">
            <v>--</v>
          </cell>
          <cell r="E51" t="str">
            <v>--</v>
          </cell>
          <cell r="F51" t="str">
            <v>--</v>
          </cell>
          <cell r="H51">
            <v>0</v>
          </cell>
          <cell r="I51" t="str">
            <v>--</v>
          </cell>
          <cell r="L51" t="str">
            <v>--</v>
          </cell>
          <cell r="N51" t="str">
            <v>--</v>
          </cell>
        </row>
        <row r="52">
          <cell r="B52" t="e">
            <v>#N/A</v>
          </cell>
          <cell r="C52" t="str">
            <v>--</v>
          </cell>
          <cell r="E52" t="str">
            <v>--</v>
          </cell>
          <cell r="F52" t="str">
            <v>--</v>
          </cell>
          <cell r="H52">
            <v>0</v>
          </cell>
          <cell r="I52" t="str">
            <v>--</v>
          </cell>
          <cell r="L52" t="str">
            <v>--</v>
          </cell>
          <cell r="N52" t="str">
            <v>--</v>
          </cell>
        </row>
        <row r="53">
          <cell r="B53" t="e">
            <v>#N/A</v>
          </cell>
          <cell r="C53" t="str">
            <v>--</v>
          </cell>
          <cell r="E53" t="str">
            <v>--</v>
          </cell>
          <cell r="F53" t="str">
            <v>--</v>
          </cell>
          <cell r="H53">
            <v>0</v>
          </cell>
          <cell r="I53" t="str">
            <v>--</v>
          </cell>
          <cell r="L53" t="str">
            <v>--</v>
          </cell>
          <cell r="N53" t="str">
            <v>--</v>
          </cell>
        </row>
        <row r="54">
          <cell r="B54" t="e">
            <v>#N/A</v>
          </cell>
          <cell r="C54" t="str">
            <v>--</v>
          </cell>
          <cell r="E54" t="str">
            <v>--</v>
          </cell>
          <cell r="F54" t="str">
            <v>--</v>
          </cell>
          <cell r="H54">
            <v>0</v>
          </cell>
          <cell r="I54" t="str">
            <v>--</v>
          </cell>
          <cell r="L54" t="str">
            <v>--</v>
          </cell>
          <cell r="N54" t="str">
            <v>--</v>
          </cell>
        </row>
        <row r="55">
          <cell r="B55" t="e">
            <v>#N/A</v>
          </cell>
          <cell r="C55" t="str">
            <v>--</v>
          </cell>
          <cell r="E55" t="str">
            <v>--</v>
          </cell>
          <cell r="F55" t="str">
            <v>--</v>
          </cell>
          <cell r="H55">
            <v>0</v>
          </cell>
          <cell r="I55" t="str">
            <v>--</v>
          </cell>
          <cell r="L55" t="str">
            <v>--</v>
          </cell>
          <cell r="N55" t="str">
            <v>--</v>
          </cell>
        </row>
        <row r="56">
          <cell r="B56" t="e">
            <v>#N/A</v>
          </cell>
          <cell r="C56" t="str">
            <v>--</v>
          </cell>
          <cell r="E56" t="str">
            <v>--</v>
          </cell>
          <cell r="F56" t="str">
            <v>--</v>
          </cell>
          <cell r="H56">
            <v>0</v>
          </cell>
          <cell r="I56" t="str">
            <v>--</v>
          </cell>
          <cell r="L56" t="str">
            <v>--</v>
          </cell>
          <cell r="N56" t="str">
            <v>--</v>
          </cell>
        </row>
        <row r="57">
          <cell r="B57" t="e">
            <v>#N/A</v>
          </cell>
          <cell r="C57" t="str">
            <v>--</v>
          </cell>
          <cell r="E57" t="str">
            <v>--</v>
          </cell>
          <cell r="F57" t="str">
            <v>--</v>
          </cell>
          <cell r="H57">
            <v>0</v>
          </cell>
          <cell r="I57" t="str">
            <v>--</v>
          </cell>
          <cell r="L57" t="str">
            <v>--</v>
          </cell>
          <cell r="N57" t="str">
            <v>--</v>
          </cell>
        </row>
        <row r="58">
          <cell r="B58" t="e">
            <v>#N/A</v>
          </cell>
          <cell r="C58" t="str">
            <v>--</v>
          </cell>
          <cell r="E58" t="str">
            <v>--</v>
          </cell>
          <cell r="F58" t="str">
            <v>--</v>
          </cell>
          <cell r="H58">
            <v>0</v>
          </cell>
          <cell r="I58" t="str">
            <v>--</v>
          </cell>
          <cell r="L58" t="str">
            <v>--</v>
          </cell>
          <cell r="N58" t="str">
            <v>--</v>
          </cell>
        </row>
        <row r="59">
          <cell r="B59" t="e">
            <v>#N/A</v>
          </cell>
          <cell r="C59" t="str">
            <v>--</v>
          </cell>
          <cell r="E59" t="str">
            <v>--</v>
          </cell>
          <cell r="F59" t="str">
            <v>--</v>
          </cell>
          <cell r="H59">
            <v>0</v>
          </cell>
          <cell r="I59" t="str">
            <v>--</v>
          </cell>
          <cell r="L59" t="str">
            <v>--</v>
          </cell>
          <cell r="N59" t="str">
            <v>--</v>
          </cell>
        </row>
        <row r="60">
          <cell r="B60" t="e">
            <v>#N/A</v>
          </cell>
          <cell r="C60" t="str">
            <v>--</v>
          </cell>
          <cell r="E60" t="str">
            <v>--</v>
          </cell>
          <cell r="F60" t="str">
            <v>--</v>
          </cell>
          <cell r="H60">
            <v>0</v>
          </cell>
          <cell r="I60" t="str">
            <v>--</v>
          </cell>
          <cell r="L60" t="str">
            <v>--</v>
          </cell>
          <cell r="N60" t="str">
            <v>--</v>
          </cell>
        </row>
        <row r="61">
          <cell r="B61" t="e">
            <v>#N/A</v>
          </cell>
          <cell r="C61" t="str">
            <v>--</v>
          </cell>
          <cell r="E61" t="str">
            <v>--</v>
          </cell>
          <cell r="F61" t="str">
            <v>--</v>
          </cell>
          <cell r="H61">
            <v>0</v>
          </cell>
          <cell r="I61" t="str">
            <v>--</v>
          </cell>
          <cell r="L61" t="str">
            <v>--</v>
          </cell>
          <cell r="N61" t="str">
            <v>--</v>
          </cell>
        </row>
        <row r="62">
          <cell r="B62" t="e">
            <v>#N/A</v>
          </cell>
          <cell r="C62" t="str">
            <v>--</v>
          </cell>
          <cell r="E62" t="str">
            <v>--</v>
          </cell>
          <cell r="F62" t="str">
            <v>--</v>
          </cell>
          <cell r="H62">
            <v>0</v>
          </cell>
          <cell r="I62" t="str">
            <v>--</v>
          </cell>
          <cell r="L62" t="str">
            <v>--</v>
          </cell>
          <cell r="N62" t="str">
            <v>--</v>
          </cell>
        </row>
        <row r="63">
          <cell r="B63" t="e">
            <v>#N/A</v>
          </cell>
          <cell r="C63" t="str">
            <v>--</v>
          </cell>
          <cell r="E63" t="str">
            <v>--</v>
          </cell>
          <cell r="F63" t="str">
            <v>--</v>
          </cell>
          <cell r="H63">
            <v>0</v>
          </cell>
          <cell r="I63" t="str">
            <v>--</v>
          </cell>
          <cell r="L63" t="str">
            <v>--</v>
          </cell>
          <cell r="N63" t="str">
            <v>--</v>
          </cell>
        </row>
        <row r="64">
          <cell r="B64" t="e">
            <v>#N/A</v>
          </cell>
          <cell r="C64" t="str">
            <v>--</v>
          </cell>
          <cell r="E64" t="str">
            <v>--</v>
          </cell>
          <cell r="F64" t="str">
            <v>--</v>
          </cell>
          <cell r="H64">
            <v>0</v>
          </cell>
          <cell r="I64" t="str">
            <v>--</v>
          </cell>
          <cell r="L64" t="str">
            <v>--</v>
          </cell>
          <cell r="N64" t="str">
            <v>--</v>
          </cell>
        </row>
        <row r="65">
          <cell r="B65" t="e">
            <v>#N/A</v>
          </cell>
          <cell r="C65" t="str">
            <v>--</v>
          </cell>
          <cell r="E65" t="str">
            <v>--</v>
          </cell>
          <cell r="F65" t="str">
            <v>--</v>
          </cell>
          <cell r="H65">
            <v>0</v>
          </cell>
          <cell r="I65" t="str">
            <v>--</v>
          </cell>
          <cell r="L65" t="str">
            <v>--</v>
          </cell>
          <cell r="N65" t="str">
            <v>--</v>
          </cell>
        </row>
        <row r="66">
          <cell r="B66" t="e">
            <v>#N/A</v>
          </cell>
          <cell r="C66" t="str">
            <v>--</v>
          </cell>
          <cell r="E66" t="str">
            <v>--</v>
          </cell>
          <cell r="F66" t="str">
            <v>--</v>
          </cell>
          <cell r="H66">
            <v>0</v>
          </cell>
          <cell r="I66" t="str">
            <v>--</v>
          </cell>
          <cell r="L66" t="str">
            <v>--</v>
          </cell>
          <cell r="N66" t="str">
            <v>--</v>
          </cell>
        </row>
        <row r="67">
          <cell r="B67" t="e">
            <v>#N/A</v>
          </cell>
          <cell r="C67" t="str">
            <v>--</v>
          </cell>
          <cell r="E67" t="str">
            <v>--</v>
          </cell>
          <cell r="F67" t="str">
            <v>--</v>
          </cell>
          <cell r="H67">
            <v>0</v>
          </cell>
          <cell r="I67" t="str">
            <v>--</v>
          </cell>
          <cell r="L67" t="str">
            <v>--</v>
          </cell>
          <cell r="N67" t="str">
            <v>--</v>
          </cell>
        </row>
        <row r="68">
          <cell r="B68" t="e">
            <v>#N/A</v>
          </cell>
          <cell r="C68" t="str">
            <v>--</v>
          </cell>
          <cell r="E68" t="str">
            <v>--</v>
          </cell>
          <cell r="F68" t="str">
            <v>--</v>
          </cell>
          <cell r="H68">
            <v>0</v>
          </cell>
          <cell r="I68" t="str">
            <v>--</v>
          </cell>
          <cell r="L68" t="str">
            <v>--</v>
          </cell>
          <cell r="N68" t="str">
            <v>--</v>
          </cell>
        </row>
        <row r="69">
          <cell r="B69" t="e">
            <v>#N/A</v>
          </cell>
          <cell r="C69" t="str">
            <v>--</v>
          </cell>
          <cell r="E69" t="str">
            <v>--</v>
          </cell>
          <cell r="F69" t="str">
            <v>--</v>
          </cell>
          <cell r="H69">
            <v>0</v>
          </cell>
          <cell r="I69" t="str">
            <v>--</v>
          </cell>
          <cell r="L69" t="str">
            <v>--</v>
          </cell>
          <cell r="N69" t="str">
            <v>--</v>
          </cell>
        </row>
        <row r="70">
          <cell r="B70" t="e">
            <v>#N/A</v>
          </cell>
          <cell r="C70" t="str">
            <v>--</v>
          </cell>
          <cell r="E70" t="str">
            <v>--</v>
          </cell>
          <cell r="F70" t="str">
            <v>--</v>
          </cell>
          <cell r="H70">
            <v>0</v>
          </cell>
          <cell r="I70" t="str">
            <v>--</v>
          </cell>
          <cell r="L70" t="str">
            <v>--</v>
          </cell>
          <cell r="N70" t="str">
            <v>--</v>
          </cell>
        </row>
        <row r="71">
          <cell r="B71" t="e">
            <v>#N/A</v>
          </cell>
          <cell r="C71" t="str">
            <v>--</v>
          </cell>
          <cell r="E71" t="str">
            <v>--</v>
          </cell>
          <cell r="F71" t="str">
            <v>--</v>
          </cell>
          <cell r="H71">
            <v>0</v>
          </cell>
          <cell r="I71" t="str">
            <v>--</v>
          </cell>
          <cell r="L71" t="str">
            <v>--</v>
          </cell>
          <cell r="N71" t="str">
            <v>--</v>
          </cell>
        </row>
        <row r="72">
          <cell r="B72" t="e">
            <v>#N/A</v>
          </cell>
          <cell r="C72" t="str">
            <v>--</v>
          </cell>
          <cell r="E72" t="str">
            <v>--</v>
          </cell>
          <cell r="F72" t="str">
            <v>--</v>
          </cell>
          <cell r="H72">
            <v>0</v>
          </cell>
          <cell r="I72" t="str">
            <v>--</v>
          </cell>
          <cell r="L72" t="str">
            <v>--</v>
          </cell>
          <cell r="N72" t="str">
            <v>--</v>
          </cell>
        </row>
        <row r="73">
          <cell r="B73" t="e">
            <v>#N/A</v>
          </cell>
          <cell r="C73" t="str">
            <v>--</v>
          </cell>
          <cell r="E73" t="str">
            <v>--</v>
          </cell>
          <cell r="F73" t="str">
            <v>--</v>
          </cell>
          <cell r="H73">
            <v>0</v>
          </cell>
          <cell r="I73" t="str">
            <v>--</v>
          </cell>
          <cell r="L73" t="str">
            <v>--</v>
          </cell>
          <cell r="N73" t="str">
            <v>--</v>
          </cell>
        </row>
        <row r="74">
          <cell r="B74" t="e">
            <v>#N/A</v>
          </cell>
          <cell r="C74" t="str">
            <v>--</v>
          </cell>
          <cell r="E74" t="str">
            <v>--</v>
          </cell>
          <cell r="F74" t="str">
            <v>--</v>
          </cell>
          <cell r="H74">
            <v>0</v>
          </cell>
          <cell r="I74" t="str">
            <v>--</v>
          </cell>
          <cell r="L74" t="str">
            <v>--</v>
          </cell>
          <cell r="N74" t="str">
            <v>--</v>
          </cell>
        </row>
        <row r="75">
          <cell r="B75" t="e">
            <v>#N/A</v>
          </cell>
          <cell r="C75" t="str">
            <v>--</v>
          </cell>
          <cell r="E75" t="str">
            <v>--</v>
          </cell>
          <cell r="F75" t="str">
            <v>--</v>
          </cell>
          <cell r="H75">
            <v>0</v>
          </cell>
          <cell r="I75" t="str">
            <v>--</v>
          </cell>
          <cell r="L75" t="str">
            <v>--</v>
          </cell>
          <cell r="N75" t="str">
            <v>--</v>
          </cell>
        </row>
        <row r="76">
          <cell r="B76" t="e">
            <v>#N/A</v>
          </cell>
          <cell r="C76" t="str">
            <v>--</v>
          </cell>
          <cell r="E76" t="str">
            <v>--</v>
          </cell>
          <cell r="F76" t="str">
            <v>--</v>
          </cell>
          <cell r="H76">
            <v>0</v>
          </cell>
          <cell r="I76" t="str">
            <v>--</v>
          </cell>
          <cell r="L76" t="str">
            <v>--</v>
          </cell>
          <cell r="N76" t="str">
            <v>--</v>
          </cell>
        </row>
        <row r="77">
          <cell r="B77" t="e">
            <v>#N/A</v>
          </cell>
          <cell r="C77" t="str">
            <v>--</v>
          </cell>
          <cell r="E77" t="str">
            <v>--</v>
          </cell>
          <cell r="F77" t="str">
            <v>--</v>
          </cell>
          <cell r="H77">
            <v>0</v>
          </cell>
          <cell r="I77" t="str">
            <v>--</v>
          </cell>
          <cell r="L77" t="str">
            <v>--</v>
          </cell>
          <cell r="N77" t="str">
            <v>--</v>
          </cell>
        </row>
        <row r="78">
          <cell r="B78" t="e">
            <v>#N/A</v>
          </cell>
          <cell r="C78" t="str">
            <v>--</v>
          </cell>
          <cell r="E78" t="str">
            <v>--</v>
          </cell>
          <cell r="F78" t="str">
            <v>--</v>
          </cell>
          <cell r="H78">
            <v>0</v>
          </cell>
          <cell r="I78" t="str">
            <v>--</v>
          </cell>
          <cell r="L78" t="str">
            <v>--</v>
          </cell>
          <cell r="N78" t="str">
            <v>--</v>
          </cell>
        </row>
        <row r="79">
          <cell r="B79" t="e">
            <v>#N/A</v>
          </cell>
          <cell r="C79" t="str">
            <v>--</v>
          </cell>
          <cell r="E79" t="str">
            <v>--</v>
          </cell>
          <cell r="F79" t="str">
            <v>--</v>
          </cell>
          <cell r="H79">
            <v>0</v>
          </cell>
          <cell r="I79" t="str">
            <v>--</v>
          </cell>
          <cell r="L79" t="str">
            <v>--</v>
          </cell>
          <cell r="N79" t="str">
            <v>--</v>
          </cell>
        </row>
        <row r="80">
          <cell r="B80" t="e">
            <v>#N/A</v>
          </cell>
          <cell r="C80" t="str">
            <v>--</v>
          </cell>
          <cell r="E80" t="str">
            <v>--</v>
          </cell>
          <cell r="F80" t="str">
            <v>--</v>
          </cell>
          <cell r="H80">
            <v>0</v>
          </cell>
          <cell r="I80" t="str">
            <v>--</v>
          </cell>
          <cell r="L80" t="str">
            <v>--</v>
          </cell>
          <cell r="N80" t="str">
            <v>--</v>
          </cell>
        </row>
        <row r="81">
          <cell r="B81" t="e">
            <v>#N/A</v>
          </cell>
          <cell r="C81" t="str">
            <v>--</v>
          </cell>
          <cell r="E81" t="str">
            <v>--</v>
          </cell>
          <cell r="F81" t="str">
            <v>--</v>
          </cell>
          <cell r="H81">
            <v>0</v>
          </cell>
          <cell r="I81" t="str">
            <v>--</v>
          </cell>
          <cell r="L81" t="str">
            <v>--</v>
          </cell>
          <cell r="N81" t="str">
            <v>--</v>
          </cell>
        </row>
        <row r="82">
          <cell r="B82" t="e">
            <v>#N/A</v>
          </cell>
          <cell r="C82" t="str">
            <v>--</v>
          </cell>
          <cell r="E82" t="str">
            <v>--</v>
          </cell>
          <cell r="F82" t="str">
            <v>--</v>
          </cell>
          <cell r="H82">
            <v>0</v>
          </cell>
          <cell r="I82" t="str">
            <v>--</v>
          </cell>
          <cell r="L82" t="str">
            <v>--</v>
          </cell>
          <cell r="N82" t="str">
            <v>--</v>
          </cell>
        </row>
        <row r="83">
          <cell r="B83" t="e">
            <v>#N/A</v>
          </cell>
          <cell r="C83" t="str">
            <v>--</v>
          </cell>
          <cell r="E83" t="str">
            <v>--</v>
          </cell>
          <cell r="F83" t="str">
            <v>--</v>
          </cell>
          <cell r="H83">
            <v>0</v>
          </cell>
          <cell r="I83" t="str">
            <v>--</v>
          </cell>
          <cell r="L83" t="str">
            <v>--</v>
          </cell>
          <cell r="N83" t="str">
            <v>--</v>
          </cell>
        </row>
        <row r="84">
          <cell r="B84" t="e">
            <v>#N/A</v>
          </cell>
          <cell r="C84" t="str">
            <v>--</v>
          </cell>
          <cell r="E84" t="str">
            <v>--</v>
          </cell>
          <cell r="F84" t="str">
            <v>--</v>
          </cell>
          <cell r="H84">
            <v>0</v>
          </cell>
          <cell r="I84" t="str">
            <v>--</v>
          </cell>
          <cell r="L84" t="str">
            <v>--</v>
          </cell>
          <cell r="N84" t="str">
            <v>--</v>
          </cell>
        </row>
        <row r="85">
          <cell r="B85" t="e">
            <v>#N/A</v>
          </cell>
          <cell r="C85" t="str">
            <v>--</v>
          </cell>
          <cell r="E85" t="str">
            <v>--</v>
          </cell>
          <cell r="F85" t="str">
            <v>--</v>
          </cell>
          <cell r="H85">
            <v>0</v>
          </cell>
          <cell r="I85" t="str">
            <v>--</v>
          </cell>
          <cell r="L85" t="str">
            <v>--</v>
          </cell>
          <cell r="N85" t="str">
            <v>--</v>
          </cell>
        </row>
        <row r="86">
          <cell r="B86" t="e">
            <v>#N/A</v>
          </cell>
          <cell r="C86" t="str">
            <v>--</v>
          </cell>
          <cell r="E86" t="str">
            <v>--</v>
          </cell>
          <cell r="F86" t="str">
            <v>--</v>
          </cell>
          <cell r="H86">
            <v>0</v>
          </cell>
          <cell r="I86" t="str">
            <v>--</v>
          </cell>
          <cell r="L86" t="str">
            <v>--</v>
          </cell>
          <cell r="N86" t="str">
            <v>--</v>
          </cell>
        </row>
        <row r="87">
          <cell r="B87" t="e">
            <v>#N/A</v>
          </cell>
          <cell r="C87" t="str">
            <v>--</v>
          </cell>
          <cell r="E87" t="str">
            <v>--</v>
          </cell>
          <cell r="F87" t="str">
            <v>--</v>
          </cell>
          <cell r="H87">
            <v>0</v>
          </cell>
          <cell r="I87" t="str">
            <v>--</v>
          </cell>
          <cell r="L87" t="str">
            <v>--</v>
          </cell>
          <cell r="N87" t="str">
            <v>--</v>
          </cell>
        </row>
        <row r="88">
          <cell r="B88" t="e">
            <v>#N/A</v>
          </cell>
          <cell r="C88" t="str">
            <v>--</v>
          </cell>
          <cell r="E88" t="str">
            <v>--</v>
          </cell>
          <cell r="F88" t="str">
            <v>--</v>
          </cell>
          <cell r="H88">
            <v>0</v>
          </cell>
          <cell r="I88" t="str">
            <v>--</v>
          </cell>
          <cell r="L88" t="str">
            <v>--</v>
          </cell>
          <cell r="N88" t="str">
            <v>--</v>
          </cell>
        </row>
        <row r="89">
          <cell r="B89" t="e">
            <v>#N/A</v>
          </cell>
          <cell r="C89" t="str">
            <v>--</v>
          </cell>
          <cell r="E89" t="str">
            <v>--</v>
          </cell>
          <cell r="F89" t="str">
            <v>--</v>
          </cell>
          <cell r="H89">
            <v>0</v>
          </cell>
          <cell r="I89" t="str">
            <v>--</v>
          </cell>
          <cell r="L89" t="str">
            <v>--</v>
          </cell>
          <cell r="N89" t="str">
            <v>--</v>
          </cell>
        </row>
        <row r="90">
          <cell r="B90" t="e">
            <v>#N/A</v>
          </cell>
          <cell r="C90" t="str">
            <v>--</v>
          </cell>
          <cell r="E90" t="str">
            <v>--</v>
          </cell>
          <cell r="F90" t="str">
            <v>--</v>
          </cell>
          <cell r="H90">
            <v>0</v>
          </cell>
          <cell r="I90" t="str">
            <v>--</v>
          </cell>
          <cell r="L90" t="str">
            <v>--</v>
          </cell>
          <cell r="N90" t="str">
            <v>--</v>
          </cell>
        </row>
        <row r="91">
          <cell r="B91" t="e">
            <v>#N/A</v>
          </cell>
          <cell r="C91" t="str">
            <v>--</v>
          </cell>
          <cell r="E91" t="str">
            <v>--</v>
          </cell>
          <cell r="F91" t="str">
            <v>--</v>
          </cell>
          <cell r="H91">
            <v>0</v>
          </cell>
          <cell r="I91" t="str">
            <v>--</v>
          </cell>
          <cell r="L91" t="str">
            <v>--</v>
          </cell>
          <cell r="N91" t="str">
            <v>--</v>
          </cell>
        </row>
        <row r="92">
          <cell r="B92" t="e">
            <v>#N/A</v>
          </cell>
          <cell r="C92" t="str">
            <v>--</v>
          </cell>
          <cell r="E92" t="str">
            <v>--</v>
          </cell>
          <cell r="F92" t="str">
            <v>--</v>
          </cell>
          <cell r="H92">
            <v>0</v>
          </cell>
          <cell r="I92" t="str">
            <v>--</v>
          </cell>
          <cell r="L92" t="str">
            <v>--</v>
          </cell>
          <cell r="N92" t="str">
            <v>--</v>
          </cell>
        </row>
        <row r="93">
          <cell r="B93" t="e">
            <v>#N/A</v>
          </cell>
          <cell r="C93" t="str">
            <v>--</v>
          </cell>
          <cell r="E93" t="str">
            <v>--</v>
          </cell>
          <cell r="F93" t="str">
            <v>--</v>
          </cell>
          <cell r="H93">
            <v>0</v>
          </cell>
          <cell r="I93" t="str">
            <v>--</v>
          </cell>
          <cell r="L93" t="str">
            <v>--</v>
          </cell>
          <cell r="N93" t="str">
            <v>--</v>
          </cell>
        </row>
        <row r="94">
          <cell r="B94" t="e">
            <v>#N/A</v>
          </cell>
          <cell r="C94" t="str">
            <v>--</v>
          </cell>
          <cell r="E94" t="str">
            <v>--</v>
          </cell>
          <cell r="F94" t="str">
            <v>--</v>
          </cell>
          <cell r="H94">
            <v>0</v>
          </cell>
          <cell r="I94" t="str">
            <v>--</v>
          </cell>
          <cell r="L94" t="str">
            <v>--</v>
          </cell>
          <cell r="N94" t="str">
            <v>--</v>
          </cell>
        </row>
        <row r="95">
          <cell r="B95" t="e">
            <v>#N/A</v>
          </cell>
          <cell r="C95" t="str">
            <v>--</v>
          </cell>
          <cell r="E95" t="str">
            <v>--</v>
          </cell>
          <cell r="F95" t="str">
            <v>--</v>
          </cell>
          <cell r="H95">
            <v>0</v>
          </cell>
          <cell r="I95" t="str">
            <v>--</v>
          </cell>
          <cell r="L95" t="str">
            <v>--</v>
          </cell>
          <cell r="N95" t="str">
            <v>--</v>
          </cell>
        </row>
        <row r="96">
          <cell r="B96" t="e">
            <v>#N/A</v>
          </cell>
          <cell r="C96" t="str">
            <v>--</v>
          </cell>
          <cell r="E96" t="str">
            <v>--</v>
          </cell>
          <cell r="F96" t="str">
            <v>--</v>
          </cell>
          <cell r="H96">
            <v>0</v>
          </cell>
          <cell r="I96" t="str">
            <v>--</v>
          </cell>
          <cell r="L96" t="str">
            <v>--</v>
          </cell>
          <cell r="N96" t="str">
            <v>--</v>
          </cell>
        </row>
        <row r="97">
          <cell r="B97" t="e">
            <v>#N/A</v>
          </cell>
          <cell r="C97" t="str">
            <v>--</v>
          </cell>
          <cell r="E97" t="str">
            <v>--</v>
          </cell>
          <cell r="F97" t="str">
            <v>--</v>
          </cell>
          <cell r="H97">
            <v>0</v>
          </cell>
          <cell r="I97" t="str">
            <v>--</v>
          </cell>
          <cell r="L97" t="str">
            <v>--</v>
          </cell>
          <cell r="N97" t="str">
            <v>--</v>
          </cell>
        </row>
        <row r="98">
          <cell r="B98" t="e">
            <v>#N/A</v>
          </cell>
          <cell r="C98" t="str">
            <v>--</v>
          </cell>
          <cell r="E98" t="str">
            <v>--</v>
          </cell>
          <cell r="F98" t="str">
            <v>--</v>
          </cell>
          <cell r="H98">
            <v>0</v>
          </cell>
          <cell r="I98" t="str">
            <v>--</v>
          </cell>
          <cell r="L98" t="str">
            <v>--</v>
          </cell>
          <cell r="N98" t="str">
            <v>--</v>
          </cell>
        </row>
        <row r="99">
          <cell r="B99" t="e">
            <v>#N/A</v>
          </cell>
          <cell r="C99" t="str">
            <v>--</v>
          </cell>
          <cell r="E99" t="str">
            <v>--</v>
          </cell>
          <cell r="F99" t="str">
            <v>--</v>
          </cell>
          <cell r="H99">
            <v>0</v>
          </cell>
          <cell r="I99" t="str">
            <v>--</v>
          </cell>
          <cell r="L99" t="str">
            <v>--</v>
          </cell>
          <cell r="N99" t="str">
            <v>--</v>
          </cell>
        </row>
        <row r="100">
          <cell r="B100" t="e">
            <v>#N/A</v>
          </cell>
          <cell r="C100" t="str">
            <v>--</v>
          </cell>
          <cell r="E100" t="str">
            <v>--</v>
          </cell>
          <cell r="F100" t="str">
            <v>--</v>
          </cell>
          <cell r="H100">
            <v>0</v>
          </cell>
          <cell r="I100" t="str">
            <v>--</v>
          </cell>
          <cell r="L100" t="str">
            <v>--</v>
          </cell>
          <cell r="N100" t="str">
            <v>--</v>
          </cell>
        </row>
        <row r="101">
          <cell r="B101" t="e">
            <v>#N/A</v>
          </cell>
          <cell r="C101" t="str">
            <v>--</v>
          </cell>
          <cell r="E101" t="str">
            <v>--</v>
          </cell>
          <cell r="F101" t="str">
            <v>--</v>
          </cell>
          <cell r="H101">
            <v>0</v>
          </cell>
          <cell r="I101" t="str">
            <v>--</v>
          </cell>
          <cell r="L101" t="str">
            <v>--</v>
          </cell>
          <cell r="N101" t="str">
            <v>--</v>
          </cell>
        </row>
        <row r="102">
          <cell r="B102" t="e">
            <v>#N/A</v>
          </cell>
          <cell r="C102" t="str">
            <v>--</v>
          </cell>
          <cell r="E102" t="str">
            <v>--</v>
          </cell>
          <cell r="F102" t="str">
            <v>--</v>
          </cell>
          <cell r="H102">
            <v>0</v>
          </cell>
          <cell r="I102" t="str">
            <v>--</v>
          </cell>
          <cell r="L102" t="str">
            <v>--</v>
          </cell>
          <cell r="N102" t="str">
            <v>--</v>
          </cell>
        </row>
        <row r="103">
          <cell r="B103" t="e">
            <v>#N/A</v>
          </cell>
          <cell r="C103" t="str">
            <v>--</v>
          </cell>
          <cell r="E103" t="str">
            <v>--</v>
          </cell>
          <cell r="F103" t="str">
            <v>--</v>
          </cell>
          <cell r="H103">
            <v>0</v>
          </cell>
          <cell r="I103" t="str">
            <v>--</v>
          </cell>
          <cell r="L103" t="str">
            <v>--</v>
          </cell>
          <cell r="N103" t="str">
            <v>--</v>
          </cell>
        </row>
        <row r="104">
          <cell r="B104" t="e">
            <v>#N/A</v>
          </cell>
          <cell r="C104" t="str">
            <v>--</v>
          </cell>
          <cell r="E104" t="str">
            <v>--</v>
          </cell>
          <cell r="F104" t="str">
            <v>--</v>
          </cell>
          <cell r="H104">
            <v>0</v>
          </cell>
          <cell r="I104" t="str">
            <v>--</v>
          </cell>
          <cell r="L104" t="str">
            <v>--</v>
          </cell>
          <cell r="N104" t="str">
            <v>--</v>
          </cell>
        </row>
        <row r="105">
          <cell r="B105" t="e">
            <v>#N/A</v>
          </cell>
          <cell r="C105" t="str">
            <v>--</v>
          </cell>
          <cell r="E105" t="str">
            <v>--</v>
          </cell>
          <cell r="F105" t="str">
            <v>--</v>
          </cell>
          <cell r="H105">
            <v>0</v>
          </cell>
          <cell r="I105" t="str">
            <v>--</v>
          </cell>
          <cell r="L105" t="str">
            <v>--</v>
          </cell>
          <cell r="N105" t="str">
            <v>--</v>
          </cell>
        </row>
        <row r="106">
          <cell r="B106" t="e">
            <v>#N/A</v>
          </cell>
          <cell r="C106" t="str">
            <v>--</v>
          </cell>
          <cell r="E106" t="str">
            <v>--</v>
          </cell>
          <cell r="F106" t="str">
            <v>--</v>
          </cell>
          <cell r="H106">
            <v>0</v>
          </cell>
          <cell r="I106" t="str">
            <v>--</v>
          </cell>
          <cell r="L106" t="str">
            <v>--</v>
          </cell>
          <cell r="N106" t="str">
            <v>--</v>
          </cell>
        </row>
        <row r="107">
          <cell r="B107" t="e">
            <v>#N/A</v>
          </cell>
          <cell r="C107" t="str">
            <v>--</v>
          </cell>
          <cell r="E107" t="str">
            <v>--</v>
          </cell>
          <cell r="F107" t="str">
            <v>--</v>
          </cell>
          <cell r="H107">
            <v>0</v>
          </cell>
          <cell r="I107" t="str">
            <v>--</v>
          </cell>
          <cell r="L107" t="str">
            <v>--</v>
          </cell>
          <cell r="N107" t="str">
            <v>--</v>
          </cell>
        </row>
        <row r="108">
          <cell r="B108" t="e">
            <v>#N/A</v>
          </cell>
          <cell r="C108" t="str">
            <v>--</v>
          </cell>
          <cell r="E108" t="str">
            <v>--</v>
          </cell>
          <cell r="F108" t="str">
            <v>--</v>
          </cell>
          <cell r="H108">
            <v>0</v>
          </cell>
          <cell r="I108" t="str">
            <v>--</v>
          </cell>
          <cell r="L108" t="str">
            <v>--</v>
          </cell>
          <cell r="N108" t="str">
            <v>--</v>
          </cell>
        </row>
        <row r="109">
          <cell r="B109" t="e">
            <v>#N/A</v>
          </cell>
          <cell r="C109" t="str">
            <v>--</v>
          </cell>
          <cell r="E109" t="str">
            <v>--</v>
          </cell>
          <cell r="F109" t="str">
            <v>--</v>
          </cell>
          <cell r="H109">
            <v>0</v>
          </cell>
          <cell r="I109" t="str">
            <v>--</v>
          </cell>
          <cell r="L109" t="str">
            <v>--</v>
          </cell>
          <cell r="N109" t="str">
            <v>--</v>
          </cell>
        </row>
        <row r="110">
          <cell r="B110" t="e">
            <v>#N/A</v>
          </cell>
          <cell r="C110" t="str">
            <v>--</v>
          </cell>
          <cell r="E110" t="str">
            <v>--</v>
          </cell>
          <cell r="F110" t="str">
            <v>--</v>
          </cell>
          <cell r="H110">
            <v>0</v>
          </cell>
          <cell r="I110" t="str">
            <v>--</v>
          </cell>
          <cell r="L110" t="str">
            <v>--</v>
          </cell>
          <cell r="N110" t="str">
            <v>--</v>
          </cell>
        </row>
        <row r="111">
          <cell r="B111" t="e">
            <v>#N/A</v>
          </cell>
          <cell r="C111" t="str">
            <v>--</v>
          </cell>
          <cell r="E111" t="str">
            <v>--</v>
          </cell>
          <cell r="F111" t="str">
            <v>--</v>
          </cell>
          <cell r="H111">
            <v>0</v>
          </cell>
          <cell r="I111" t="str">
            <v>--</v>
          </cell>
          <cell r="L111" t="str">
            <v>--</v>
          </cell>
          <cell r="N111" t="str">
            <v>--</v>
          </cell>
        </row>
        <row r="112">
          <cell r="B112" t="e">
            <v>#N/A</v>
          </cell>
          <cell r="C112" t="str">
            <v>--</v>
          </cell>
          <cell r="E112" t="str">
            <v>--</v>
          </cell>
          <cell r="F112" t="str">
            <v>--</v>
          </cell>
          <cell r="H112">
            <v>0</v>
          </cell>
          <cell r="I112" t="str">
            <v>--</v>
          </cell>
          <cell r="L112" t="str">
            <v>--</v>
          </cell>
          <cell r="N112" t="str">
            <v>--</v>
          </cell>
        </row>
        <row r="113">
          <cell r="B113" t="e">
            <v>#N/A</v>
          </cell>
          <cell r="C113" t="str">
            <v>--</v>
          </cell>
          <cell r="E113" t="str">
            <v>--</v>
          </cell>
          <cell r="F113" t="str">
            <v>--</v>
          </cell>
          <cell r="H113">
            <v>0</v>
          </cell>
          <cell r="I113" t="str">
            <v>--</v>
          </cell>
          <cell r="L113" t="str">
            <v>--</v>
          </cell>
          <cell r="N113" t="str">
            <v>--</v>
          </cell>
        </row>
        <row r="114">
          <cell r="B114" t="e">
            <v>#N/A</v>
          </cell>
          <cell r="C114" t="str">
            <v>--</v>
          </cell>
          <cell r="E114" t="str">
            <v>--</v>
          </cell>
          <cell r="F114" t="str">
            <v>--</v>
          </cell>
          <cell r="H114">
            <v>0</v>
          </cell>
          <cell r="I114" t="str">
            <v>--</v>
          </cell>
          <cell r="L114" t="str">
            <v>--</v>
          </cell>
          <cell r="N114" t="str">
            <v>--</v>
          </cell>
        </row>
        <row r="115">
          <cell r="B115" t="e">
            <v>#N/A</v>
          </cell>
          <cell r="C115" t="str">
            <v>--</v>
          </cell>
          <cell r="E115" t="str">
            <v>--</v>
          </cell>
          <cell r="F115" t="str">
            <v>--</v>
          </cell>
          <cell r="H115">
            <v>0</v>
          </cell>
          <cell r="I115" t="str">
            <v>--</v>
          </cell>
          <cell r="L115" t="str">
            <v>--</v>
          </cell>
          <cell r="N115" t="str">
            <v>--</v>
          </cell>
        </row>
        <row r="116">
          <cell r="B116" t="e">
            <v>#N/A</v>
          </cell>
          <cell r="C116" t="str">
            <v>--</v>
          </cell>
          <cell r="E116" t="str">
            <v>--</v>
          </cell>
          <cell r="F116" t="str">
            <v>--</v>
          </cell>
          <cell r="H116">
            <v>0</v>
          </cell>
          <cell r="I116" t="str">
            <v>--</v>
          </cell>
          <cell r="L116" t="str">
            <v>--</v>
          </cell>
          <cell r="N116" t="str">
            <v>--</v>
          </cell>
        </row>
        <row r="117">
          <cell r="B117" t="e">
            <v>#N/A</v>
          </cell>
          <cell r="C117" t="str">
            <v>--</v>
          </cell>
          <cell r="E117" t="str">
            <v>--</v>
          </cell>
          <cell r="F117" t="str">
            <v>--</v>
          </cell>
          <cell r="H117">
            <v>0</v>
          </cell>
          <cell r="I117" t="str">
            <v>--</v>
          </cell>
          <cell r="L117" t="str">
            <v>--</v>
          </cell>
          <cell r="N117" t="str">
            <v>--</v>
          </cell>
        </row>
        <row r="118">
          <cell r="B118" t="e">
            <v>#N/A</v>
          </cell>
          <cell r="C118" t="str">
            <v>--</v>
          </cell>
          <cell r="E118" t="str">
            <v>--</v>
          </cell>
          <cell r="F118" t="str">
            <v>--</v>
          </cell>
          <cell r="H118">
            <v>0</v>
          </cell>
          <cell r="I118" t="str">
            <v>--</v>
          </cell>
          <cell r="L118" t="str">
            <v>--</v>
          </cell>
          <cell r="N118" t="str">
            <v>--</v>
          </cell>
        </row>
        <row r="119">
          <cell r="B119" t="e">
            <v>#N/A</v>
          </cell>
          <cell r="C119" t="str">
            <v>--</v>
          </cell>
          <cell r="E119" t="str">
            <v>--</v>
          </cell>
          <cell r="F119" t="str">
            <v>--</v>
          </cell>
          <cell r="H119">
            <v>0</v>
          </cell>
          <cell r="I119" t="str">
            <v>--</v>
          </cell>
          <cell r="L119" t="str">
            <v>--</v>
          </cell>
          <cell r="N119" t="str">
            <v>--</v>
          </cell>
        </row>
        <row r="120">
          <cell r="B120" t="e">
            <v>#N/A</v>
          </cell>
          <cell r="C120" t="str">
            <v>--</v>
          </cell>
          <cell r="E120" t="str">
            <v>--</v>
          </cell>
          <cell r="F120" t="str">
            <v>--</v>
          </cell>
          <cell r="H120">
            <v>0</v>
          </cell>
          <cell r="I120" t="str">
            <v>--</v>
          </cell>
          <cell r="L120" t="str">
            <v>--</v>
          </cell>
          <cell r="N120" t="str">
            <v>--</v>
          </cell>
        </row>
        <row r="121">
          <cell r="B121" t="e">
            <v>#N/A</v>
          </cell>
          <cell r="C121" t="str">
            <v>--</v>
          </cell>
          <cell r="E121" t="str">
            <v>--</v>
          </cell>
          <cell r="F121" t="str">
            <v>--</v>
          </cell>
          <cell r="H121">
            <v>0</v>
          </cell>
          <cell r="I121" t="str">
            <v>--</v>
          </cell>
          <cell r="L121" t="str">
            <v>--</v>
          </cell>
          <cell r="N121" t="str">
            <v>--</v>
          </cell>
        </row>
        <row r="122">
          <cell r="B122" t="e">
            <v>#N/A</v>
          </cell>
          <cell r="C122" t="str">
            <v>--</v>
          </cell>
          <cell r="E122" t="str">
            <v>--</v>
          </cell>
          <cell r="F122" t="str">
            <v>--</v>
          </cell>
          <cell r="H122">
            <v>0</v>
          </cell>
          <cell r="I122" t="str">
            <v>--</v>
          </cell>
          <cell r="L122" t="str">
            <v>--</v>
          </cell>
          <cell r="N122" t="str">
            <v>--</v>
          </cell>
        </row>
        <row r="123">
          <cell r="B123" t="e">
            <v>#N/A</v>
          </cell>
          <cell r="C123" t="str">
            <v>--</v>
          </cell>
          <cell r="E123" t="str">
            <v>--</v>
          </cell>
          <cell r="F123" t="str">
            <v>--</v>
          </cell>
          <cell r="H123">
            <v>0</v>
          </cell>
          <cell r="I123" t="str">
            <v>--</v>
          </cell>
          <cell r="L123" t="str">
            <v>--</v>
          </cell>
          <cell r="N123" t="str">
            <v>--</v>
          </cell>
        </row>
        <row r="124">
          <cell r="B124" t="e">
            <v>#N/A</v>
          </cell>
          <cell r="C124" t="str">
            <v>--</v>
          </cell>
          <cell r="E124" t="str">
            <v>--</v>
          </cell>
          <cell r="F124" t="str">
            <v>--</v>
          </cell>
          <cell r="H124">
            <v>0</v>
          </cell>
          <cell r="I124" t="str">
            <v>--</v>
          </cell>
          <cell r="L124" t="str">
            <v>--</v>
          </cell>
          <cell r="N124" t="str">
            <v>--</v>
          </cell>
        </row>
        <row r="125">
          <cell r="B125" t="e">
            <v>#N/A</v>
          </cell>
          <cell r="C125" t="str">
            <v>--</v>
          </cell>
          <cell r="E125" t="str">
            <v>--</v>
          </cell>
          <cell r="F125" t="str">
            <v>--</v>
          </cell>
          <cell r="H125">
            <v>0</v>
          </cell>
          <cell r="I125" t="str">
            <v>--</v>
          </cell>
          <cell r="L125" t="str">
            <v>--</v>
          </cell>
          <cell r="N125" t="str">
            <v>--</v>
          </cell>
        </row>
        <row r="126">
          <cell r="B126" t="e">
            <v>#N/A</v>
          </cell>
          <cell r="C126" t="str">
            <v>--</v>
          </cell>
          <cell r="E126" t="str">
            <v>--</v>
          </cell>
          <cell r="F126" t="str">
            <v>--</v>
          </cell>
          <cell r="H126">
            <v>0</v>
          </cell>
          <cell r="I126" t="str">
            <v>--</v>
          </cell>
          <cell r="L126" t="str">
            <v>--</v>
          </cell>
          <cell r="N126" t="str">
            <v>--</v>
          </cell>
        </row>
        <row r="127">
          <cell r="B127" t="e">
            <v>#N/A</v>
          </cell>
          <cell r="C127" t="str">
            <v>--</v>
          </cell>
          <cell r="E127" t="str">
            <v>--</v>
          </cell>
          <cell r="F127" t="str">
            <v>--</v>
          </cell>
          <cell r="H127">
            <v>0</v>
          </cell>
          <cell r="I127" t="str">
            <v>--</v>
          </cell>
          <cell r="L127" t="str">
            <v>--</v>
          </cell>
          <cell r="N127" t="str">
            <v>--</v>
          </cell>
        </row>
        <row r="128">
          <cell r="B128" t="e">
            <v>#N/A</v>
          </cell>
          <cell r="C128" t="str">
            <v>--</v>
          </cell>
          <cell r="E128" t="str">
            <v>--</v>
          </cell>
          <cell r="F128" t="str">
            <v>--</v>
          </cell>
          <cell r="H128">
            <v>0</v>
          </cell>
          <cell r="I128" t="str">
            <v>--</v>
          </cell>
          <cell r="L128" t="str">
            <v>--</v>
          </cell>
          <cell r="N128" t="str">
            <v>--</v>
          </cell>
        </row>
        <row r="129">
          <cell r="B129" t="e">
            <v>#N/A</v>
          </cell>
          <cell r="C129" t="str">
            <v>--</v>
          </cell>
          <cell r="E129" t="str">
            <v>--</v>
          </cell>
          <cell r="F129" t="str">
            <v>--</v>
          </cell>
          <cell r="H129">
            <v>0</v>
          </cell>
          <cell r="I129" t="str">
            <v>--</v>
          </cell>
          <cell r="L129" t="str">
            <v>--</v>
          </cell>
          <cell r="N129" t="str">
            <v>--</v>
          </cell>
        </row>
        <row r="130">
          <cell r="B130" t="e">
            <v>#N/A</v>
          </cell>
          <cell r="C130" t="str">
            <v>--</v>
          </cell>
          <cell r="E130" t="str">
            <v>--</v>
          </cell>
          <cell r="F130" t="str">
            <v>--</v>
          </cell>
          <cell r="H130">
            <v>0</v>
          </cell>
          <cell r="I130" t="str">
            <v>--</v>
          </cell>
          <cell r="L130" t="str">
            <v>--</v>
          </cell>
          <cell r="N130" t="str">
            <v>--</v>
          </cell>
        </row>
        <row r="131">
          <cell r="B131" t="e">
            <v>#N/A</v>
          </cell>
          <cell r="C131" t="str">
            <v>--</v>
          </cell>
          <cell r="E131" t="str">
            <v>--</v>
          </cell>
          <cell r="F131" t="str">
            <v>--</v>
          </cell>
          <cell r="H131">
            <v>0</v>
          </cell>
          <cell r="I131" t="str">
            <v>--</v>
          </cell>
          <cell r="L131" t="str">
            <v>--</v>
          </cell>
          <cell r="N131" t="str">
            <v>--</v>
          </cell>
        </row>
        <row r="132">
          <cell r="B132" t="e">
            <v>#N/A</v>
          </cell>
          <cell r="C132" t="str">
            <v>--</v>
          </cell>
          <cell r="E132" t="str">
            <v>--</v>
          </cell>
          <cell r="F132" t="str">
            <v>--</v>
          </cell>
          <cell r="H132">
            <v>0</v>
          </cell>
          <cell r="I132" t="str">
            <v>--</v>
          </cell>
          <cell r="L132" t="str">
            <v>--</v>
          </cell>
          <cell r="N132" t="str">
            <v>--</v>
          </cell>
        </row>
        <row r="133">
          <cell r="B133" t="e">
            <v>#N/A</v>
          </cell>
          <cell r="C133" t="str">
            <v>--</v>
          </cell>
          <cell r="E133" t="str">
            <v>--</v>
          </cell>
          <cell r="F133" t="str">
            <v>--</v>
          </cell>
          <cell r="H133">
            <v>0</v>
          </cell>
          <cell r="I133" t="str">
            <v>--</v>
          </cell>
          <cell r="L133" t="str">
            <v>--</v>
          </cell>
          <cell r="N133" t="str">
            <v>--</v>
          </cell>
        </row>
        <row r="134">
          <cell r="B134" t="e">
            <v>#N/A</v>
          </cell>
          <cell r="C134" t="str">
            <v>--</v>
          </cell>
          <cell r="E134" t="str">
            <v>--</v>
          </cell>
          <cell r="F134" t="str">
            <v>--</v>
          </cell>
          <cell r="H134">
            <v>0</v>
          </cell>
          <cell r="I134" t="str">
            <v>--</v>
          </cell>
          <cell r="L134" t="str">
            <v>--</v>
          </cell>
          <cell r="N134" t="str">
            <v>--</v>
          </cell>
        </row>
        <row r="135">
          <cell r="B135" t="e">
            <v>#N/A</v>
          </cell>
          <cell r="C135" t="str">
            <v>--</v>
          </cell>
          <cell r="E135" t="str">
            <v>--</v>
          </cell>
          <cell r="F135" t="str">
            <v>--</v>
          </cell>
          <cell r="H135">
            <v>0</v>
          </cell>
          <cell r="I135" t="str">
            <v>--</v>
          </cell>
          <cell r="L135" t="str">
            <v>--</v>
          </cell>
          <cell r="N135" t="str">
            <v>--</v>
          </cell>
        </row>
        <row r="136">
          <cell r="B136" t="e">
            <v>#N/A</v>
          </cell>
          <cell r="C136" t="str">
            <v>--</v>
          </cell>
          <cell r="E136" t="str">
            <v>--</v>
          </cell>
          <cell r="F136" t="str">
            <v>--</v>
          </cell>
          <cell r="H136">
            <v>0</v>
          </cell>
          <cell r="I136" t="str">
            <v>--</v>
          </cell>
          <cell r="L136" t="str">
            <v>--</v>
          </cell>
          <cell r="N136" t="str">
            <v>--</v>
          </cell>
        </row>
        <row r="137">
          <cell r="B137" t="e">
            <v>#N/A</v>
          </cell>
          <cell r="C137" t="str">
            <v>--</v>
          </cell>
          <cell r="E137" t="str">
            <v>--</v>
          </cell>
          <cell r="F137" t="str">
            <v>--</v>
          </cell>
          <cell r="H137">
            <v>0</v>
          </cell>
          <cell r="I137" t="str">
            <v>--</v>
          </cell>
          <cell r="L137" t="str">
            <v>--</v>
          </cell>
          <cell r="N137" t="str">
            <v>--</v>
          </cell>
        </row>
        <row r="138">
          <cell r="B138" t="e">
            <v>#N/A</v>
          </cell>
          <cell r="C138" t="str">
            <v>--</v>
          </cell>
          <cell r="E138" t="str">
            <v>--</v>
          </cell>
          <cell r="F138" t="str">
            <v>--</v>
          </cell>
          <cell r="H138">
            <v>0</v>
          </cell>
          <cell r="I138" t="str">
            <v>--</v>
          </cell>
          <cell r="L138" t="str">
            <v>--</v>
          </cell>
          <cell r="N138" t="str">
            <v>--</v>
          </cell>
        </row>
        <row r="139">
          <cell r="B139" t="e">
            <v>#N/A</v>
          </cell>
          <cell r="C139" t="str">
            <v>--</v>
          </cell>
          <cell r="E139" t="str">
            <v>--</v>
          </cell>
          <cell r="F139" t="str">
            <v>--</v>
          </cell>
          <cell r="H139">
            <v>0</v>
          </cell>
          <cell r="I139" t="str">
            <v>--</v>
          </cell>
          <cell r="L139" t="str">
            <v>--</v>
          </cell>
          <cell r="N139" t="str">
            <v>--</v>
          </cell>
        </row>
        <row r="140">
          <cell r="B140" t="e">
            <v>#N/A</v>
          </cell>
          <cell r="C140" t="str">
            <v>--</v>
          </cell>
          <cell r="E140" t="str">
            <v>--</v>
          </cell>
          <cell r="F140" t="str">
            <v>--</v>
          </cell>
          <cell r="H140">
            <v>0</v>
          </cell>
          <cell r="I140" t="str">
            <v>--</v>
          </cell>
          <cell r="L140" t="str">
            <v>--</v>
          </cell>
          <cell r="N140" t="str">
            <v>--</v>
          </cell>
        </row>
        <row r="141">
          <cell r="B141" t="e">
            <v>#N/A</v>
          </cell>
          <cell r="C141" t="str">
            <v>--</v>
          </cell>
          <cell r="E141" t="str">
            <v>--</v>
          </cell>
          <cell r="F141" t="str">
            <v>--</v>
          </cell>
          <cell r="H141">
            <v>0</v>
          </cell>
          <cell r="I141" t="str">
            <v>--</v>
          </cell>
          <cell r="L141" t="str">
            <v>--</v>
          </cell>
          <cell r="N141" t="str">
            <v>--</v>
          </cell>
        </row>
        <row r="142">
          <cell r="B142" t="e">
            <v>#N/A</v>
          </cell>
          <cell r="C142" t="str">
            <v>--</v>
          </cell>
          <cell r="E142" t="str">
            <v>--</v>
          </cell>
          <cell r="F142" t="str">
            <v>--</v>
          </cell>
          <cell r="H142">
            <v>0</v>
          </cell>
          <cell r="I142" t="str">
            <v>--</v>
          </cell>
          <cell r="L142" t="str">
            <v>--</v>
          </cell>
          <cell r="N142" t="str">
            <v>--</v>
          </cell>
        </row>
        <row r="143">
          <cell r="B143" t="e">
            <v>#N/A</v>
          </cell>
          <cell r="C143" t="str">
            <v>--</v>
          </cell>
          <cell r="E143" t="str">
            <v>--</v>
          </cell>
          <cell r="F143" t="str">
            <v>--</v>
          </cell>
          <cell r="H143">
            <v>0</v>
          </cell>
          <cell r="I143" t="str">
            <v>--</v>
          </cell>
          <cell r="L143" t="str">
            <v>--</v>
          </cell>
          <cell r="N143" t="str">
            <v>--</v>
          </cell>
        </row>
        <row r="144">
          <cell r="B144" t="e">
            <v>#N/A</v>
          </cell>
          <cell r="C144" t="str">
            <v>--</v>
          </cell>
          <cell r="E144" t="str">
            <v>--</v>
          </cell>
          <cell r="F144" t="str">
            <v>--</v>
          </cell>
          <cell r="H144">
            <v>0</v>
          </cell>
          <cell r="I144" t="str">
            <v>--</v>
          </cell>
          <cell r="L144" t="str">
            <v>--</v>
          </cell>
          <cell r="N144" t="str">
            <v>--</v>
          </cell>
        </row>
        <row r="145">
          <cell r="B145" t="e">
            <v>#N/A</v>
          </cell>
          <cell r="C145" t="str">
            <v>--</v>
          </cell>
          <cell r="E145" t="str">
            <v>--</v>
          </cell>
          <cell r="F145" t="str">
            <v>--</v>
          </cell>
          <cell r="H145">
            <v>0</v>
          </cell>
          <cell r="I145" t="str">
            <v>--</v>
          </cell>
          <cell r="L145" t="str">
            <v>--</v>
          </cell>
          <cell r="N145" t="str">
            <v>--</v>
          </cell>
        </row>
        <row r="146">
          <cell r="B146" t="e">
            <v>#N/A</v>
          </cell>
          <cell r="C146" t="str">
            <v>--</v>
          </cell>
          <cell r="E146" t="str">
            <v>--</v>
          </cell>
          <cell r="F146" t="str">
            <v>--</v>
          </cell>
          <cell r="H146">
            <v>0</v>
          </cell>
          <cell r="I146" t="str">
            <v>--</v>
          </cell>
          <cell r="L146" t="str">
            <v>--</v>
          </cell>
          <cell r="N146" t="str">
            <v>--</v>
          </cell>
        </row>
        <row r="147">
          <cell r="B147" t="e">
            <v>#N/A</v>
          </cell>
          <cell r="C147" t="str">
            <v>--</v>
          </cell>
          <cell r="E147" t="str">
            <v>--</v>
          </cell>
          <cell r="F147" t="str">
            <v>--</v>
          </cell>
          <cell r="H147">
            <v>0</v>
          </cell>
          <cell r="I147" t="str">
            <v>--</v>
          </cell>
          <cell r="L147" t="str">
            <v>--</v>
          </cell>
          <cell r="N147" t="str">
            <v>--</v>
          </cell>
        </row>
        <row r="148">
          <cell r="B148" t="e">
            <v>#N/A</v>
          </cell>
          <cell r="C148" t="str">
            <v>--</v>
          </cell>
          <cell r="E148" t="str">
            <v>--</v>
          </cell>
          <cell r="F148" t="str">
            <v>--</v>
          </cell>
          <cell r="H148">
            <v>0</v>
          </cell>
          <cell r="I148" t="str">
            <v>--</v>
          </cell>
          <cell r="L148" t="str">
            <v>--</v>
          </cell>
          <cell r="N148" t="str">
            <v>--</v>
          </cell>
        </row>
        <row r="149">
          <cell r="B149" t="e">
            <v>#N/A</v>
          </cell>
          <cell r="C149" t="str">
            <v>--</v>
          </cell>
          <cell r="E149" t="str">
            <v>--</v>
          </cell>
          <cell r="F149" t="str">
            <v>--</v>
          </cell>
          <cell r="H149">
            <v>0</v>
          </cell>
          <cell r="I149" t="str">
            <v>--</v>
          </cell>
          <cell r="L149" t="str">
            <v>--</v>
          </cell>
          <cell r="N149" t="str">
            <v>--</v>
          </cell>
        </row>
        <row r="150">
          <cell r="B150" t="e">
            <v>#N/A</v>
          </cell>
          <cell r="C150" t="str">
            <v>--</v>
          </cell>
          <cell r="E150" t="str">
            <v>--</v>
          </cell>
          <cell r="F150" t="str">
            <v>--</v>
          </cell>
          <cell r="H150">
            <v>0</v>
          </cell>
          <cell r="I150" t="str">
            <v>--</v>
          </cell>
          <cell r="L150" t="str">
            <v>--</v>
          </cell>
          <cell r="N150" t="str">
            <v>--</v>
          </cell>
        </row>
        <row r="151">
          <cell r="B151" t="e">
            <v>#N/A</v>
          </cell>
          <cell r="C151" t="str">
            <v>--</v>
          </cell>
          <cell r="E151" t="str">
            <v>--</v>
          </cell>
          <cell r="F151" t="str">
            <v>--</v>
          </cell>
          <cell r="H151">
            <v>0</v>
          </cell>
          <cell r="I151" t="str">
            <v>--</v>
          </cell>
          <cell r="L151" t="str">
            <v>--</v>
          </cell>
          <cell r="N151" t="str">
            <v>--</v>
          </cell>
        </row>
        <row r="152">
          <cell r="B152" t="e">
            <v>#N/A</v>
          </cell>
          <cell r="C152" t="str">
            <v>--</v>
          </cell>
          <cell r="E152" t="str">
            <v>--</v>
          </cell>
          <cell r="F152" t="str">
            <v>--</v>
          </cell>
          <cell r="H152">
            <v>0</v>
          </cell>
          <cell r="I152" t="str">
            <v>--</v>
          </cell>
          <cell r="L152" t="str">
            <v>--</v>
          </cell>
          <cell r="N152" t="str">
            <v>--</v>
          </cell>
        </row>
        <row r="153">
          <cell r="B153" t="e">
            <v>#N/A</v>
          </cell>
          <cell r="C153" t="str">
            <v>--</v>
          </cell>
          <cell r="E153" t="str">
            <v>--</v>
          </cell>
          <cell r="F153" t="str">
            <v>--</v>
          </cell>
          <cell r="H153">
            <v>0</v>
          </cell>
          <cell r="I153" t="str">
            <v>--</v>
          </cell>
          <cell r="L153" t="str">
            <v>--</v>
          </cell>
          <cell r="N153" t="str">
            <v>--</v>
          </cell>
        </row>
        <row r="154">
          <cell r="B154" t="e">
            <v>#N/A</v>
          </cell>
          <cell r="C154" t="str">
            <v>--</v>
          </cell>
          <cell r="E154" t="str">
            <v>--</v>
          </cell>
          <cell r="F154" t="str">
            <v>--</v>
          </cell>
          <cell r="H154">
            <v>0</v>
          </cell>
          <cell r="I154" t="str">
            <v>--</v>
          </cell>
          <cell r="L154" t="str">
            <v>--</v>
          </cell>
          <cell r="N154" t="str">
            <v>--</v>
          </cell>
        </row>
        <row r="155">
          <cell r="B155" t="e">
            <v>#N/A</v>
          </cell>
          <cell r="C155" t="str">
            <v>--</v>
          </cell>
          <cell r="E155" t="str">
            <v>--</v>
          </cell>
          <cell r="F155" t="str">
            <v>--</v>
          </cell>
          <cell r="H155">
            <v>0</v>
          </cell>
          <cell r="I155" t="str">
            <v>--</v>
          </cell>
          <cell r="L155" t="str">
            <v>--</v>
          </cell>
          <cell r="N155" t="str">
            <v>--</v>
          </cell>
        </row>
        <row r="156">
          <cell r="B156" t="e">
            <v>#N/A</v>
          </cell>
          <cell r="C156" t="str">
            <v>--</v>
          </cell>
          <cell r="E156" t="str">
            <v>--</v>
          </cell>
          <cell r="F156" t="str">
            <v>--</v>
          </cell>
          <cell r="H156">
            <v>0</v>
          </cell>
          <cell r="I156" t="str">
            <v>--</v>
          </cell>
          <cell r="L156" t="str">
            <v>--</v>
          </cell>
          <cell r="N156" t="str">
            <v>--</v>
          </cell>
        </row>
        <row r="157">
          <cell r="B157" t="e">
            <v>#N/A</v>
          </cell>
          <cell r="C157" t="str">
            <v>--</v>
          </cell>
          <cell r="E157" t="str">
            <v>--</v>
          </cell>
          <cell r="F157" t="str">
            <v>--</v>
          </cell>
          <cell r="H157">
            <v>0</v>
          </cell>
          <cell r="I157" t="str">
            <v>--</v>
          </cell>
          <cell r="L157" t="str">
            <v>--</v>
          </cell>
          <cell r="N157" t="str">
            <v>--</v>
          </cell>
        </row>
        <row r="158">
          <cell r="B158" t="e">
            <v>#N/A</v>
          </cell>
          <cell r="C158" t="str">
            <v>--</v>
          </cell>
          <cell r="E158" t="str">
            <v>--</v>
          </cell>
          <cell r="F158" t="str">
            <v>--</v>
          </cell>
          <cell r="H158">
            <v>0</v>
          </cell>
          <cell r="I158" t="str">
            <v>--</v>
          </cell>
          <cell r="L158" t="str">
            <v>--</v>
          </cell>
          <cell r="N158" t="str">
            <v>--</v>
          </cell>
        </row>
        <row r="159">
          <cell r="B159" t="e">
            <v>#N/A</v>
          </cell>
          <cell r="C159" t="str">
            <v>--</v>
          </cell>
          <cell r="E159" t="str">
            <v>--</v>
          </cell>
          <cell r="F159" t="str">
            <v>--</v>
          </cell>
          <cell r="H159">
            <v>0</v>
          </cell>
          <cell r="I159" t="str">
            <v>--</v>
          </cell>
          <cell r="L159" t="str">
            <v>--</v>
          </cell>
          <cell r="N159" t="str">
            <v>--</v>
          </cell>
        </row>
        <row r="160">
          <cell r="B160" t="e">
            <v>#N/A</v>
          </cell>
          <cell r="C160" t="str">
            <v>--</v>
          </cell>
          <cell r="E160" t="str">
            <v>--</v>
          </cell>
          <cell r="F160" t="str">
            <v>--</v>
          </cell>
          <cell r="H160">
            <v>0</v>
          </cell>
          <cell r="I160" t="str">
            <v>--</v>
          </cell>
          <cell r="L160" t="str">
            <v>--</v>
          </cell>
          <cell r="N160" t="str">
            <v>--</v>
          </cell>
        </row>
        <row r="161">
          <cell r="B161" t="e">
            <v>#N/A</v>
          </cell>
          <cell r="C161" t="str">
            <v>--</v>
          </cell>
          <cell r="E161" t="str">
            <v>--</v>
          </cell>
          <cell r="F161" t="str">
            <v>--</v>
          </cell>
          <cell r="H161">
            <v>0</v>
          </cell>
          <cell r="I161" t="str">
            <v>--</v>
          </cell>
          <cell r="L161" t="str">
            <v>--</v>
          </cell>
          <cell r="N161" t="str">
            <v>--</v>
          </cell>
        </row>
        <row r="162">
          <cell r="B162" t="e">
            <v>#N/A</v>
          </cell>
          <cell r="C162" t="str">
            <v>--</v>
          </cell>
          <cell r="E162" t="str">
            <v>--</v>
          </cell>
          <cell r="F162" t="str">
            <v>--</v>
          </cell>
          <cell r="H162">
            <v>0</v>
          </cell>
          <cell r="I162" t="str">
            <v>--</v>
          </cell>
          <cell r="L162" t="str">
            <v>--</v>
          </cell>
          <cell r="N162" t="str">
            <v>--</v>
          </cell>
        </row>
        <row r="163">
          <cell r="B163" t="e">
            <v>#N/A</v>
          </cell>
          <cell r="C163" t="str">
            <v>--</v>
          </cell>
          <cell r="E163" t="str">
            <v>--</v>
          </cell>
          <cell r="F163" t="str">
            <v>--</v>
          </cell>
          <cell r="H163">
            <v>0</v>
          </cell>
          <cell r="I163" t="str">
            <v>--</v>
          </cell>
          <cell r="L163" t="str">
            <v>--</v>
          </cell>
          <cell r="N163" t="str">
            <v>--</v>
          </cell>
        </row>
        <row r="164">
          <cell r="B164" t="e">
            <v>#N/A</v>
          </cell>
          <cell r="C164" t="str">
            <v>--</v>
          </cell>
          <cell r="E164" t="str">
            <v>--</v>
          </cell>
          <cell r="F164" t="str">
            <v>--</v>
          </cell>
          <cell r="H164">
            <v>0</v>
          </cell>
          <cell r="I164" t="str">
            <v>--</v>
          </cell>
          <cell r="L164" t="str">
            <v>--</v>
          </cell>
          <cell r="N164" t="str">
            <v>--</v>
          </cell>
        </row>
        <row r="165">
          <cell r="B165" t="e">
            <v>#N/A</v>
          </cell>
          <cell r="C165" t="str">
            <v>--</v>
          </cell>
          <cell r="E165" t="str">
            <v>--</v>
          </cell>
          <cell r="F165" t="str">
            <v>--</v>
          </cell>
          <cell r="H165">
            <v>0</v>
          </cell>
          <cell r="I165" t="str">
            <v>--</v>
          </cell>
          <cell r="L165" t="str">
            <v>--</v>
          </cell>
          <cell r="N165" t="str">
            <v>--</v>
          </cell>
        </row>
        <row r="166">
          <cell r="B166" t="e">
            <v>#N/A</v>
          </cell>
          <cell r="C166" t="str">
            <v>--</v>
          </cell>
          <cell r="E166" t="str">
            <v>--</v>
          </cell>
          <cell r="F166" t="str">
            <v>--</v>
          </cell>
          <cell r="H166">
            <v>0</v>
          </cell>
          <cell r="I166" t="str">
            <v>--</v>
          </cell>
          <cell r="L166" t="str">
            <v>--</v>
          </cell>
          <cell r="N166" t="str">
            <v>--</v>
          </cell>
        </row>
        <row r="167">
          <cell r="B167" t="e">
            <v>#N/A</v>
          </cell>
          <cell r="C167" t="str">
            <v>--</v>
          </cell>
          <cell r="E167" t="str">
            <v>--</v>
          </cell>
          <cell r="F167" t="str">
            <v>--</v>
          </cell>
          <cell r="H167">
            <v>0</v>
          </cell>
          <cell r="I167" t="str">
            <v>--</v>
          </cell>
          <cell r="L167" t="str">
            <v>--</v>
          </cell>
          <cell r="N167" t="str">
            <v>--</v>
          </cell>
        </row>
        <row r="168">
          <cell r="B168" t="e">
            <v>#N/A</v>
          </cell>
          <cell r="C168" t="str">
            <v>--</v>
          </cell>
          <cell r="E168" t="str">
            <v>--</v>
          </cell>
          <cell r="F168" t="str">
            <v>--</v>
          </cell>
          <cell r="H168">
            <v>0</v>
          </cell>
          <cell r="I168" t="str">
            <v>--</v>
          </cell>
          <cell r="L168" t="str">
            <v>--</v>
          </cell>
          <cell r="N168" t="str">
            <v>--</v>
          </cell>
        </row>
        <row r="169">
          <cell r="B169" t="e">
            <v>#N/A</v>
          </cell>
          <cell r="C169" t="str">
            <v>--</v>
          </cell>
          <cell r="E169" t="str">
            <v>--</v>
          </cell>
          <cell r="F169" t="str">
            <v>--</v>
          </cell>
          <cell r="H169">
            <v>0</v>
          </cell>
          <cell r="I169" t="str">
            <v>--</v>
          </cell>
          <cell r="L169" t="str">
            <v>--</v>
          </cell>
          <cell r="N169" t="str">
            <v>--</v>
          </cell>
        </row>
        <row r="170">
          <cell r="B170" t="e">
            <v>#N/A</v>
          </cell>
          <cell r="C170" t="str">
            <v>--</v>
          </cell>
          <cell r="E170" t="str">
            <v>--</v>
          </cell>
          <cell r="F170" t="str">
            <v>--</v>
          </cell>
          <cell r="H170">
            <v>0</v>
          </cell>
          <cell r="I170" t="str">
            <v>--</v>
          </cell>
          <cell r="L170" t="str">
            <v>--</v>
          </cell>
          <cell r="N170" t="str">
            <v>--</v>
          </cell>
        </row>
        <row r="171">
          <cell r="B171" t="e">
            <v>#N/A</v>
          </cell>
          <cell r="C171" t="str">
            <v>--</v>
          </cell>
          <cell r="E171" t="str">
            <v>--</v>
          </cell>
          <cell r="F171" t="str">
            <v>--</v>
          </cell>
          <cell r="H171">
            <v>0</v>
          </cell>
          <cell r="I171" t="str">
            <v>--</v>
          </cell>
          <cell r="L171" t="str">
            <v>--</v>
          </cell>
          <cell r="N171" t="str">
            <v>--</v>
          </cell>
        </row>
        <row r="172">
          <cell r="B172" t="e">
            <v>#N/A</v>
          </cell>
          <cell r="C172" t="str">
            <v>--</v>
          </cell>
          <cell r="E172" t="str">
            <v>--</v>
          </cell>
          <cell r="F172" t="str">
            <v>--</v>
          </cell>
          <cell r="H172">
            <v>0</v>
          </cell>
          <cell r="I172" t="str">
            <v>--</v>
          </cell>
          <cell r="L172" t="str">
            <v>--</v>
          </cell>
          <cell r="N172" t="str">
            <v>--</v>
          </cell>
        </row>
        <row r="173">
          <cell r="B173" t="e">
            <v>#N/A</v>
          </cell>
          <cell r="C173" t="str">
            <v>--</v>
          </cell>
          <cell r="E173" t="str">
            <v>--</v>
          </cell>
          <cell r="F173" t="str">
            <v>--</v>
          </cell>
          <cell r="H173">
            <v>0</v>
          </cell>
          <cell r="I173" t="str">
            <v>--</v>
          </cell>
          <cell r="L173" t="str">
            <v>--</v>
          </cell>
          <cell r="N173" t="str">
            <v>--</v>
          </cell>
        </row>
        <row r="174">
          <cell r="B174" t="e">
            <v>#N/A</v>
          </cell>
          <cell r="C174" t="str">
            <v>--</v>
          </cell>
          <cell r="E174" t="str">
            <v>--</v>
          </cell>
          <cell r="F174" t="str">
            <v>--</v>
          </cell>
          <cell r="H174">
            <v>0</v>
          </cell>
          <cell r="I174" t="str">
            <v>--</v>
          </cell>
          <cell r="L174" t="str">
            <v>--</v>
          </cell>
          <cell r="N174" t="str">
            <v>--</v>
          </cell>
        </row>
        <row r="175">
          <cell r="B175" t="e">
            <v>#N/A</v>
          </cell>
          <cell r="C175" t="str">
            <v>--</v>
          </cell>
          <cell r="E175" t="str">
            <v>--</v>
          </cell>
          <cell r="F175" t="str">
            <v>--</v>
          </cell>
          <cell r="H175">
            <v>0</v>
          </cell>
          <cell r="I175" t="str">
            <v>--</v>
          </cell>
          <cell r="L175" t="str">
            <v>--</v>
          </cell>
          <cell r="N175" t="str">
            <v>--</v>
          </cell>
        </row>
        <row r="176">
          <cell r="B176" t="e">
            <v>#N/A</v>
          </cell>
          <cell r="C176" t="str">
            <v>--</v>
          </cell>
          <cell r="E176" t="str">
            <v>--</v>
          </cell>
          <cell r="F176" t="str">
            <v>--</v>
          </cell>
          <cell r="H176">
            <v>0</v>
          </cell>
          <cell r="I176" t="str">
            <v>--</v>
          </cell>
          <cell r="L176" t="str">
            <v>--</v>
          </cell>
          <cell r="N176" t="str">
            <v>--</v>
          </cell>
        </row>
        <row r="177">
          <cell r="B177" t="e">
            <v>#N/A</v>
          </cell>
          <cell r="C177" t="str">
            <v>--</v>
          </cell>
          <cell r="E177" t="str">
            <v>--</v>
          </cell>
          <cell r="F177" t="str">
            <v>--</v>
          </cell>
          <cell r="H177">
            <v>0</v>
          </cell>
          <cell r="I177" t="str">
            <v>--</v>
          </cell>
          <cell r="L177" t="str">
            <v>--</v>
          </cell>
          <cell r="N177" t="str">
            <v>--</v>
          </cell>
        </row>
        <row r="178">
          <cell r="B178" t="e">
            <v>#N/A</v>
          </cell>
          <cell r="C178" t="str">
            <v>--</v>
          </cell>
          <cell r="E178" t="str">
            <v>--</v>
          </cell>
          <cell r="F178" t="str">
            <v>--</v>
          </cell>
          <cell r="H178">
            <v>0</v>
          </cell>
          <cell r="I178" t="str">
            <v>--</v>
          </cell>
          <cell r="L178" t="str">
            <v>--</v>
          </cell>
          <cell r="N178" t="str">
            <v>--</v>
          </cell>
        </row>
        <row r="179">
          <cell r="B179" t="e">
            <v>#N/A</v>
          </cell>
          <cell r="C179" t="str">
            <v>--</v>
          </cell>
          <cell r="E179" t="str">
            <v>--</v>
          </cell>
          <cell r="F179" t="str">
            <v>--</v>
          </cell>
          <cell r="H179">
            <v>0</v>
          </cell>
          <cell r="I179" t="str">
            <v>--</v>
          </cell>
          <cell r="L179" t="str">
            <v>--</v>
          </cell>
          <cell r="N179" t="str">
            <v>--</v>
          </cell>
        </row>
        <row r="180">
          <cell r="B180" t="e">
            <v>#N/A</v>
          </cell>
          <cell r="C180" t="str">
            <v>--</v>
          </cell>
          <cell r="E180" t="str">
            <v>--</v>
          </cell>
          <cell r="F180" t="str">
            <v>--</v>
          </cell>
          <cell r="H180">
            <v>0</v>
          </cell>
          <cell r="I180" t="str">
            <v>--</v>
          </cell>
          <cell r="L180" t="str">
            <v>--</v>
          </cell>
          <cell r="N180" t="str">
            <v>--</v>
          </cell>
        </row>
        <row r="181">
          <cell r="B181" t="e">
            <v>#N/A</v>
          </cell>
          <cell r="C181" t="str">
            <v>--</v>
          </cell>
          <cell r="E181" t="str">
            <v>--</v>
          </cell>
          <cell r="F181" t="str">
            <v>--</v>
          </cell>
          <cell r="H181">
            <v>0</v>
          </cell>
          <cell r="I181" t="str">
            <v>--</v>
          </cell>
          <cell r="L181" t="str">
            <v>--</v>
          </cell>
          <cell r="N181" t="str">
            <v>--</v>
          </cell>
        </row>
        <row r="182">
          <cell r="B182" t="e">
            <v>#N/A</v>
          </cell>
          <cell r="C182" t="str">
            <v>--</v>
          </cell>
          <cell r="E182" t="str">
            <v>--</v>
          </cell>
          <cell r="F182" t="str">
            <v>--</v>
          </cell>
          <cell r="H182">
            <v>0</v>
          </cell>
          <cell r="I182" t="str">
            <v>--</v>
          </cell>
          <cell r="L182" t="str">
            <v>--</v>
          </cell>
          <cell r="N182" t="str">
            <v>--</v>
          </cell>
        </row>
        <row r="183">
          <cell r="B183" t="e">
            <v>#N/A</v>
          </cell>
          <cell r="C183" t="str">
            <v>--</v>
          </cell>
          <cell r="E183" t="str">
            <v>--</v>
          </cell>
          <cell r="F183" t="str">
            <v>--</v>
          </cell>
          <cell r="H183">
            <v>0</v>
          </cell>
          <cell r="I183" t="str">
            <v>--</v>
          </cell>
          <cell r="L183" t="str">
            <v>--</v>
          </cell>
          <cell r="N183" t="str">
            <v>--</v>
          </cell>
        </row>
        <row r="184">
          <cell r="B184" t="e">
            <v>#N/A</v>
          </cell>
          <cell r="C184" t="str">
            <v>--</v>
          </cell>
          <cell r="E184" t="str">
            <v>--</v>
          </cell>
          <cell r="F184" t="str">
            <v>--</v>
          </cell>
          <cell r="H184">
            <v>0</v>
          </cell>
          <cell r="I184" t="str">
            <v>--</v>
          </cell>
          <cell r="L184" t="str">
            <v>--</v>
          </cell>
          <cell r="N184" t="str">
            <v>--</v>
          </cell>
        </row>
        <row r="185">
          <cell r="B185" t="e">
            <v>#N/A</v>
          </cell>
          <cell r="C185" t="str">
            <v>--</v>
          </cell>
          <cell r="E185" t="str">
            <v>--</v>
          </cell>
          <cell r="F185" t="str">
            <v>--</v>
          </cell>
          <cell r="H185">
            <v>0</v>
          </cell>
          <cell r="I185" t="str">
            <v>--</v>
          </cell>
          <cell r="L185" t="str">
            <v>--</v>
          </cell>
          <cell r="N185" t="str">
            <v>--</v>
          </cell>
        </row>
        <row r="186">
          <cell r="B186" t="e">
            <v>#N/A</v>
          </cell>
          <cell r="C186" t="str">
            <v>--</v>
          </cell>
          <cell r="E186" t="str">
            <v>--</v>
          </cell>
          <cell r="F186" t="str">
            <v>--</v>
          </cell>
          <cell r="H186">
            <v>0</v>
          </cell>
          <cell r="I186" t="str">
            <v>--</v>
          </cell>
          <cell r="L186" t="str">
            <v>--</v>
          </cell>
          <cell r="N186" t="str">
            <v>--</v>
          </cell>
        </row>
        <row r="187">
          <cell r="B187" t="e">
            <v>#N/A</v>
          </cell>
          <cell r="C187" t="str">
            <v>--</v>
          </cell>
          <cell r="E187" t="str">
            <v>--</v>
          </cell>
          <cell r="F187" t="str">
            <v>--</v>
          </cell>
          <cell r="H187">
            <v>0</v>
          </cell>
          <cell r="I187" t="str">
            <v>--</v>
          </cell>
          <cell r="L187" t="str">
            <v>--</v>
          </cell>
          <cell r="N187" t="str">
            <v>--</v>
          </cell>
        </row>
        <row r="188">
          <cell r="B188" t="e">
            <v>#N/A</v>
          </cell>
          <cell r="C188" t="str">
            <v>--</v>
          </cell>
          <cell r="E188" t="str">
            <v>--</v>
          </cell>
          <cell r="F188" t="str">
            <v>--</v>
          </cell>
          <cell r="H188">
            <v>0</v>
          </cell>
          <cell r="I188" t="str">
            <v>--</v>
          </cell>
          <cell r="L188" t="str">
            <v>--</v>
          </cell>
          <cell r="N188" t="str">
            <v>--</v>
          </cell>
        </row>
        <row r="189">
          <cell r="B189" t="e">
            <v>#N/A</v>
          </cell>
          <cell r="C189" t="str">
            <v>--</v>
          </cell>
          <cell r="E189" t="str">
            <v>--</v>
          </cell>
          <cell r="F189" t="str">
            <v>--</v>
          </cell>
          <cell r="H189">
            <v>0</v>
          </cell>
          <cell r="I189" t="str">
            <v>--</v>
          </cell>
          <cell r="L189" t="str">
            <v>--</v>
          </cell>
          <cell r="N189" t="str">
            <v>--</v>
          </cell>
        </row>
        <row r="190">
          <cell r="B190" t="e">
            <v>#N/A</v>
          </cell>
          <cell r="C190" t="str">
            <v>--</v>
          </cell>
          <cell r="E190" t="str">
            <v>--</v>
          </cell>
          <cell r="F190" t="str">
            <v>--</v>
          </cell>
          <cell r="H190">
            <v>0</v>
          </cell>
          <cell r="I190" t="str">
            <v>--</v>
          </cell>
          <cell r="L190" t="str">
            <v>--</v>
          </cell>
          <cell r="N190" t="str">
            <v>--</v>
          </cell>
        </row>
        <row r="191">
          <cell r="B191" t="e">
            <v>#N/A</v>
          </cell>
          <cell r="C191" t="str">
            <v>--</v>
          </cell>
          <cell r="E191" t="str">
            <v>--</v>
          </cell>
          <cell r="F191" t="str">
            <v>--</v>
          </cell>
          <cell r="H191">
            <v>0</v>
          </cell>
          <cell r="I191" t="str">
            <v>--</v>
          </cell>
          <cell r="L191" t="str">
            <v>--</v>
          </cell>
          <cell r="N191" t="str">
            <v>--</v>
          </cell>
        </row>
        <row r="192">
          <cell r="B192" t="e">
            <v>#N/A</v>
          </cell>
          <cell r="C192" t="str">
            <v>--</v>
          </cell>
          <cell r="E192" t="str">
            <v>--</v>
          </cell>
          <cell r="F192" t="str">
            <v>--</v>
          </cell>
          <cell r="H192">
            <v>0</v>
          </cell>
          <cell r="I192" t="str">
            <v>--</v>
          </cell>
          <cell r="L192" t="str">
            <v>--</v>
          </cell>
          <cell r="N192" t="str">
            <v>--</v>
          </cell>
        </row>
        <row r="193">
          <cell r="B193" t="e">
            <v>#N/A</v>
          </cell>
          <cell r="C193" t="str">
            <v>--</v>
          </cell>
          <cell r="E193" t="str">
            <v>--</v>
          </cell>
          <cell r="F193" t="str">
            <v>--</v>
          </cell>
          <cell r="H193">
            <v>0</v>
          </cell>
          <cell r="I193" t="str">
            <v>--</v>
          </cell>
          <cell r="L193" t="str">
            <v>--</v>
          </cell>
          <cell r="N193" t="str">
            <v>--</v>
          </cell>
        </row>
        <row r="194">
          <cell r="B194" t="e">
            <v>#N/A</v>
          </cell>
          <cell r="C194" t="str">
            <v>--</v>
          </cell>
          <cell r="E194" t="str">
            <v>--</v>
          </cell>
          <cell r="F194" t="str">
            <v>--</v>
          </cell>
          <cell r="H194">
            <v>0</v>
          </cell>
          <cell r="I194" t="str">
            <v>--</v>
          </cell>
          <cell r="L194" t="str">
            <v>--</v>
          </cell>
          <cell r="N194" t="str">
            <v>--</v>
          </cell>
        </row>
        <row r="195">
          <cell r="B195" t="e">
            <v>#N/A</v>
          </cell>
          <cell r="C195" t="str">
            <v>--</v>
          </cell>
          <cell r="E195" t="str">
            <v>--</v>
          </cell>
          <cell r="F195" t="str">
            <v>--</v>
          </cell>
          <cell r="H195">
            <v>0</v>
          </cell>
          <cell r="I195" t="str">
            <v>--</v>
          </cell>
          <cell r="L195" t="str">
            <v>--</v>
          </cell>
          <cell r="N195" t="str">
            <v>--</v>
          </cell>
        </row>
        <row r="196">
          <cell r="B196" t="e">
            <v>#N/A</v>
          </cell>
          <cell r="C196" t="str">
            <v>--</v>
          </cell>
          <cell r="E196" t="str">
            <v>--</v>
          </cell>
          <cell r="F196" t="str">
            <v>--</v>
          </cell>
          <cell r="H196">
            <v>0</v>
          </cell>
          <cell r="I196" t="str">
            <v>--</v>
          </cell>
          <cell r="L196" t="str">
            <v>--</v>
          </cell>
          <cell r="N196" t="str">
            <v>--</v>
          </cell>
        </row>
        <row r="197">
          <cell r="B197" t="e">
            <v>#N/A</v>
          </cell>
          <cell r="C197" t="str">
            <v>--</v>
          </cell>
          <cell r="E197" t="str">
            <v>--</v>
          </cell>
          <cell r="F197" t="str">
            <v>--</v>
          </cell>
          <cell r="H197">
            <v>0</v>
          </cell>
          <cell r="I197" t="str">
            <v>--</v>
          </cell>
          <cell r="L197" t="str">
            <v>--</v>
          </cell>
          <cell r="N197" t="str">
            <v>--</v>
          </cell>
        </row>
        <row r="198">
          <cell r="B198" t="e">
            <v>#N/A</v>
          </cell>
          <cell r="C198" t="str">
            <v>--</v>
          </cell>
          <cell r="E198" t="str">
            <v>--</v>
          </cell>
          <cell r="F198" t="str">
            <v>--</v>
          </cell>
          <cell r="H198">
            <v>0</v>
          </cell>
          <cell r="I198" t="str">
            <v>--</v>
          </cell>
          <cell r="L198" t="str">
            <v>--</v>
          </cell>
          <cell r="N198" t="str">
            <v>--</v>
          </cell>
        </row>
        <row r="199">
          <cell r="B199" t="e">
            <v>#N/A</v>
          </cell>
          <cell r="C199" t="str">
            <v>--</v>
          </cell>
          <cell r="E199" t="str">
            <v>--</v>
          </cell>
          <cell r="F199" t="str">
            <v>--</v>
          </cell>
          <cell r="H199">
            <v>0</v>
          </cell>
          <cell r="I199" t="str">
            <v>--</v>
          </cell>
          <cell r="L199" t="str">
            <v>--</v>
          </cell>
          <cell r="N199" t="str">
            <v>--</v>
          </cell>
        </row>
        <row r="200">
          <cell r="B200" t="e">
            <v>#N/A</v>
          </cell>
          <cell r="C200" t="str">
            <v>--</v>
          </cell>
          <cell r="E200" t="str">
            <v>--</v>
          </cell>
          <cell r="F200" t="str">
            <v>--</v>
          </cell>
          <cell r="H200">
            <v>0</v>
          </cell>
          <cell r="I200" t="str">
            <v>--</v>
          </cell>
          <cell r="L200" t="str">
            <v>--</v>
          </cell>
          <cell r="N200" t="str">
            <v>--</v>
          </cell>
        </row>
        <row r="201">
          <cell r="B201" t="e">
            <v>#N/A</v>
          </cell>
          <cell r="C201" t="str">
            <v>--</v>
          </cell>
          <cell r="E201" t="str">
            <v>--</v>
          </cell>
          <cell r="F201" t="str">
            <v>--</v>
          </cell>
          <cell r="H201">
            <v>0</v>
          </cell>
          <cell r="I201" t="str">
            <v>--</v>
          </cell>
          <cell r="L201" t="str">
            <v>--</v>
          </cell>
          <cell r="N201" t="str">
            <v>--</v>
          </cell>
        </row>
        <row r="202">
          <cell r="B202" t="e">
            <v>#N/A</v>
          </cell>
          <cell r="C202" t="str">
            <v>--</v>
          </cell>
          <cell r="E202" t="str">
            <v>--</v>
          </cell>
          <cell r="F202" t="str">
            <v>--</v>
          </cell>
          <cell r="H202">
            <v>0</v>
          </cell>
          <cell r="I202" t="str">
            <v>--</v>
          </cell>
          <cell r="L202" t="str">
            <v>--</v>
          </cell>
          <cell r="N202" t="str">
            <v>--</v>
          </cell>
        </row>
        <row r="203">
          <cell r="B203" t="e">
            <v>#N/A</v>
          </cell>
          <cell r="C203" t="str">
            <v>--</v>
          </cell>
          <cell r="E203" t="str">
            <v>--</v>
          </cell>
          <cell r="F203" t="str">
            <v>--</v>
          </cell>
          <cell r="H203">
            <v>0</v>
          </cell>
          <cell r="I203" t="str">
            <v>--</v>
          </cell>
          <cell r="L203" t="str">
            <v>--</v>
          </cell>
          <cell r="N203" t="str">
            <v>--</v>
          </cell>
        </row>
        <row r="204">
          <cell r="B204" t="e">
            <v>#N/A</v>
          </cell>
          <cell r="C204" t="str">
            <v>--</v>
          </cell>
          <cell r="E204" t="str">
            <v>--</v>
          </cell>
          <cell r="F204" t="str">
            <v>--</v>
          </cell>
          <cell r="H204">
            <v>0</v>
          </cell>
          <cell r="I204" t="str">
            <v>--</v>
          </cell>
          <cell r="L204" t="str">
            <v>--</v>
          </cell>
          <cell r="N204" t="str">
            <v>--</v>
          </cell>
        </row>
        <row r="205">
          <cell r="B205" t="e">
            <v>#N/A</v>
          </cell>
          <cell r="C205" t="str">
            <v>--</v>
          </cell>
          <cell r="E205" t="str">
            <v>--</v>
          </cell>
          <cell r="F205" t="str">
            <v>--</v>
          </cell>
          <cell r="H205">
            <v>0</v>
          </cell>
          <cell r="I205" t="str">
            <v>--</v>
          </cell>
          <cell r="L205" t="str">
            <v>--</v>
          </cell>
          <cell r="N205" t="str">
            <v>--</v>
          </cell>
        </row>
        <row r="206">
          <cell r="B206" t="e">
            <v>#N/A</v>
          </cell>
          <cell r="C206" t="str">
            <v>--</v>
          </cell>
          <cell r="E206" t="str">
            <v>--</v>
          </cell>
          <cell r="F206" t="str">
            <v>--</v>
          </cell>
          <cell r="H206">
            <v>0</v>
          </cell>
          <cell r="I206" t="str">
            <v>--</v>
          </cell>
          <cell r="L206" t="str">
            <v>--</v>
          </cell>
          <cell r="N206" t="str">
            <v>--</v>
          </cell>
        </row>
        <row r="207">
          <cell r="B207" t="e">
            <v>#N/A</v>
          </cell>
          <cell r="C207" t="str">
            <v>--</v>
          </cell>
          <cell r="E207" t="str">
            <v>--</v>
          </cell>
          <cell r="F207" t="str">
            <v>--</v>
          </cell>
          <cell r="H207">
            <v>0</v>
          </cell>
          <cell r="I207" t="str">
            <v>--</v>
          </cell>
          <cell r="L207" t="str">
            <v>--</v>
          </cell>
          <cell r="N207" t="str">
            <v>--</v>
          </cell>
        </row>
        <row r="208">
          <cell r="B208" t="e">
            <v>#N/A</v>
          </cell>
          <cell r="C208" t="str">
            <v>--</v>
          </cell>
          <cell r="E208" t="str">
            <v>--</v>
          </cell>
          <cell r="F208" t="str">
            <v>--</v>
          </cell>
          <cell r="H208">
            <v>0</v>
          </cell>
          <cell r="I208" t="str">
            <v>--</v>
          </cell>
          <cell r="L208" t="str">
            <v>--</v>
          </cell>
          <cell r="N208" t="str">
            <v>--</v>
          </cell>
        </row>
        <row r="209">
          <cell r="B209" t="e">
            <v>#N/A</v>
          </cell>
          <cell r="C209" t="str">
            <v>--</v>
          </cell>
          <cell r="E209" t="str">
            <v>--</v>
          </cell>
          <cell r="F209" t="str">
            <v>--</v>
          </cell>
          <cell r="H209">
            <v>0</v>
          </cell>
          <cell r="I209" t="str">
            <v>--</v>
          </cell>
          <cell r="L209" t="str">
            <v>--</v>
          </cell>
          <cell r="N209" t="str">
            <v>--</v>
          </cell>
        </row>
        <row r="210">
          <cell r="B210" t="e">
            <v>#N/A</v>
          </cell>
          <cell r="C210" t="str">
            <v>--</v>
          </cell>
          <cell r="E210" t="str">
            <v>--</v>
          </cell>
          <cell r="F210" t="str">
            <v>--</v>
          </cell>
          <cell r="H210">
            <v>0</v>
          </cell>
          <cell r="I210" t="str">
            <v>--</v>
          </cell>
          <cell r="L210" t="str">
            <v>--</v>
          </cell>
          <cell r="N210" t="str">
            <v>--</v>
          </cell>
        </row>
        <row r="211">
          <cell r="B211" t="e">
            <v>#N/A</v>
          </cell>
          <cell r="C211" t="str">
            <v>--</v>
          </cell>
          <cell r="E211" t="str">
            <v>--</v>
          </cell>
          <cell r="F211" t="str">
            <v>--</v>
          </cell>
          <cell r="H211">
            <v>0</v>
          </cell>
          <cell r="I211" t="str">
            <v>--</v>
          </cell>
          <cell r="L211" t="str">
            <v>--</v>
          </cell>
          <cell r="N211" t="str">
            <v>--</v>
          </cell>
        </row>
        <row r="212">
          <cell r="B212" t="e">
            <v>#N/A</v>
          </cell>
          <cell r="C212" t="str">
            <v>--</v>
          </cell>
          <cell r="E212" t="str">
            <v>--</v>
          </cell>
          <cell r="F212" t="str">
            <v>--</v>
          </cell>
          <cell r="H212">
            <v>0</v>
          </cell>
          <cell r="I212" t="str">
            <v>--</v>
          </cell>
          <cell r="L212" t="str">
            <v>--</v>
          </cell>
          <cell r="N212" t="str">
            <v>--</v>
          </cell>
        </row>
        <row r="213">
          <cell r="B213" t="e">
            <v>#N/A</v>
          </cell>
          <cell r="C213" t="str">
            <v>--</v>
          </cell>
          <cell r="E213" t="str">
            <v>--</v>
          </cell>
          <cell r="F213" t="str">
            <v>--</v>
          </cell>
          <cell r="H213">
            <v>0</v>
          </cell>
          <cell r="I213" t="str">
            <v>--</v>
          </cell>
          <cell r="L213" t="str">
            <v>--</v>
          </cell>
          <cell r="N213" t="str">
            <v>--</v>
          </cell>
        </row>
        <row r="214">
          <cell r="B214" t="e">
            <v>#N/A</v>
          </cell>
          <cell r="C214" t="str">
            <v>--</v>
          </cell>
          <cell r="E214" t="str">
            <v>--</v>
          </cell>
          <cell r="F214" t="str">
            <v>--</v>
          </cell>
          <cell r="H214">
            <v>0</v>
          </cell>
          <cell r="I214" t="str">
            <v>--</v>
          </cell>
          <cell r="L214" t="str">
            <v>--</v>
          </cell>
          <cell r="N214" t="str">
            <v>--</v>
          </cell>
        </row>
        <row r="215">
          <cell r="B215" t="e">
            <v>#N/A</v>
          </cell>
          <cell r="C215" t="str">
            <v>--</v>
          </cell>
          <cell r="E215" t="str">
            <v>--</v>
          </cell>
          <cell r="F215" t="str">
            <v>--</v>
          </cell>
          <cell r="H215">
            <v>0</v>
          </cell>
          <cell r="I215" t="str">
            <v>--</v>
          </cell>
          <cell r="L215" t="str">
            <v>--</v>
          </cell>
          <cell r="N215" t="str">
            <v>--</v>
          </cell>
        </row>
        <row r="216">
          <cell r="B216" t="e">
            <v>#N/A</v>
          </cell>
          <cell r="C216" t="str">
            <v>--</v>
          </cell>
          <cell r="E216" t="str">
            <v>--</v>
          </cell>
          <cell r="F216" t="str">
            <v>--</v>
          </cell>
          <cell r="H216">
            <v>0</v>
          </cell>
          <cell r="I216" t="str">
            <v>--</v>
          </cell>
          <cell r="L216" t="str">
            <v>--</v>
          </cell>
          <cell r="N216" t="str">
            <v>--</v>
          </cell>
        </row>
        <row r="217">
          <cell r="B217" t="e">
            <v>#N/A</v>
          </cell>
          <cell r="C217" t="str">
            <v>--</v>
          </cell>
          <cell r="E217" t="str">
            <v>--</v>
          </cell>
          <cell r="F217" t="str">
            <v>--</v>
          </cell>
          <cell r="H217">
            <v>0</v>
          </cell>
          <cell r="I217" t="str">
            <v>--</v>
          </cell>
          <cell r="L217" t="str">
            <v>--</v>
          </cell>
          <cell r="N217" t="str">
            <v>--</v>
          </cell>
        </row>
        <row r="218">
          <cell r="B218" t="e">
            <v>#N/A</v>
          </cell>
          <cell r="C218" t="str">
            <v>--</v>
          </cell>
          <cell r="E218" t="str">
            <v>--</v>
          </cell>
          <cell r="F218" t="str">
            <v>--</v>
          </cell>
          <cell r="H218">
            <v>0</v>
          </cell>
          <cell r="I218" t="str">
            <v>--</v>
          </cell>
          <cell r="L218" t="str">
            <v>--</v>
          </cell>
          <cell r="N218" t="str">
            <v>--</v>
          </cell>
        </row>
        <row r="219">
          <cell r="B219" t="e">
            <v>#N/A</v>
          </cell>
          <cell r="C219" t="str">
            <v>--</v>
          </cell>
          <cell r="E219" t="str">
            <v>--</v>
          </cell>
          <cell r="F219" t="str">
            <v>--</v>
          </cell>
          <cell r="H219">
            <v>0</v>
          </cell>
          <cell r="I219" t="str">
            <v>--</v>
          </cell>
          <cell r="L219" t="str">
            <v>--</v>
          </cell>
          <cell r="N219" t="str">
            <v>--</v>
          </cell>
        </row>
        <row r="220">
          <cell r="B220" t="e">
            <v>#N/A</v>
          </cell>
          <cell r="C220" t="str">
            <v>--</v>
          </cell>
          <cell r="E220" t="str">
            <v>--</v>
          </cell>
          <cell r="F220" t="str">
            <v>--</v>
          </cell>
          <cell r="H220">
            <v>0</v>
          </cell>
          <cell r="I220" t="str">
            <v>--</v>
          </cell>
          <cell r="L220" t="str">
            <v>--</v>
          </cell>
          <cell r="N220" t="str">
            <v>--</v>
          </cell>
        </row>
        <row r="221">
          <cell r="B221" t="e">
            <v>#N/A</v>
          </cell>
          <cell r="C221" t="str">
            <v>--</v>
          </cell>
          <cell r="E221" t="str">
            <v>--</v>
          </cell>
          <cell r="F221" t="str">
            <v>--</v>
          </cell>
          <cell r="H221">
            <v>0</v>
          </cell>
          <cell r="I221" t="str">
            <v>--</v>
          </cell>
          <cell r="L221" t="str">
            <v>--</v>
          </cell>
          <cell r="N221" t="str">
            <v>--</v>
          </cell>
        </row>
        <row r="222">
          <cell r="B222" t="e">
            <v>#N/A</v>
          </cell>
          <cell r="C222" t="str">
            <v>--</v>
          </cell>
          <cell r="E222" t="str">
            <v>--</v>
          </cell>
          <cell r="F222" t="str">
            <v>--</v>
          </cell>
          <cell r="H222">
            <v>0</v>
          </cell>
          <cell r="I222" t="str">
            <v>--</v>
          </cell>
          <cell r="L222" t="str">
            <v>--</v>
          </cell>
          <cell r="N222" t="str">
            <v>--</v>
          </cell>
        </row>
        <row r="223">
          <cell r="B223" t="e">
            <v>#N/A</v>
          </cell>
          <cell r="C223" t="str">
            <v>--</v>
          </cell>
          <cell r="E223" t="str">
            <v>--</v>
          </cell>
          <cell r="F223" t="str">
            <v>--</v>
          </cell>
          <cell r="H223">
            <v>0</v>
          </cell>
          <cell r="I223" t="str">
            <v>--</v>
          </cell>
          <cell r="L223" t="str">
            <v>--</v>
          </cell>
          <cell r="N223" t="str">
            <v>--</v>
          </cell>
        </row>
        <row r="224">
          <cell r="B224" t="e">
            <v>#N/A</v>
          </cell>
          <cell r="C224" t="str">
            <v>--</v>
          </cell>
          <cell r="E224" t="str">
            <v>--</v>
          </cell>
          <cell r="F224" t="str">
            <v>--</v>
          </cell>
          <cell r="H224">
            <v>0</v>
          </cell>
          <cell r="I224" t="str">
            <v>--</v>
          </cell>
          <cell r="L224" t="str">
            <v>--</v>
          </cell>
          <cell r="N224" t="str">
            <v>--</v>
          </cell>
        </row>
        <row r="225">
          <cell r="B225" t="e">
            <v>#N/A</v>
          </cell>
          <cell r="C225" t="str">
            <v>--</v>
          </cell>
          <cell r="E225" t="str">
            <v>--</v>
          </cell>
          <cell r="F225" t="str">
            <v>--</v>
          </cell>
          <cell r="H225">
            <v>0</v>
          </cell>
          <cell r="I225" t="str">
            <v>--</v>
          </cell>
          <cell r="L225" t="str">
            <v>--</v>
          </cell>
          <cell r="N225" t="str">
            <v>--</v>
          </cell>
        </row>
        <row r="226">
          <cell r="B226" t="e">
            <v>#N/A</v>
          </cell>
          <cell r="C226" t="str">
            <v>--</v>
          </cell>
          <cell r="E226" t="str">
            <v>--</v>
          </cell>
          <cell r="F226" t="str">
            <v>--</v>
          </cell>
          <cell r="H226">
            <v>0</v>
          </cell>
          <cell r="I226" t="str">
            <v>--</v>
          </cell>
          <cell r="L226" t="str">
            <v>--</v>
          </cell>
          <cell r="N226" t="str">
            <v>--</v>
          </cell>
        </row>
        <row r="227">
          <cell r="B227" t="e">
            <v>#N/A</v>
          </cell>
          <cell r="C227" t="str">
            <v>--</v>
          </cell>
          <cell r="E227" t="str">
            <v>--</v>
          </cell>
          <cell r="F227" t="str">
            <v>--</v>
          </cell>
          <cell r="H227">
            <v>0</v>
          </cell>
          <cell r="I227" t="str">
            <v>--</v>
          </cell>
          <cell r="L227" t="str">
            <v>--</v>
          </cell>
          <cell r="N227" t="str">
            <v>--</v>
          </cell>
        </row>
        <row r="228">
          <cell r="B228" t="e">
            <v>#N/A</v>
          </cell>
          <cell r="C228" t="str">
            <v>--</v>
          </cell>
          <cell r="E228" t="str">
            <v>--</v>
          </cell>
          <cell r="F228" t="str">
            <v>--</v>
          </cell>
          <cell r="H228">
            <v>0</v>
          </cell>
          <cell r="I228" t="str">
            <v>--</v>
          </cell>
          <cell r="L228" t="str">
            <v>--</v>
          </cell>
          <cell r="N228" t="str">
            <v>--</v>
          </cell>
        </row>
        <row r="229">
          <cell r="B229" t="e">
            <v>#N/A</v>
          </cell>
          <cell r="C229" t="str">
            <v>--</v>
          </cell>
          <cell r="E229" t="str">
            <v>--</v>
          </cell>
          <cell r="F229" t="str">
            <v>--</v>
          </cell>
          <cell r="H229">
            <v>0</v>
          </cell>
          <cell r="I229" t="str">
            <v>--</v>
          </cell>
          <cell r="L229" t="str">
            <v>--</v>
          </cell>
          <cell r="N229" t="str">
            <v>--</v>
          </cell>
        </row>
        <row r="230">
          <cell r="B230" t="e">
            <v>#N/A</v>
          </cell>
          <cell r="C230" t="str">
            <v>--</v>
          </cell>
          <cell r="E230" t="str">
            <v>--</v>
          </cell>
          <cell r="F230" t="str">
            <v>--</v>
          </cell>
          <cell r="H230">
            <v>0</v>
          </cell>
          <cell r="I230" t="str">
            <v>--</v>
          </cell>
          <cell r="L230" t="str">
            <v>--</v>
          </cell>
          <cell r="N230" t="str">
            <v>--</v>
          </cell>
        </row>
        <row r="231">
          <cell r="B231" t="e">
            <v>#N/A</v>
          </cell>
          <cell r="C231" t="str">
            <v>--</v>
          </cell>
          <cell r="E231" t="str">
            <v>--</v>
          </cell>
          <cell r="F231" t="str">
            <v>--</v>
          </cell>
          <cell r="H231">
            <v>0</v>
          </cell>
          <cell r="I231" t="str">
            <v>--</v>
          </cell>
          <cell r="L231" t="str">
            <v>--</v>
          </cell>
          <cell r="N231" t="str">
            <v>--</v>
          </cell>
        </row>
        <row r="232">
          <cell r="B232" t="e">
            <v>#N/A</v>
          </cell>
          <cell r="C232" t="str">
            <v>--</v>
          </cell>
          <cell r="E232" t="str">
            <v>--</v>
          </cell>
          <cell r="F232" t="str">
            <v>--</v>
          </cell>
          <cell r="H232">
            <v>0</v>
          </cell>
          <cell r="I232" t="str">
            <v>--</v>
          </cell>
          <cell r="L232" t="str">
            <v>--</v>
          </cell>
          <cell r="N232" t="str">
            <v>--</v>
          </cell>
        </row>
        <row r="233">
          <cell r="B233" t="e">
            <v>#N/A</v>
          </cell>
          <cell r="C233" t="str">
            <v>--</v>
          </cell>
          <cell r="E233" t="str">
            <v>--</v>
          </cell>
          <cell r="F233" t="str">
            <v>--</v>
          </cell>
          <cell r="H233">
            <v>0</v>
          </cell>
          <cell r="I233" t="str">
            <v>--</v>
          </cell>
          <cell r="L233" t="str">
            <v>--</v>
          </cell>
          <cell r="N233" t="str">
            <v>--</v>
          </cell>
        </row>
        <row r="234">
          <cell r="B234" t="e">
            <v>#N/A</v>
          </cell>
          <cell r="C234" t="str">
            <v>--</v>
          </cell>
          <cell r="E234" t="str">
            <v>--</v>
          </cell>
          <cell r="F234" t="str">
            <v>--</v>
          </cell>
          <cell r="H234">
            <v>0</v>
          </cell>
          <cell r="I234" t="str">
            <v>--</v>
          </cell>
          <cell r="L234" t="str">
            <v>--</v>
          </cell>
          <cell r="N234" t="str">
            <v>--</v>
          </cell>
        </row>
        <row r="235">
          <cell r="B235" t="e">
            <v>#N/A</v>
          </cell>
          <cell r="C235" t="str">
            <v>--</v>
          </cell>
          <cell r="E235" t="str">
            <v>--</v>
          </cell>
          <cell r="F235" t="str">
            <v>--</v>
          </cell>
          <cell r="H235">
            <v>0</v>
          </cell>
          <cell r="I235" t="str">
            <v>--</v>
          </cell>
          <cell r="L235" t="str">
            <v>--</v>
          </cell>
          <cell r="N235" t="str">
            <v>--</v>
          </cell>
        </row>
        <row r="236">
          <cell r="B236" t="e">
            <v>#N/A</v>
          </cell>
          <cell r="C236" t="str">
            <v>--</v>
          </cell>
          <cell r="E236" t="str">
            <v>--</v>
          </cell>
          <cell r="F236" t="str">
            <v>--</v>
          </cell>
          <cell r="H236">
            <v>0</v>
          </cell>
          <cell r="I236" t="str">
            <v>--</v>
          </cell>
          <cell r="L236" t="str">
            <v>--</v>
          </cell>
          <cell r="N236" t="str">
            <v>--</v>
          </cell>
        </row>
        <row r="237">
          <cell r="B237" t="e">
            <v>#N/A</v>
          </cell>
          <cell r="C237" t="str">
            <v>--</v>
          </cell>
          <cell r="E237" t="str">
            <v>--</v>
          </cell>
          <cell r="F237" t="str">
            <v>--</v>
          </cell>
          <cell r="H237">
            <v>0</v>
          </cell>
          <cell r="I237" t="str">
            <v>--</v>
          </cell>
          <cell r="L237" t="str">
            <v>--</v>
          </cell>
          <cell r="N237" t="str">
            <v>--</v>
          </cell>
        </row>
        <row r="238">
          <cell r="B238" t="e">
            <v>#N/A</v>
          </cell>
          <cell r="C238" t="str">
            <v>--</v>
          </cell>
          <cell r="E238" t="str">
            <v>--</v>
          </cell>
          <cell r="F238" t="str">
            <v>--</v>
          </cell>
          <cell r="H238">
            <v>0</v>
          </cell>
          <cell r="I238" t="str">
            <v>--</v>
          </cell>
          <cell r="L238" t="str">
            <v>--</v>
          </cell>
          <cell r="N238" t="str">
            <v>--</v>
          </cell>
        </row>
        <row r="239">
          <cell r="B239" t="e">
            <v>#N/A</v>
          </cell>
          <cell r="C239" t="str">
            <v>--</v>
          </cell>
          <cell r="E239" t="str">
            <v>--</v>
          </cell>
          <cell r="F239" t="str">
            <v>--</v>
          </cell>
          <cell r="H239">
            <v>0</v>
          </cell>
          <cell r="I239" t="str">
            <v>--</v>
          </cell>
          <cell r="L239" t="str">
            <v>--</v>
          </cell>
          <cell r="N239" t="str">
            <v>--</v>
          </cell>
        </row>
        <row r="240">
          <cell r="B240" t="e">
            <v>#N/A</v>
          </cell>
          <cell r="C240" t="str">
            <v>--</v>
          </cell>
          <cell r="E240" t="str">
            <v>--</v>
          </cell>
          <cell r="F240" t="str">
            <v>--</v>
          </cell>
          <cell r="H240">
            <v>0</v>
          </cell>
          <cell r="I240" t="str">
            <v>--</v>
          </cell>
          <cell r="L240" t="str">
            <v>--</v>
          </cell>
          <cell r="N240" t="str">
            <v>--</v>
          </cell>
        </row>
        <row r="241">
          <cell r="B241" t="e">
            <v>#N/A</v>
          </cell>
          <cell r="C241" t="str">
            <v>--</v>
          </cell>
          <cell r="E241" t="str">
            <v>--</v>
          </cell>
          <cell r="F241" t="str">
            <v>--</v>
          </cell>
          <cell r="H241">
            <v>0</v>
          </cell>
          <cell r="I241" t="str">
            <v>--</v>
          </cell>
          <cell r="L241" t="str">
            <v>--</v>
          </cell>
          <cell r="N241" t="str">
            <v>--</v>
          </cell>
        </row>
        <row r="242">
          <cell r="B242" t="e">
            <v>#N/A</v>
          </cell>
          <cell r="C242" t="str">
            <v>--</v>
          </cell>
          <cell r="E242" t="str">
            <v>--</v>
          </cell>
          <cell r="F242" t="str">
            <v>--</v>
          </cell>
          <cell r="H242">
            <v>0</v>
          </cell>
          <cell r="I242" t="str">
            <v>--</v>
          </cell>
          <cell r="L242" t="str">
            <v>--</v>
          </cell>
          <cell r="N242" t="str">
            <v>--</v>
          </cell>
        </row>
        <row r="243">
          <cell r="B243" t="e">
            <v>#N/A</v>
          </cell>
          <cell r="C243" t="str">
            <v>--</v>
          </cell>
          <cell r="E243" t="str">
            <v>--</v>
          </cell>
          <cell r="F243" t="str">
            <v>--</v>
          </cell>
          <cell r="H243">
            <v>0</v>
          </cell>
          <cell r="I243" t="str">
            <v>--</v>
          </cell>
          <cell r="L243" t="str">
            <v>--</v>
          </cell>
          <cell r="N243" t="str">
            <v>--</v>
          </cell>
        </row>
        <row r="244">
          <cell r="B244" t="e">
            <v>#N/A</v>
          </cell>
          <cell r="C244" t="str">
            <v>--</v>
          </cell>
          <cell r="E244" t="str">
            <v>--</v>
          </cell>
          <cell r="F244" t="str">
            <v>--</v>
          </cell>
          <cell r="H244">
            <v>0</v>
          </cell>
          <cell r="I244" t="str">
            <v>--</v>
          </cell>
          <cell r="L244" t="str">
            <v>--</v>
          </cell>
          <cell r="N244" t="str">
            <v>--</v>
          </cell>
        </row>
        <row r="245">
          <cell r="B245" t="e">
            <v>#N/A</v>
          </cell>
          <cell r="C245" t="str">
            <v>--</v>
          </cell>
          <cell r="E245" t="str">
            <v>--</v>
          </cell>
          <cell r="F245" t="str">
            <v>--</v>
          </cell>
          <cell r="H245">
            <v>0</v>
          </cell>
          <cell r="I245" t="str">
            <v>--</v>
          </cell>
          <cell r="L245" t="str">
            <v>--</v>
          </cell>
          <cell r="N245" t="str">
            <v>--</v>
          </cell>
        </row>
        <row r="246">
          <cell r="B246" t="e">
            <v>#N/A</v>
          </cell>
          <cell r="C246" t="str">
            <v>--</v>
          </cell>
          <cell r="E246" t="str">
            <v>--</v>
          </cell>
          <cell r="F246" t="str">
            <v>--</v>
          </cell>
          <cell r="H246">
            <v>0</v>
          </cell>
          <cell r="I246" t="str">
            <v>--</v>
          </cell>
          <cell r="L246" t="str">
            <v>--</v>
          </cell>
          <cell r="N246" t="str">
            <v>--</v>
          </cell>
        </row>
        <row r="247">
          <cell r="B247" t="e">
            <v>#N/A</v>
          </cell>
          <cell r="C247" t="str">
            <v>--</v>
          </cell>
          <cell r="E247" t="str">
            <v>--</v>
          </cell>
          <cell r="F247" t="str">
            <v>--</v>
          </cell>
          <cell r="H247">
            <v>0</v>
          </cell>
          <cell r="I247" t="str">
            <v>--</v>
          </cell>
          <cell r="L247" t="str">
            <v>--</v>
          </cell>
          <cell r="N247" t="str">
            <v>--</v>
          </cell>
        </row>
        <row r="248">
          <cell r="B248" t="e">
            <v>#N/A</v>
          </cell>
          <cell r="C248" t="str">
            <v>--</v>
          </cell>
          <cell r="E248" t="str">
            <v>--</v>
          </cell>
          <cell r="F248" t="str">
            <v>--</v>
          </cell>
          <cell r="H248">
            <v>0</v>
          </cell>
          <cell r="I248" t="str">
            <v>--</v>
          </cell>
          <cell r="L248" t="str">
            <v>--</v>
          </cell>
          <cell r="N248" t="str">
            <v>--</v>
          </cell>
        </row>
        <row r="249">
          <cell r="B249" t="e">
            <v>#N/A</v>
          </cell>
          <cell r="C249" t="str">
            <v>--</v>
          </cell>
          <cell r="E249" t="str">
            <v>--</v>
          </cell>
          <cell r="F249" t="str">
            <v>--</v>
          </cell>
          <cell r="H249">
            <v>0</v>
          </cell>
          <cell r="I249" t="str">
            <v>--</v>
          </cell>
          <cell r="L249" t="str">
            <v>--</v>
          </cell>
          <cell r="N249" t="str">
            <v>--</v>
          </cell>
        </row>
        <row r="250">
          <cell r="B250" t="e">
            <v>#N/A</v>
          </cell>
          <cell r="C250" t="str">
            <v>--</v>
          </cell>
          <cell r="E250" t="str">
            <v>--</v>
          </cell>
          <cell r="F250" t="str">
            <v>--</v>
          </cell>
          <cell r="H250">
            <v>0</v>
          </cell>
          <cell r="I250" t="str">
            <v>--</v>
          </cell>
          <cell r="L250" t="str">
            <v>--</v>
          </cell>
          <cell r="N250" t="str">
            <v>--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ANNPLAN"/>
      <sheetName val="DataYTD"/>
      <sheetName val="Project Definition Form Summary"/>
      <sheetName val="DirectworksLis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UBE FAB"/>
      <sheetName val="Tube CBD"/>
      <sheetName val="SHEET METAL"/>
      <sheetName val="Sheet Metal_CBD"/>
      <sheetName val="Weld Table"/>
      <sheetName val="SHEET METAL BACK UP"/>
      <sheetName val="PLASTIC"/>
      <sheetName val="Plastic CBD"/>
      <sheetName val="Plastic-Backup"/>
      <sheetName val="CASTING"/>
      <sheetName val="Casting CBD "/>
      <sheetName val="MACHINED"/>
      <sheetName val="EXTRUSION"/>
      <sheetName val="Extrusion CBD"/>
      <sheetName val="Machining - Cycle time"/>
      <sheetName val="StandardRates"/>
      <sheetName val="StandardRates_RM"/>
      <sheetName val="Burden rat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 Summary"/>
      <sheetName val="PN Details"/>
      <sheetName val="BOM Cost"/>
      <sheetName val="Sheet1"/>
      <sheetName val="Process Cost"/>
      <sheetName val="Burden rate"/>
      <sheetName val="Labour rate"/>
      <sheetName val="Aptiv"/>
      <sheetName val="Circuit_analysis"/>
      <sheetName val="BOM"/>
      <sheetName val="No of Parts"/>
      <sheetName val="Burden rate Calculator"/>
      <sheetName val="Difference in BOM Cost"/>
    </sheetNames>
    <sheetDataSet>
      <sheetData sheetId="0">
        <row r="9">
          <cell r="A9" t="str">
            <v>Material Cost</v>
          </cell>
        </row>
      </sheetData>
      <sheetData sheetId="1"/>
      <sheetData sheetId="2">
        <row r="201">
          <cell r="A201" t="str">
            <v>HOUS</v>
          </cell>
        </row>
        <row r="202">
          <cell r="A202" t="str">
            <v>TRML</v>
          </cell>
        </row>
        <row r="203">
          <cell r="A203" t="str">
            <v>SEAL</v>
          </cell>
        </row>
        <row r="204">
          <cell r="A204" t="str">
            <v>SLOC</v>
          </cell>
        </row>
        <row r="205">
          <cell r="A205" t="str">
            <v>HTS</v>
          </cell>
        </row>
        <row r="206">
          <cell r="A206" t="str">
            <v>COVR</v>
          </cell>
        </row>
        <row r="207">
          <cell r="A207" t="str">
            <v>FUSE</v>
          </cell>
        </row>
        <row r="208">
          <cell r="A208" t="str">
            <v>CAPS</v>
          </cell>
        </row>
        <row r="209">
          <cell r="A209" t="str">
            <v>CLIP</v>
          </cell>
        </row>
        <row r="210">
          <cell r="A210" t="str">
            <v>CABL</v>
          </cell>
        </row>
        <row r="211">
          <cell r="A211" t="str">
            <v>GROM</v>
          </cell>
        </row>
        <row r="212">
          <cell r="A212" t="str">
            <v>OTHER</v>
          </cell>
        </row>
        <row r="213">
          <cell r="A213" t="str">
            <v>TUBE</v>
          </cell>
        </row>
        <row r="214">
          <cell r="A214" t="str">
            <v>LABL</v>
          </cell>
        </row>
        <row r="215">
          <cell r="A215" t="str">
            <v>BRAID</v>
          </cell>
        </row>
        <row r="216">
          <cell r="A216" t="str">
            <v>TAPE</v>
          </cell>
        </row>
        <row r="217">
          <cell r="A217" t="str">
            <v>FI</v>
          </cell>
        </row>
        <row r="218">
          <cell r="A218" t="str">
            <v>MANUAL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ummary"/>
      <sheetName val="Process Plan"/>
      <sheetName val="Cylinder (inch)"/>
      <sheetName val="Backup"/>
      <sheetName val="Setup time"/>
      <sheetName val="Machining Calculation"/>
      <sheetName val="Burden Rate"/>
      <sheetName val="Cylinder"/>
      <sheetName val="Cylinder (inch) (square sheet)"/>
      <sheetName val="Sheet2"/>
      <sheetName val="density"/>
      <sheetName val="Cleaning-Was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Notes"/>
      <sheetName val="Output_Cover"/>
      <sheetName val="Output_Summary"/>
      <sheetName val="Output_Graph1"/>
      <sheetName val="Output_Graph2"/>
      <sheetName val="Output_Graph1_Old"/>
      <sheetName val="Output_OnePager"/>
      <sheetName val="Output_Graph3"/>
      <sheetName val="Output_ChanDevTbl2"/>
      <sheetName val="Output_MnthlyDev"/>
      <sheetName val="Output_ChanDev2"/>
      <sheetName val="Output_ChanDevTable"/>
      <sheetName val="Output_ChannelDevices"/>
      <sheetName val="Model_Subs"/>
      <sheetName val="Model_Seasonality"/>
      <sheetName val="Input_ChannelDevices"/>
      <sheetName val="Input_Stores"/>
      <sheetName val="Input_Actuals"/>
      <sheetName val="Output_Channels"/>
      <sheetName val="Site Total - AP"/>
      <sheetName val="Site Total - QTD"/>
      <sheetName val="Site Total - YTD"/>
    </sheetNames>
    <sheetDataSet>
      <sheetData sheetId="0" refreshError="1"/>
      <sheetData sheetId="1" refreshError="1">
        <row r="8">
          <cell r="C8" t="str">
            <v>Revised Draft (08/05/04)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pecific"/>
      <sheetName val="General"/>
      <sheetName val="IS"/>
      <sheetName val="OVERVIEW"/>
      <sheetName val="EMC"/>
      <sheetName val="PROXIM"/>
      <sheetName val="XEROX"/>
      <sheetName val="DANGER"/>
      <sheetName val="2 WIRE"/>
      <sheetName val="HP FRONT PANEL"/>
      <sheetName val="REPAIR CTR"/>
      <sheetName val="XM"/>
      <sheetName val="IFC"/>
      <sheetName val="MAT"/>
      <sheetName val="DL SUMMARY"/>
      <sheetName val="IDL SUMMARY"/>
      <sheetName val="SGA"/>
      <sheetName val="OMH"/>
      <sheetName val="sales+elim"/>
      <sheetName val="sales+elim (2)"/>
      <sheetName val="ID_MAT"/>
      <sheetName val="CON_COST"/>
      <sheetName val="Costmargin"/>
      <sheetName val="NRe"/>
      <sheetName val="Utility"/>
      <sheetName val="FREIGHT"/>
      <sheetName val="Depn"/>
      <sheetName val="Depn_Spec1"/>
      <sheetName val="DL-PROJECT"/>
      <sheetName val="IDL-PROJECT"/>
      <sheetName val="PROD_LINE"/>
      <sheetName val="FOSSIL"/>
      <sheetName val="ST"/>
      <sheetName val="HP EULLER"/>
      <sheetName val="HP SOLAR"/>
      <sheetName val="HP SOLAR &amp; EULLER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uld Cost"/>
      <sheetName val="2062756-03"/>
    </sheet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orecasting Guidelines"/>
      <sheetName val="Worksheet_Revised"/>
      <sheetName val="Hardware Sales Mix"/>
      <sheetName val="Notes"/>
      <sheetName val="Worksheet_Base"/>
      <sheetName val="INDEX"/>
      <sheetName val="JV.or TRW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D11">
            <v>2.2000000000000002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BtmsideSMTModule"/>
      <sheetName val="Assumptions"/>
      <sheetName val="QuoteSummary"/>
      <sheetName val="Prep"/>
      <sheetName val="AI"/>
      <sheetName val="TopSMT"/>
      <sheetName val="BtmSMT"/>
      <sheetName val="Top&amp;BtmSMT"/>
      <sheetName val="Offline"/>
      <sheetName val="ManAssy&amp;Wave"/>
      <sheetName val="FinalAssy"/>
      <sheetName val="Test"/>
      <sheetName val="BoxBuild"/>
      <sheetName val="Packing"/>
      <sheetName val="Notes"/>
      <sheetName val="Data lists"/>
      <sheetName val="MOH-April"/>
    </sheetNames>
    <sheetDataSet>
      <sheetData sheetId="0" refreshError="1"/>
      <sheetData sheetId="1" refreshError="1"/>
      <sheetData sheetId="2" refreshError="1">
        <row r="14">
          <cell r="J14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y"/>
      <sheetName val="TOTAL"/>
      <sheetName val="LEAH PARKER"/>
      <sheetName val="Notes"/>
      <sheetName val="SMAD 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F Instructions"/>
      <sheetName val="Project Definition Form Summary"/>
      <sheetName val="Project Justification"/>
      <sheetName val="Monthly Realization"/>
      <sheetName val="Monthly Formulas"/>
      <sheetName val="TPCT"/>
      <sheetName val="OQO DL Labor+Wages"/>
      <sheetName val="Realization Charts"/>
      <sheetName val="Status Plan"/>
      <sheetName val="Issue Log"/>
      <sheetName val="SMT Layout"/>
      <sheetName val="Backends"/>
      <sheetName val="SMAD Dashboard"/>
      <sheetName val="TOTAL"/>
      <sheetName val="Input"/>
      <sheetName val="Rates"/>
    </sheetNames>
    <sheetDataSet>
      <sheetData sheetId="0" refreshError="1"/>
      <sheetData sheetId="1" refreshError="1">
        <row r="9">
          <cell r="D9" t="str">
            <v>OQO Direct Labor Cost Reduction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Notes"/>
      <sheetName val="Output_Cover"/>
      <sheetName val="Output_Summary"/>
      <sheetName val="Output_Graph1"/>
      <sheetName val="Output_Graph2"/>
      <sheetName val="Output_Graph1_Old"/>
      <sheetName val="Output_OnePager"/>
      <sheetName val="Output_Graph3"/>
      <sheetName val="Output_ChanDevTbl2"/>
      <sheetName val="Output_ChanDev2"/>
      <sheetName val="Output_ChanDevTable"/>
      <sheetName val="Output_ChannelDevices"/>
      <sheetName val="Model_Subs"/>
      <sheetName val="Model_Seasonality"/>
      <sheetName val="Input_ChannelDevices"/>
      <sheetName val="Input_Stores"/>
      <sheetName val="Input_Actuals"/>
      <sheetName val="Output_Channels"/>
      <sheetName val="Project Definition Form Summary"/>
      <sheetName val="비교원RD-S"/>
    </sheetNames>
    <sheetDataSet>
      <sheetData sheetId="0" refreshError="1"/>
      <sheetData sheetId="1" refreshError="1">
        <row r="8">
          <cell r="C8" t="str">
            <v>Revised Draft (08/05/04)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Results"/>
      <sheetName val="Process Sheet"/>
      <sheetName val="Variable Sheet"/>
      <sheetName val="INDEX"/>
      <sheetName val="Summary"/>
      <sheetName val="Machining"/>
      <sheetName val="Sand Casting"/>
      <sheetName val="Sand Casting Mat"/>
      <sheetName val="Other Secondary Process"/>
      <sheetName val="Heat Treatment"/>
      <sheetName val="Surface Treatment"/>
      <sheetName val="Burden Rate calc-apriori"/>
      <sheetName val="back end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308D-FC47-4955-AFAC-771D0F4E9F1F}">
  <sheetPr>
    <tabColor theme="4" tint="0.59999389629810485"/>
    <pageSetUpPr fitToPage="1"/>
  </sheetPr>
  <dimension ref="A1:M26"/>
  <sheetViews>
    <sheetView showGridLines="0" tabSelected="1" view="pageBreakPreview" topLeftCell="A4" zoomScaleNormal="85" zoomScaleSheetLayoutView="100" zoomScalePageLayoutView="70" workbookViewId="0">
      <selection activeCell="C10" sqref="C10"/>
    </sheetView>
  </sheetViews>
  <sheetFormatPr defaultRowHeight="15" x14ac:dyDescent="0.3"/>
  <cols>
    <col min="1" max="1" width="39" style="1" bestFit="1" customWidth="1"/>
    <col min="2" max="2" width="9" style="1" customWidth="1"/>
    <col min="3" max="3" width="24.453125" style="1" customWidth="1"/>
    <col min="4" max="4" width="19.7265625" style="1" bestFit="1" customWidth="1"/>
    <col min="5" max="11" width="8.7265625" style="1"/>
    <col min="12" max="12" width="13.26953125" style="1" bestFit="1" customWidth="1"/>
    <col min="13" max="16384" width="8.7265625" style="1"/>
  </cols>
  <sheetData>
    <row r="1" spans="1:9" ht="48.65" customHeight="1" thickBot="1" x14ac:dyDescent="0.35">
      <c r="A1" s="38" t="s">
        <v>0</v>
      </c>
      <c r="B1" s="39"/>
      <c r="C1" s="39"/>
      <c r="D1" s="39"/>
      <c r="E1" s="39"/>
      <c r="F1" s="39"/>
      <c r="G1" s="39"/>
      <c r="H1" s="39"/>
      <c r="I1" s="40"/>
    </row>
    <row r="2" spans="1:9" ht="23" customHeight="1" thickBot="1" x14ac:dyDescent="0.35">
      <c r="A2" s="2" t="s">
        <v>1</v>
      </c>
      <c r="B2" s="41" t="s">
        <v>20</v>
      </c>
      <c r="C2" s="42"/>
      <c r="D2" s="3"/>
      <c r="I2" s="4"/>
    </row>
    <row r="3" spans="1:9" ht="23" customHeight="1" thickBot="1" x14ac:dyDescent="0.35">
      <c r="A3" s="5" t="s">
        <v>2</v>
      </c>
      <c r="B3" s="6"/>
      <c r="C3" s="7">
        <v>6000</v>
      </c>
      <c r="D3" s="3"/>
      <c r="I3" s="4"/>
    </row>
    <row r="4" spans="1:9" ht="23" customHeight="1" thickBot="1" x14ac:dyDescent="0.35">
      <c r="A4" s="8" t="s">
        <v>3</v>
      </c>
      <c r="B4" s="9"/>
      <c r="C4" s="9" t="s">
        <v>4</v>
      </c>
      <c r="D4" s="3"/>
      <c r="I4" s="4"/>
    </row>
    <row r="5" spans="1:9" ht="23" customHeight="1" thickBot="1" x14ac:dyDescent="0.35">
      <c r="A5" s="8" t="s">
        <v>5</v>
      </c>
      <c r="B5" s="9"/>
      <c r="C5" s="9">
        <f>ROUNDUP(IF(C4="Weekly",B3/54,IF(C4="Monthly",C3/12,IF(C4="Quarterly",C3/4,IF(C4="Half Yearly",C3/2,IF(C4="Yearly",C3,0))))),0)</f>
        <v>500</v>
      </c>
      <c r="D5" s="3"/>
      <c r="I5" s="4"/>
    </row>
    <row r="6" spans="1:9" ht="23" customHeight="1" thickBot="1" x14ac:dyDescent="0.35">
      <c r="A6" s="8" t="s">
        <v>6</v>
      </c>
      <c r="B6" s="10"/>
      <c r="C6" s="11" t="s">
        <v>21</v>
      </c>
      <c r="D6" s="32"/>
      <c r="E6" s="33"/>
      <c r="F6" s="13"/>
      <c r="G6" s="13"/>
      <c r="H6" s="13"/>
      <c r="I6" s="14"/>
    </row>
    <row r="7" spans="1:9" ht="16" thickBot="1" x14ac:dyDescent="0.35">
      <c r="A7" s="34"/>
      <c r="B7" s="35"/>
      <c r="C7" s="15"/>
      <c r="I7" s="4"/>
    </row>
    <row r="8" spans="1:9" ht="27.5" customHeight="1" thickBot="1" x14ac:dyDescent="0.35">
      <c r="A8" s="16" t="s">
        <v>7</v>
      </c>
      <c r="B8" s="16" t="s">
        <v>8</v>
      </c>
      <c r="C8" s="16" t="s">
        <v>9</v>
      </c>
      <c r="D8" s="17"/>
      <c r="E8" s="18"/>
      <c r="F8" s="18"/>
      <c r="G8" s="18"/>
      <c r="H8" s="18"/>
      <c r="I8" s="19"/>
    </row>
    <row r="9" spans="1:9" ht="16.5" customHeight="1" x14ac:dyDescent="0.3">
      <c r="A9" s="20" t="s">
        <v>10</v>
      </c>
      <c r="B9" s="21" t="s">
        <v>15</v>
      </c>
      <c r="C9" s="22">
        <v>53.923999999999999</v>
      </c>
      <c r="D9" s="3"/>
      <c r="I9" s="4"/>
    </row>
    <row r="10" spans="1:9" ht="16.5" customHeight="1" x14ac:dyDescent="0.3">
      <c r="A10" s="23" t="s">
        <v>11</v>
      </c>
      <c r="B10" s="21" t="s">
        <v>15</v>
      </c>
      <c r="C10" s="24">
        <v>20.16</v>
      </c>
      <c r="D10" s="3"/>
      <c r="I10" s="4"/>
    </row>
    <row r="11" spans="1:9" ht="16.5" customHeight="1" x14ac:dyDescent="0.3">
      <c r="A11" s="23" t="s">
        <v>16</v>
      </c>
      <c r="B11" s="21" t="s">
        <v>15</v>
      </c>
      <c r="C11" s="24">
        <f>(C9+C10)*0.05</f>
        <v>3.7042000000000002</v>
      </c>
      <c r="D11" s="3"/>
      <c r="I11" s="4"/>
    </row>
    <row r="12" spans="1:9" ht="16.5" customHeight="1" x14ac:dyDescent="0.3">
      <c r="A12" s="23" t="s">
        <v>17</v>
      </c>
      <c r="B12" s="21" t="s">
        <v>15</v>
      </c>
      <c r="C12" s="24">
        <f>(C9+C10)*0.01</f>
        <v>0.74084000000000005</v>
      </c>
      <c r="D12" s="3"/>
      <c r="I12" s="4"/>
    </row>
    <row r="13" spans="1:9" ht="16.5" customHeight="1" x14ac:dyDescent="0.3">
      <c r="A13" s="23" t="s">
        <v>22</v>
      </c>
      <c r="B13" s="21" t="s">
        <v>15</v>
      </c>
      <c r="C13" s="24">
        <f>(C10+C9)*0.01</f>
        <v>0.74084000000000005</v>
      </c>
      <c r="D13" s="3"/>
      <c r="I13" s="4"/>
    </row>
    <row r="14" spans="1:9" ht="16.5" customHeight="1" x14ac:dyDescent="0.3">
      <c r="A14" s="23" t="s">
        <v>19</v>
      </c>
      <c r="B14" s="21" t="s">
        <v>15</v>
      </c>
      <c r="C14" s="25">
        <f>(C9)*0.015</f>
        <v>0.80885999999999991</v>
      </c>
      <c r="D14" s="3"/>
      <c r="I14" s="4"/>
    </row>
    <row r="15" spans="1:9" ht="16.5" customHeight="1" thickBot="1" x14ac:dyDescent="0.35">
      <c r="A15" s="23" t="s">
        <v>18</v>
      </c>
      <c r="B15" s="21" t="s">
        <v>15</v>
      </c>
      <c r="C15" s="24">
        <f>(C9+C10)*0.1</f>
        <v>7.4084000000000003</v>
      </c>
      <c r="D15" s="3"/>
      <c r="I15" s="4"/>
    </row>
    <row r="16" spans="1:9" ht="16.5" customHeight="1" x14ac:dyDescent="0.35">
      <c r="A16" s="26" t="s">
        <v>12</v>
      </c>
      <c r="B16" s="21" t="s">
        <v>15</v>
      </c>
      <c r="C16" s="37">
        <f>SUM(C9:C15)</f>
        <v>87.487140000000011</v>
      </c>
      <c r="D16" s="3"/>
      <c r="I16" s="4"/>
    </row>
    <row r="17" spans="1:13" ht="15.5" thickBot="1" x14ac:dyDescent="0.35">
      <c r="A17" s="12"/>
      <c r="B17" s="13"/>
      <c r="C17" s="36"/>
      <c r="D17" s="13"/>
      <c r="E17" s="13"/>
      <c r="F17" s="13"/>
      <c r="G17" s="13"/>
      <c r="H17" s="13"/>
      <c r="I17" s="14"/>
    </row>
    <row r="18" spans="1:13" ht="15.5" x14ac:dyDescent="0.3">
      <c r="A18" s="28"/>
      <c r="C18" s="27"/>
    </row>
    <row r="19" spans="1:13" ht="15.5" x14ac:dyDescent="0.3">
      <c r="A19" s="15"/>
    </row>
    <row r="20" spans="1:13" ht="15.5" x14ac:dyDescent="0.3">
      <c r="A20" s="28"/>
      <c r="C20" s="29"/>
    </row>
    <row r="21" spans="1:13" ht="15.5" x14ac:dyDescent="0.3">
      <c r="A21" s="28"/>
    </row>
    <row r="22" spans="1:13" ht="15.5" x14ac:dyDescent="0.3">
      <c r="A22" s="28"/>
    </row>
    <row r="23" spans="1:13" ht="15.5" x14ac:dyDescent="0.3">
      <c r="A23" s="28"/>
    </row>
    <row r="24" spans="1:13" ht="15.5" x14ac:dyDescent="0.3">
      <c r="A24" s="28"/>
    </row>
    <row r="25" spans="1:13" ht="15.5" x14ac:dyDescent="0.3">
      <c r="L25" s="30" t="s">
        <v>13</v>
      </c>
      <c r="M25" s="31" t="e">
        <f>#REF!</f>
        <v>#REF!</v>
      </c>
    </row>
    <row r="26" spans="1:13" ht="15.5" x14ac:dyDescent="0.3">
      <c r="L26" s="30" t="s">
        <v>14</v>
      </c>
      <c r="M26" s="31" t="e">
        <f>#REF!</f>
        <v>#REF!</v>
      </c>
    </row>
  </sheetData>
  <mergeCells count="2">
    <mergeCell ref="A1:I1"/>
    <mergeCell ref="B2:C2"/>
  </mergeCells>
  <dataValidations count="1">
    <dataValidation type="list" allowBlank="1" showInputMessage="1" showErrorMessage="1" sqref="C4" xr:uid="{8F1BB0BB-9206-4D01-9CB7-FFF836C700E3}">
      <formula1>"Weekly,Monthly,Quaterly,Half Yearly,Yearly"</formula1>
    </dataValidation>
  </dataValidations>
  <pageMargins left="0.7" right="0.7" top="0.75" bottom="0.75" header="0.3" footer="0.3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Cost Summary</vt:lpstr>
      <vt:lpstr>'Cost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Thirunavukkarasu Vengatraman</dc:creator>
  <cp:lastModifiedBy>Thirunavukkarasu Vengatraman</cp:lastModifiedBy>
  <cp:lastPrinted>2025-04-09T01:43:02Z</cp:lastPrinted>
  <dcterms:created xsi:type="dcterms:W3CDTF">2025-03-18T17:11:14Z</dcterms:created>
  <dcterms:modified xsi:type="dcterms:W3CDTF">2025-04-09T02:14:39Z</dcterms:modified>
</cp:coreProperties>
</file>