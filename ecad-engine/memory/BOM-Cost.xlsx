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Thiru\Numeros Motors\PCBA\Should costing\"/>
    </mc:Choice>
  </mc:AlternateContent>
  <xr:revisionPtr revIDLastSave="0" documentId="13_ncr:1_{895A5F30-EE43-4F26-9B98-E7F667EDB52F}" xr6:coauthVersionLast="47" xr6:coauthVersionMax="47" xr10:uidLastSave="{00000000-0000-0000-0000-000000000000}"/>
  <bookViews>
    <workbookView xWindow="-110" yWindow="-110" windowWidth="19420" windowHeight="10300" activeTab="1" xr2:uid="{8F48BC82-46AE-41D2-A229-DC67D651445C}"/>
  </bookViews>
  <sheets>
    <sheet name="Wire Harness_BOM" sheetId="5" r:id="rId1"/>
    <sheet name="PCBA_BOM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</externalReferences>
  <definedNames>
    <definedName name="_?0_F" hidden="1">'[1]CD-실적'!#REF!</definedName>
    <definedName name="__?0_F" hidden="1">'[1]CD-실적'!#REF!</definedName>
    <definedName name="___?0_F" hidden="1">'[1]CD-실적'!#REF!</definedName>
    <definedName name="____?0_F" hidden="1">'[1]CD-실적'!#REF!</definedName>
    <definedName name="_______d1" localSheetId="0" hidden="1">{#N/A,#N/A,FALSE,"Sales"}</definedName>
    <definedName name="_______d1" hidden="1">{#N/A,#N/A,FALSE,"Sales"}</definedName>
    <definedName name="_______d116" localSheetId="0" hidden="1">{#N/A,#N/A,FALSE,"Sales"}</definedName>
    <definedName name="_______d116" hidden="1">{#N/A,#N/A,FALSE,"Sales"}</definedName>
    <definedName name="_______d16" localSheetId="0" hidden="1">{"Annual",#N/A,FALSE,"Sales &amp; Market";"Quarterly",#N/A,FALSE,"Sales &amp; Market"}</definedName>
    <definedName name="_______d16" hidden="1">{"Annual",#N/A,FALSE,"Sales &amp; Market";"Quarterly",#N/A,FALSE,"Sales &amp; Market"}</definedName>
    <definedName name="_______d2" localSheetId="0" hidden="1">{#N/A,#N/A,FALSE,"Sales"}</definedName>
    <definedName name="_______d2" hidden="1">{#N/A,#N/A,FALSE,"Sales"}</definedName>
    <definedName name="_______d216" localSheetId="0" hidden="1">{#N/A,#N/A,FALSE,"Sales"}</definedName>
    <definedName name="_______d216" hidden="1">{#N/A,#N/A,FALSE,"Sales"}</definedName>
    <definedName name="_______d3" localSheetId="0" hidden="1">{#N/A,#N/A,FALSE,"Sales"}</definedName>
    <definedName name="_______d3" hidden="1">{#N/A,#N/A,FALSE,"Sales"}</definedName>
    <definedName name="_______dsa2" localSheetId="0" hidden="1">{"'B-S Accounts Translation'!$A$1:$G$190"}</definedName>
    <definedName name="_______dsa2" hidden="1">{"'B-S Accounts Translation'!$A$1:$G$190"}</definedName>
    <definedName name="_______fff1" localSheetId="0" hidden="1">{"Annual",#N/A,FALSE,"Sales &amp; Market";"Quarterly",#N/A,FALSE,"Sales &amp; Market"}</definedName>
    <definedName name="_______fff1" hidden="1">{"Annual",#N/A,FALSE,"Sales &amp; Market";"Quarterly",#N/A,FALSE,"Sales &amp; Market"}</definedName>
    <definedName name="_______gc1" localSheetId="0" hidden="1">{"Annual",#N/A,FALSE,"Sales &amp; Market";"Quarterly",#N/A,FALSE,"Sales &amp; Market"}</definedName>
    <definedName name="_______gc1" hidden="1">{"Annual",#N/A,FALSE,"Sales &amp; Market";"Quarterly",#N/A,FALSE,"Sales &amp; Market"}</definedName>
    <definedName name="_______h3" localSheetId="0" hidden="1">{#N/A,#N/A,FALSE,"196126-0690";#N/A,#N/A,FALSE,"196126-0690";#N/A,#N/A,FALSE,"1961165-0201"}</definedName>
    <definedName name="_______h3" hidden="1">{#N/A,#N/A,FALSE,"196126-0690";#N/A,#N/A,FALSE,"196126-0690";#N/A,#N/A,FALSE,"1961165-0201"}</definedName>
    <definedName name="_______h4" localSheetId="0" hidden="1">{#N/A,#N/A,FALSE,"196126-0690";#N/A,#N/A,FALSE,"196126-0690";#N/A,#N/A,FALSE,"1961165-0201"}</definedName>
    <definedName name="_______h4" hidden="1">{#N/A,#N/A,FALSE,"196126-0690";#N/A,#N/A,FALSE,"196126-0690";#N/A,#N/A,FALSE,"1961165-0201"}</definedName>
    <definedName name="_______h5" localSheetId="0" hidden="1">{#N/A,#N/A,FALSE,"196126-0690";#N/A,#N/A,FALSE,"196126-0690";#N/A,#N/A,FALSE,"1961165-0201"}</definedName>
    <definedName name="_______h5" hidden="1">{#N/A,#N/A,FALSE,"196126-0690";#N/A,#N/A,FALSE,"196126-0690";#N/A,#N/A,FALSE,"1961165-0201"}</definedName>
    <definedName name="_______hav3" localSheetId="0" hidden="1">{#N/A,#N/A,FALSE,"196126-0690";#N/A,#N/A,FALSE,"196126-0690";#N/A,#N/A,FALSE,"1961165-0201"}</definedName>
    <definedName name="_______hav3" hidden="1">{#N/A,#N/A,FALSE,"196126-0690";#N/A,#N/A,FALSE,"196126-0690";#N/A,#N/A,FALSE,"1961165-0201"}</definedName>
    <definedName name="_______ok1" localSheetId="0" hidden="1">{"Annual",#N/A,FALSE,"Sales &amp; Market";"Quarterly",#N/A,FALSE,"Sales &amp; Market"}</definedName>
    <definedName name="_______ok1" hidden="1">{"Annual",#N/A,FALSE,"Sales &amp; Market";"Quarterly",#N/A,FALSE,"Sales &amp; Market"}</definedName>
    <definedName name="_______q1" localSheetId="0" hidden="1">{"Annual",#N/A,FALSE,"Sales &amp; Market";"Quarterly",#N/A,FALSE,"Sales &amp; Market"}</definedName>
    <definedName name="_______q1" hidden="1">{"Annual",#N/A,FALSE,"Sales &amp; Market";"Quarterly",#N/A,FALSE,"Sales &amp; Market"}</definedName>
    <definedName name="_______q3" localSheetId="0" hidden="1">{"Annual",#N/A,FALSE,"Sales &amp; Market";"Quarterly",#N/A,FALSE,"Sales &amp; Market"}</definedName>
    <definedName name="_______q3" hidden="1">{"Annual",#N/A,FALSE,"Sales &amp; Market";"Quarterly",#N/A,FALSE,"Sales &amp; Market"}</definedName>
    <definedName name="_______q4" localSheetId="0" hidden="1">{"Annual",#N/A,FALSE,"Sales &amp; Market";"Quarterly",#N/A,FALSE,"Sales &amp; Market"}</definedName>
    <definedName name="_______q4" hidden="1">{"Annual",#N/A,FALSE,"Sales &amp; Market";"Quarterly",#N/A,FALSE,"Sales &amp; Market"}</definedName>
    <definedName name="_______q5" localSheetId="0" hidden="1">{"'B-S Accounts Translation'!$A$1:$G$190"}</definedName>
    <definedName name="_______q5" hidden="1">{"'B-S Accounts Translation'!$A$1:$G$190"}</definedName>
    <definedName name="_______ta2" localSheetId="0" hidden="1">{"Exhibit 1",#N/A,FALSE,"Rev Exp to 6";"Exhibit 2",#N/A,FALSE,"Rev Exp to 6";#N/A,#N/A,FALSE,"DCF Rev Exp to 6";#N/A,#N/A,FALSE,"Taxdepr rev exp to 6";"Exhibit 1",#N/A,FALSE,"Rev Exp flat 5";"Exhibit 2",#N/A,FALSE,"Rev Exp flat 5";#N/A,#N/A,FALSE,"DCF Rev Exp flat 5";#N/A,#N/A,FALSE,"Taxdepr rev exp flat 5";"Exhibit 1",#N/A,FALSE,"Base to 6";"Exhibit 2",#N/A,FALSE,"Base to 6";#N/A,#N/A,FALSE,"DCF Base to 6";#N/A,#N/A,FALSE,"Taxdepr base to 6";"Exhibit 1",#N/A,FALSE,"Base flat 5";"Exhibit 2",#N/A,FALSE,"Base flat 5";#N/A,#N/A,FALSE,"DCF Base flat 5";#N/A,#N/A,FALSE,"Taxdepr base flat 5";#N/A,#N/A,FALSE,"TM margins"}</definedName>
    <definedName name="_______ta2" hidden="1">{"Exhibit 1",#N/A,FALSE,"Rev Exp to 6";"Exhibit 2",#N/A,FALSE,"Rev Exp to 6";#N/A,#N/A,FALSE,"DCF Rev Exp to 6";#N/A,#N/A,FALSE,"Taxdepr rev exp to 6";"Exhibit 1",#N/A,FALSE,"Rev Exp flat 5";"Exhibit 2",#N/A,FALSE,"Rev Exp flat 5";#N/A,#N/A,FALSE,"DCF Rev Exp flat 5";#N/A,#N/A,FALSE,"Taxdepr rev exp flat 5";"Exhibit 1",#N/A,FALSE,"Base to 6";"Exhibit 2",#N/A,FALSE,"Base to 6";#N/A,#N/A,FALSE,"DCF Base to 6";#N/A,#N/A,FALSE,"Taxdepr base to 6";"Exhibit 1",#N/A,FALSE,"Base flat 5";"Exhibit 2",#N/A,FALSE,"Base flat 5";#N/A,#N/A,FALSE,"DCF Base flat 5";#N/A,#N/A,FALSE,"Taxdepr base flat 5";#N/A,#N/A,FALSE,"TM margins"}</definedName>
    <definedName name="_______tax1" localSheetId="0" hidden="1">{"Exhibit 1",#N/A,FALSE,"Rev Exp to 6";"Exhibit 2",#N/A,FALSE,"Rev Exp to 6";#N/A,#N/A,FALSE,"DCF Rev Exp to 6";#N/A,#N/A,FALSE,"Taxdepr rev exp to 6";"Exhibit 1",#N/A,FALSE,"Rev Exp flat 5";"Exhibit 2",#N/A,FALSE,"Rev Exp flat 5";#N/A,#N/A,FALSE,"DCF Rev Exp flat 5";#N/A,#N/A,FALSE,"Taxdepr rev exp flat 5";"Exhibit 1",#N/A,FALSE,"Base to 6";"Exhibit 2",#N/A,FALSE,"Base to 6";#N/A,#N/A,FALSE,"DCF Base to 6";#N/A,#N/A,FALSE,"Taxdepr base to 6";"Exhibit 1",#N/A,FALSE,"Base flat 5";"Exhibit 2",#N/A,FALSE,"Base flat 5";#N/A,#N/A,FALSE,"DCF Base flat 5";#N/A,#N/A,FALSE,"Taxdepr base flat 5";#N/A,#N/A,FALSE,"TM margins"}</definedName>
    <definedName name="_______tax1" hidden="1">{"Exhibit 1",#N/A,FALSE,"Rev Exp to 6";"Exhibit 2",#N/A,FALSE,"Rev Exp to 6";#N/A,#N/A,FALSE,"DCF Rev Exp to 6";#N/A,#N/A,FALSE,"Taxdepr rev exp to 6";"Exhibit 1",#N/A,FALSE,"Rev Exp flat 5";"Exhibit 2",#N/A,FALSE,"Rev Exp flat 5";#N/A,#N/A,FALSE,"DCF Rev Exp flat 5";#N/A,#N/A,FALSE,"Taxdepr rev exp flat 5";"Exhibit 1",#N/A,FALSE,"Base to 6";"Exhibit 2",#N/A,FALSE,"Base to 6";#N/A,#N/A,FALSE,"DCF Base to 6";#N/A,#N/A,FALSE,"Taxdepr base to 6";"Exhibit 1",#N/A,FALSE,"Base flat 5";"Exhibit 2",#N/A,FALSE,"Base flat 5";#N/A,#N/A,FALSE,"DCF Base flat 5";#N/A,#N/A,FALSE,"Taxdepr base flat 5";#N/A,#N/A,FALSE,"TM margins"}</definedName>
    <definedName name="_______tax2" localSheetId="0" hidden="1">{"Exhibit 1",#N/A,FALSE,"Rev Exp to 6";"Exhibit 2",#N/A,FALSE,"Rev Exp to 6";#N/A,#N/A,FALSE,"DCF Rev Exp to 6";#N/A,#N/A,FALSE,"Taxdepr rev exp to 6";"Exhibit 1",#N/A,FALSE,"Rev Exp flat 5";"Exhibit 2",#N/A,FALSE,"Rev Exp flat 5";#N/A,#N/A,FALSE,"DCF Rev Exp flat 5";#N/A,#N/A,FALSE,"Taxdepr rev exp flat 5";"Exhibit 1",#N/A,FALSE,"Base to 6";"Exhibit 2",#N/A,FALSE,"Base to 6";#N/A,#N/A,FALSE,"DCF Base to 6";#N/A,#N/A,FALSE,"Taxdepr base to 6";"Exhibit 1",#N/A,FALSE,"Base flat 5";"Exhibit 2",#N/A,FALSE,"Base flat 5";#N/A,#N/A,FALSE,"DCF Base flat 5";#N/A,#N/A,FALSE,"Taxdepr base flat 5";#N/A,#N/A,FALSE,"TM margins"}</definedName>
    <definedName name="_______tax2" hidden="1">{"Exhibit 1",#N/A,FALSE,"Rev Exp to 6";"Exhibit 2",#N/A,FALSE,"Rev Exp to 6";#N/A,#N/A,FALSE,"DCF Rev Exp to 6";#N/A,#N/A,FALSE,"Taxdepr rev exp to 6";"Exhibit 1",#N/A,FALSE,"Rev Exp flat 5";"Exhibit 2",#N/A,FALSE,"Rev Exp flat 5";#N/A,#N/A,FALSE,"DCF Rev Exp flat 5";#N/A,#N/A,FALSE,"Taxdepr rev exp flat 5";"Exhibit 1",#N/A,FALSE,"Base to 6";"Exhibit 2",#N/A,FALSE,"Base to 6";#N/A,#N/A,FALSE,"DCF Base to 6";#N/A,#N/A,FALSE,"Taxdepr base to 6";"Exhibit 1",#N/A,FALSE,"Base flat 5";"Exhibit 2",#N/A,FALSE,"Base flat 5";#N/A,#N/A,FALSE,"DCF Base flat 5";#N/A,#N/A,FALSE,"Taxdepr base flat 5";#N/A,#N/A,FALSE,"TM margins"}</definedName>
    <definedName name="_______tay1" localSheetId="0" hidden="1">{"Annual",#N/A,FALSE,"Sales &amp; Market";"Quarterly",#N/A,FALSE,"Sales &amp; Market"}</definedName>
    <definedName name="_______tay1" hidden="1">{"Annual",#N/A,FALSE,"Sales &amp; Market";"Quarterly",#N/A,FALSE,"Sales &amp; Market"}</definedName>
    <definedName name="_______tay2" localSheetId="0" hidden="1">{"Annual",#N/A,FALSE,"Sales &amp; Market";"Quarterly",#N/A,FALSE,"Sales &amp; Market"}</definedName>
    <definedName name="_______tay2" hidden="1">{"Annual",#N/A,FALSE,"Sales &amp; Market";"Quarterly",#N/A,FALSE,"Sales &amp; Market"}</definedName>
    <definedName name="_______tay3" localSheetId="0" hidden="1">{"Annual",#N/A,FALSE,"Sales &amp; Market";"Quarterly",#N/A,FALSE,"Sales &amp; Market"}</definedName>
    <definedName name="_______tay3" hidden="1">{"Annual",#N/A,FALSE,"Sales &amp; Market";"Quarterly",#N/A,FALSE,"Sales &amp; Market"}</definedName>
    <definedName name="_______tay5" localSheetId="0" hidden="1">{#N/A,#N/A,FALSE,"Sales"}</definedName>
    <definedName name="_______tay5" hidden="1">{#N/A,#N/A,FALSE,"Sales"}</definedName>
    <definedName name="_______w2" localSheetId="0" hidden="1">{#N/A,#N/A,FALSE,"Sales"}</definedName>
    <definedName name="_______w2" hidden="1">{#N/A,#N/A,FALSE,"Sales"}</definedName>
    <definedName name="______d1" localSheetId="0" hidden="1">{#N/A,#N/A,FALSE,"Sales"}</definedName>
    <definedName name="______d1" hidden="1">{#N/A,#N/A,FALSE,"Sales"}</definedName>
    <definedName name="______d116" localSheetId="0" hidden="1">{#N/A,#N/A,FALSE,"Sales"}</definedName>
    <definedName name="______d116" hidden="1">{#N/A,#N/A,FALSE,"Sales"}</definedName>
    <definedName name="______d16" localSheetId="0" hidden="1">{"Annual",#N/A,FALSE,"Sales &amp; Market";"Quarterly",#N/A,FALSE,"Sales &amp; Market"}</definedName>
    <definedName name="______d16" hidden="1">{"Annual",#N/A,FALSE,"Sales &amp; Market";"Quarterly",#N/A,FALSE,"Sales &amp; Market"}</definedName>
    <definedName name="______d2" localSheetId="0" hidden="1">{#N/A,#N/A,FALSE,"Sales"}</definedName>
    <definedName name="______d2" hidden="1">{#N/A,#N/A,FALSE,"Sales"}</definedName>
    <definedName name="______d216" localSheetId="0" hidden="1">{#N/A,#N/A,FALSE,"Sales"}</definedName>
    <definedName name="______d216" hidden="1">{#N/A,#N/A,FALSE,"Sales"}</definedName>
    <definedName name="______dsa2" localSheetId="0" hidden="1">{"'B-S Accounts Translation'!$A$1:$G$190"}</definedName>
    <definedName name="______dsa2" hidden="1">{"'B-S Accounts Translation'!$A$1:$G$190"}</definedName>
    <definedName name="______fff1" localSheetId="0" hidden="1">{"Annual",#N/A,FALSE,"Sales &amp; Market";"Quarterly",#N/A,FALSE,"Sales &amp; Market"}</definedName>
    <definedName name="______fff1" hidden="1">{"Annual",#N/A,FALSE,"Sales &amp; Market";"Quarterly",#N/A,FALSE,"Sales &amp; Market"}</definedName>
    <definedName name="______gc1" localSheetId="0" hidden="1">{"Annual",#N/A,FALSE,"Sales &amp; Market";"Quarterly",#N/A,FALSE,"Sales &amp; Market"}</definedName>
    <definedName name="______gc1" hidden="1">{"Annual",#N/A,FALSE,"Sales &amp; Market";"Quarterly",#N/A,FALSE,"Sales &amp; Market"}</definedName>
    <definedName name="______ok1" localSheetId="0" hidden="1">{"Annual",#N/A,FALSE,"Sales &amp; Market";"Quarterly",#N/A,FALSE,"Sales &amp; Market"}</definedName>
    <definedName name="______ok1" hidden="1">{"Annual",#N/A,FALSE,"Sales &amp; Market";"Quarterly",#N/A,FALSE,"Sales &amp; Market"}</definedName>
    <definedName name="______q1" localSheetId="0" hidden="1">{"Annual",#N/A,FALSE,"Sales &amp; Market";"Quarterly",#N/A,FALSE,"Sales &amp; Market"}</definedName>
    <definedName name="______q1" hidden="1">{"Annual",#N/A,FALSE,"Sales &amp; Market";"Quarterly",#N/A,FALSE,"Sales &amp; Market"}</definedName>
    <definedName name="______q3" localSheetId="0" hidden="1">{"Annual",#N/A,FALSE,"Sales &amp; Market";"Quarterly",#N/A,FALSE,"Sales &amp; Market"}</definedName>
    <definedName name="______q3" hidden="1">{"Annual",#N/A,FALSE,"Sales &amp; Market";"Quarterly",#N/A,FALSE,"Sales &amp; Market"}</definedName>
    <definedName name="______q4" localSheetId="0" hidden="1">{"Annual",#N/A,FALSE,"Sales &amp; Market";"Quarterly",#N/A,FALSE,"Sales &amp; Market"}</definedName>
    <definedName name="______q4" hidden="1">{"Annual",#N/A,FALSE,"Sales &amp; Market";"Quarterly",#N/A,FALSE,"Sales &amp; Market"}</definedName>
    <definedName name="______q5" localSheetId="0" hidden="1">{"'B-S Accounts Translation'!$A$1:$G$190"}</definedName>
    <definedName name="______q5" hidden="1">{"'B-S Accounts Translation'!$A$1:$G$190"}</definedName>
    <definedName name="______ta2" localSheetId="0" hidden="1">{"Exhibit 1",#N/A,FALSE,"Rev Exp to 6";"Exhibit 2",#N/A,FALSE,"Rev Exp to 6";#N/A,#N/A,FALSE,"DCF Rev Exp to 6";#N/A,#N/A,FALSE,"Taxdepr rev exp to 6";"Exhibit 1",#N/A,FALSE,"Rev Exp flat 5";"Exhibit 2",#N/A,FALSE,"Rev Exp flat 5";#N/A,#N/A,FALSE,"DCF Rev Exp flat 5";#N/A,#N/A,FALSE,"Taxdepr rev exp flat 5";"Exhibit 1",#N/A,FALSE,"Base to 6";"Exhibit 2",#N/A,FALSE,"Base to 6";#N/A,#N/A,FALSE,"DCF Base to 6";#N/A,#N/A,FALSE,"Taxdepr base to 6";"Exhibit 1",#N/A,FALSE,"Base flat 5";"Exhibit 2",#N/A,FALSE,"Base flat 5";#N/A,#N/A,FALSE,"DCF Base flat 5";#N/A,#N/A,FALSE,"Taxdepr base flat 5";#N/A,#N/A,FALSE,"TM margins"}</definedName>
    <definedName name="______ta2" hidden="1">{"Exhibit 1",#N/A,FALSE,"Rev Exp to 6";"Exhibit 2",#N/A,FALSE,"Rev Exp to 6";#N/A,#N/A,FALSE,"DCF Rev Exp to 6";#N/A,#N/A,FALSE,"Taxdepr rev exp to 6";"Exhibit 1",#N/A,FALSE,"Rev Exp flat 5";"Exhibit 2",#N/A,FALSE,"Rev Exp flat 5";#N/A,#N/A,FALSE,"DCF Rev Exp flat 5";#N/A,#N/A,FALSE,"Taxdepr rev exp flat 5";"Exhibit 1",#N/A,FALSE,"Base to 6";"Exhibit 2",#N/A,FALSE,"Base to 6";#N/A,#N/A,FALSE,"DCF Base to 6";#N/A,#N/A,FALSE,"Taxdepr base to 6";"Exhibit 1",#N/A,FALSE,"Base flat 5";"Exhibit 2",#N/A,FALSE,"Base flat 5";#N/A,#N/A,FALSE,"DCF Base flat 5";#N/A,#N/A,FALSE,"Taxdepr base flat 5";#N/A,#N/A,FALSE,"TM margins"}</definedName>
    <definedName name="______tax1" localSheetId="0" hidden="1">{"Exhibit 1",#N/A,FALSE,"Rev Exp to 6";"Exhibit 2",#N/A,FALSE,"Rev Exp to 6";#N/A,#N/A,FALSE,"DCF Rev Exp to 6";#N/A,#N/A,FALSE,"Taxdepr rev exp to 6";"Exhibit 1",#N/A,FALSE,"Rev Exp flat 5";"Exhibit 2",#N/A,FALSE,"Rev Exp flat 5";#N/A,#N/A,FALSE,"DCF Rev Exp flat 5";#N/A,#N/A,FALSE,"Taxdepr rev exp flat 5";"Exhibit 1",#N/A,FALSE,"Base to 6";"Exhibit 2",#N/A,FALSE,"Base to 6";#N/A,#N/A,FALSE,"DCF Base to 6";#N/A,#N/A,FALSE,"Taxdepr base to 6";"Exhibit 1",#N/A,FALSE,"Base flat 5";"Exhibit 2",#N/A,FALSE,"Base flat 5";#N/A,#N/A,FALSE,"DCF Base flat 5";#N/A,#N/A,FALSE,"Taxdepr base flat 5";#N/A,#N/A,FALSE,"TM margins"}</definedName>
    <definedName name="______tax1" hidden="1">{"Exhibit 1",#N/A,FALSE,"Rev Exp to 6";"Exhibit 2",#N/A,FALSE,"Rev Exp to 6";#N/A,#N/A,FALSE,"DCF Rev Exp to 6";#N/A,#N/A,FALSE,"Taxdepr rev exp to 6";"Exhibit 1",#N/A,FALSE,"Rev Exp flat 5";"Exhibit 2",#N/A,FALSE,"Rev Exp flat 5";#N/A,#N/A,FALSE,"DCF Rev Exp flat 5";#N/A,#N/A,FALSE,"Taxdepr rev exp flat 5";"Exhibit 1",#N/A,FALSE,"Base to 6";"Exhibit 2",#N/A,FALSE,"Base to 6";#N/A,#N/A,FALSE,"DCF Base to 6";#N/A,#N/A,FALSE,"Taxdepr base to 6";"Exhibit 1",#N/A,FALSE,"Base flat 5";"Exhibit 2",#N/A,FALSE,"Base flat 5";#N/A,#N/A,FALSE,"DCF Base flat 5";#N/A,#N/A,FALSE,"Taxdepr base flat 5";#N/A,#N/A,FALSE,"TM margins"}</definedName>
    <definedName name="______tax2" localSheetId="0" hidden="1">{"Exhibit 1",#N/A,FALSE,"Rev Exp to 6";"Exhibit 2",#N/A,FALSE,"Rev Exp to 6";#N/A,#N/A,FALSE,"DCF Rev Exp to 6";#N/A,#N/A,FALSE,"Taxdepr rev exp to 6";"Exhibit 1",#N/A,FALSE,"Rev Exp flat 5";"Exhibit 2",#N/A,FALSE,"Rev Exp flat 5";#N/A,#N/A,FALSE,"DCF Rev Exp flat 5";#N/A,#N/A,FALSE,"Taxdepr rev exp flat 5";"Exhibit 1",#N/A,FALSE,"Base to 6";"Exhibit 2",#N/A,FALSE,"Base to 6";#N/A,#N/A,FALSE,"DCF Base to 6";#N/A,#N/A,FALSE,"Taxdepr base to 6";"Exhibit 1",#N/A,FALSE,"Base flat 5";"Exhibit 2",#N/A,FALSE,"Base flat 5";#N/A,#N/A,FALSE,"DCF Base flat 5";#N/A,#N/A,FALSE,"Taxdepr base flat 5";#N/A,#N/A,FALSE,"TM margins"}</definedName>
    <definedName name="______tax2" hidden="1">{"Exhibit 1",#N/A,FALSE,"Rev Exp to 6";"Exhibit 2",#N/A,FALSE,"Rev Exp to 6";#N/A,#N/A,FALSE,"DCF Rev Exp to 6";#N/A,#N/A,FALSE,"Taxdepr rev exp to 6";"Exhibit 1",#N/A,FALSE,"Rev Exp flat 5";"Exhibit 2",#N/A,FALSE,"Rev Exp flat 5";#N/A,#N/A,FALSE,"DCF Rev Exp flat 5";#N/A,#N/A,FALSE,"Taxdepr rev exp flat 5";"Exhibit 1",#N/A,FALSE,"Base to 6";"Exhibit 2",#N/A,FALSE,"Base to 6";#N/A,#N/A,FALSE,"DCF Base to 6";#N/A,#N/A,FALSE,"Taxdepr base to 6";"Exhibit 1",#N/A,FALSE,"Base flat 5";"Exhibit 2",#N/A,FALSE,"Base flat 5";#N/A,#N/A,FALSE,"DCF Base flat 5";#N/A,#N/A,FALSE,"Taxdepr base flat 5";#N/A,#N/A,FALSE,"TM margins"}</definedName>
    <definedName name="______tay1" localSheetId="0" hidden="1">{"Annual",#N/A,FALSE,"Sales &amp; Market";"Quarterly",#N/A,FALSE,"Sales &amp; Market"}</definedName>
    <definedName name="______tay1" hidden="1">{"Annual",#N/A,FALSE,"Sales &amp; Market";"Quarterly",#N/A,FALSE,"Sales &amp; Market"}</definedName>
    <definedName name="______tay2" localSheetId="0" hidden="1">{"Annual",#N/A,FALSE,"Sales &amp; Market";"Quarterly",#N/A,FALSE,"Sales &amp; Market"}</definedName>
    <definedName name="______tay2" hidden="1">{"Annual",#N/A,FALSE,"Sales &amp; Market";"Quarterly",#N/A,FALSE,"Sales &amp; Market"}</definedName>
    <definedName name="______tay3" localSheetId="0" hidden="1">{"Annual",#N/A,FALSE,"Sales &amp; Market";"Quarterly",#N/A,FALSE,"Sales &amp; Market"}</definedName>
    <definedName name="______tay3" hidden="1">{"Annual",#N/A,FALSE,"Sales &amp; Market";"Quarterly",#N/A,FALSE,"Sales &amp; Market"}</definedName>
    <definedName name="______tay5" localSheetId="0" hidden="1">{#N/A,#N/A,FALSE,"Sales"}</definedName>
    <definedName name="______tay5" hidden="1">{#N/A,#N/A,FALSE,"Sales"}</definedName>
    <definedName name="______w2" localSheetId="0" hidden="1">{#N/A,#N/A,FALSE,"Sales"}</definedName>
    <definedName name="______w2" hidden="1">{#N/A,#N/A,FALSE,"Sales"}</definedName>
    <definedName name="_____d1" localSheetId="0" hidden="1">{#N/A,#N/A,FALSE,"Sales"}</definedName>
    <definedName name="_____d1" hidden="1">{#N/A,#N/A,FALSE,"Sales"}</definedName>
    <definedName name="_____d116" localSheetId="0" hidden="1">{#N/A,#N/A,FALSE,"Sales"}</definedName>
    <definedName name="_____d116" hidden="1">{#N/A,#N/A,FALSE,"Sales"}</definedName>
    <definedName name="_____d16" localSheetId="0" hidden="1">{"Annual",#N/A,FALSE,"Sales &amp; Market";"Quarterly",#N/A,FALSE,"Sales &amp; Market"}</definedName>
    <definedName name="_____d16" hidden="1">{"Annual",#N/A,FALSE,"Sales &amp; Market";"Quarterly",#N/A,FALSE,"Sales &amp; Market"}</definedName>
    <definedName name="_____d2" localSheetId="0" hidden="1">{#N/A,#N/A,FALSE,"Sales"}</definedName>
    <definedName name="_____d2" hidden="1">{#N/A,#N/A,FALSE,"Sales"}</definedName>
    <definedName name="_____d216" localSheetId="0" hidden="1">{#N/A,#N/A,FALSE,"Sales"}</definedName>
    <definedName name="_____d216" hidden="1">{#N/A,#N/A,FALSE,"Sales"}</definedName>
    <definedName name="_____dsa2" localSheetId="0" hidden="1">{"'B-S Accounts Translation'!$A$1:$G$190"}</definedName>
    <definedName name="_____dsa2" hidden="1">{"'B-S Accounts Translation'!$A$1:$G$190"}</definedName>
    <definedName name="_____fff1" localSheetId="0" hidden="1">{"Annual",#N/A,FALSE,"Sales &amp; Market";"Quarterly",#N/A,FALSE,"Sales &amp; Market"}</definedName>
    <definedName name="_____fff1" hidden="1">{"Annual",#N/A,FALSE,"Sales &amp; Market";"Quarterly",#N/A,FALSE,"Sales &amp; Market"}</definedName>
    <definedName name="_____gc1" localSheetId="0" hidden="1">{"Annual",#N/A,FALSE,"Sales &amp; Market";"Quarterly",#N/A,FALSE,"Sales &amp; Market"}</definedName>
    <definedName name="_____gc1" hidden="1">{"Annual",#N/A,FALSE,"Sales &amp; Market";"Quarterly",#N/A,FALSE,"Sales &amp; Market"}</definedName>
    <definedName name="_____h3" localSheetId="0" hidden="1">{#N/A,#N/A,FALSE,"196126-0690";#N/A,#N/A,FALSE,"196126-0690";#N/A,#N/A,FALSE,"1961165-0201"}</definedName>
    <definedName name="_____h3" hidden="1">{#N/A,#N/A,FALSE,"196126-0690";#N/A,#N/A,FALSE,"196126-0690";#N/A,#N/A,FALSE,"1961165-0201"}</definedName>
    <definedName name="_____h4" localSheetId="0" hidden="1">{#N/A,#N/A,FALSE,"196126-0690";#N/A,#N/A,FALSE,"196126-0690";#N/A,#N/A,FALSE,"1961165-0201"}</definedName>
    <definedName name="_____h4" hidden="1">{#N/A,#N/A,FALSE,"196126-0690";#N/A,#N/A,FALSE,"196126-0690";#N/A,#N/A,FALSE,"1961165-0201"}</definedName>
    <definedName name="_____h5" localSheetId="0" hidden="1">{#N/A,#N/A,FALSE,"196126-0690";#N/A,#N/A,FALSE,"196126-0690";#N/A,#N/A,FALSE,"1961165-0201"}</definedName>
    <definedName name="_____h5" hidden="1">{#N/A,#N/A,FALSE,"196126-0690";#N/A,#N/A,FALSE,"196126-0690";#N/A,#N/A,FALSE,"1961165-0201"}</definedName>
    <definedName name="_____hav3" localSheetId="0" hidden="1">{#N/A,#N/A,FALSE,"196126-0690";#N/A,#N/A,FALSE,"196126-0690";#N/A,#N/A,FALSE,"1961165-0201"}</definedName>
    <definedName name="_____hav3" hidden="1">{#N/A,#N/A,FALSE,"196126-0690";#N/A,#N/A,FALSE,"196126-0690";#N/A,#N/A,FALSE,"1961165-0201"}</definedName>
    <definedName name="_____ok1" localSheetId="0" hidden="1">{"Annual",#N/A,FALSE,"Sales &amp; Market";"Quarterly",#N/A,FALSE,"Sales &amp; Market"}</definedName>
    <definedName name="_____ok1" hidden="1">{"Annual",#N/A,FALSE,"Sales &amp; Market";"Quarterly",#N/A,FALSE,"Sales &amp; Market"}</definedName>
    <definedName name="_____q1" localSheetId="0" hidden="1">{"Annual",#N/A,FALSE,"Sales &amp; Market";"Quarterly",#N/A,FALSE,"Sales &amp; Market"}</definedName>
    <definedName name="_____q1" hidden="1">{"Annual",#N/A,FALSE,"Sales &amp; Market";"Quarterly",#N/A,FALSE,"Sales &amp; Market"}</definedName>
    <definedName name="_____q3" localSheetId="0" hidden="1">{"Annual",#N/A,FALSE,"Sales &amp; Market";"Quarterly",#N/A,FALSE,"Sales &amp; Market"}</definedName>
    <definedName name="_____q3" hidden="1">{"Annual",#N/A,FALSE,"Sales &amp; Market";"Quarterly",#N/A,FALSE,"Sales &amp; Market"}</definedName>
    <definedName name="_____q4" localSheetId="0" hidden="1">{"Annual",#N/A,FALSE,"Sales &amp; Market";"Quarterly",#N/A,FALSE,"Sales &amp; Market"}</definedName>
    <definedName name="_____q4" hidden="1">{"Annual",#N/A,FALSE,"Sales &amp; Market";"Quarterly",#N/A,FALSE,"Sales &amp; Market"}</definedName>
    <definedName name="_____q5" localSheetId="0" hidden="1">{"'B-S Accounts Translation'!$A$1:$G$190"}</definedName>
    <definedName name="_____q5" hidden="1">{"'B-S Accounts Translation'!$A$1:$G$190"}</definedName>
    <definedName name="_____ta2" localSheetId="0" hidden="1">{"Exhibit 1",#N/A,FALSE,"Rev Exp to 6";"Exhibit 2",#N/A,FALSE,"Rev Exp to 6";#N/A,#N/A,FALSE,"DCF Rev Exp to 6";#N/A,#N/A,FALSE,"Taxdepr rev exp to 6";"Exhibit 1",#N/A,FALSE,"Rev Exp flat 5";"Exhibit 2",#N/A,FALSE,"Rev Exp flat 5";#N/A,#N/A,FALSE,"DCF Rev Exp flat 5";#N/A,#N/A,FALSE,"Taxdepr rev exp flat 5";"Exhibit 1",#N/A,FALSE,"Base to 6";"Exhibit 2",#N/A,FALSE,"Base to 6";#N/A,#N/A,FALSE,"DCF Base to 6";#N/A,#N/A,FALSE,"Taxdepr base to 6";"Exhibit 1",#N/A,FALSE,"Base flat 5";"Exhibit 2",#N/A,FALSE,"Base flat 5";#N/A,#N/A,FALSE,"DCF Base flat 5";#N/A,#N/A,FALSE,"Taxdepr base flat 5";#N/A,#N/A,FALSE,"TM margins"}</definedName>
    <definedName name="_____ta2" hidden="1">{"Exhibit 1",#N/A,FALSE,"Rev Exp to 6";"Exhibit 2",#N/A,FALSE,"Rev Exp to 6";#N/A,#N/A,FALSE,"DCF Rev Exp to 6";#N/A,#N/A,FALSE,"Taxdepr rev exp to 6";"Exhibit 1",#N/A,FALSE,"Rev Exp flat 5";"Exhibit 2",#N/A,FALSE,"Rev Exp flat 5";#N/A,#N/A,FALSE,"DCF Rev Exp flat 5";#N/A,#N/A,FALSE,"Taxdepr rev exp flat 5";"Exhibit 1",#N/A,FALSE,"Base to 6";"Exhibit 2",#N/A,FALSE,"Base to 6";#N/A,#N/A,FALSE,"DCF Base to 6";#N/A,#N/A,FALSE,"Taxdepr base to 6";"Exhibit 1",#N/A,FALSE,"Base flat 5";"Exhibit 2",#N/A,FALSE,"Base flat 5";#N/A,#N/A,FALSE,"DCF Base flat 5";#N/A,#N/A,FALSE,"Taxdepr base flat 5";#N/A,#N/A,FALSE,"TM margins"}</definedName>
    <definedName name="_____tax1" localSheetId="0" hidden="1">{"Exhibit 1",#N/A,FALSE,"Rev Exp to 6";"Exhibit 2",#N/A,FALSE,"Rev Exp to 6";#N/A,#N/A,FALSE,"DCF Rev Exp to 6";#N/A,#N/A,FALSE,"Taxdepr rev exp to 6";"Exhibit 1",#N/A,FALSE,"Rev Exp flat 5";"Exhibit 2",#N/A,FALSE,"Rev Exp flat 5";#N/A,#N/A,FALSE,"DCF Rev Exp flat 5";#N/A,#N/A,FALSE,"Taxdepr rev exp flat 5";"Exhibit 1",#N/A,FALSE,"Base to 6";"Exhibit 2",#N/A,FALSE,"Base to 6";#N/A,#N/A,FALSE,"DCF Base to 6";#N/A,#N/A,FALSE,"Taxdepr base to 6";"Exhibit 1",#N/A,FALSE,"Base flat 5";"Exhibit 2",#N/A,FALSE,"Base flat 5";#N/A,#N/A,FALSE,"DCF Base flat 5";#N/A,#N/A,FALSE,"Taxdepr base flat 5";#N/A,#N/A,FALSE,"TM margins"}</definedName>
    <definedName name="_____tax1" hidden="1">{"Exhibit 1",#N/A,FALSE,"Rev Exp to 6";"Exhibit 2",#N/A,FALSE,"Rev Exp to 6";#N/A,#N/A,FALSE,"DCF Rev Exp to 6";#N/A,#N/A,FALSE,"Taxdepr rev exp to 6";"Exhibit 1",#N/A,FALSE,"Rev Exp flat 5";"Exhibit 2",#N/A,FALSE,"Rev Exp flat 5";#N/A,#N/A,FALSE,"DCF Rev Exp flat 5";#N/A,#N/A,FALSE,"Taxdepr rev exp flat 5";"Exhibit 1",#N/A,FALSE,"Base to 6";"Exhibit 2",#N/A,FALSE,"Base to 6";#N/A,#N/A,FALSE,"DCF Base to 6";#N/A,#N/A,FALSE,"Taxdepr base to 6";"Exhibit 1",#N/A,FALSE,"Base flat 5";"Exhibit 2",#N/A,FALSE,"Base flat 5";#N/A,#N/A,FALSE,"DCF Base flat 5";#N/A,#N/A,FALSE,"Taxdepr base flat 5";#N/A,#N/A,FALSE,"TM margins"}</definedName>
    <definedName name="_____tax2" localSheetId="0" hidden="1">{"Exhibit 1",#N/A,FALSE,"Rev Exp to 6";"Exhibit 2",#N/A,FALSE,"Rev Exp to 6";#N/A,#N/A,FALSE,"DCF Rev Exp to 6";#N/A,#N/A,FALSE,"Taxdepr rev exp to 6";"Exhibit 1",#N/A,FALSE,"Rev Exp flat 5";"Exhibit 2",#N/A,FALSE,"Rev Exp flat 5";#N/A,#N/A,FALSE,"DCF Rev Exp flat 5";#N/A,#N/A,FALSE,"Taxdepr rev exp flat 5";"Exhibit 1",#N/A,FALSE,"Base to 6";"Exhibit 2",#N/A,FALSE,"Base to 6";#N/A,#N/A,FALSE,"DCF Base to 6";#N/A,#N/A,FALSE,"Taxdepr base to 6";"Exhibit 1",#N/A,FALSE,"Base flat 5";"Exhibit 2",#N/A,FALSE,"Base flat 5";#N/A,#N/A,FALSE,"DCF Base flat 5";#N/A,#N/A,FALSE,"Taxdepr base flat 5";#N/A,#N/A,FALSE,"TM margins"}</definedName>
    <definedName name="_____tax2" hidden="1">{"Exhibit 1",#N/A,FALSE,"Rev Exp to 6";"Exhibit 2",#N/A,FALSE,"Rev Exp to 6";#N/A,#N/A,FALSE,"DCF Rev Exp to 6";#N/A,#N/A,FALSE,"Taxdepr rev exp to 6";"Exhibit 1",#N/A,FALSE,"Rev Exp flat 5";"Exhibit 2",#N/A,FALSE,"Rev Exp flat 5";#N/A,#N/A,FALSE,"DCF Rev Exp flat 5";#N/A,#N/A,FALSE,"Taxdepr rev exp flat 5";"Exhibit 1",#N/A,FALSE,"Base to 6";"Exhibit 2",#N/A,FALSE,"Base to 6";#N/A,#N/A,FALSE,"DCF Base to 6";#N/A,#N/A,FALSE,"Taxdepr base to 6";"Exhibit 1",#N/A,FALSE,"Base flat 5";"Exhibit 2",#N/A,FALSE,"Base flat 5";#N/A,#N/A,FALSE,"DCF Base flat 5";#N/A,#N/A,FALSE,"Taxdepr base flat 5";#N/A,#N/A,FALSE,"TM margins"}</definedName>
    <definedName name="_____tay1" localSheetId="0" hidden="1">{"Annual",#N/A,FALSE,"Sales &amp; Market";"Quarterly",#N/A,FALSE,"Sales &amp; Market"}</definedName>
    <definedName name="_____tay1" hidden="1">{"Annual",#N/A,FALSE,"Sales &amp; Market";"Quarterly",#N/A,FALSE,"Sales &amp; Market"}</definedName>
    <definedName name="_____tay2" localSheetId="0" hidden="1">{"Annual",#N/A,FALSE,"Sales &amp; Market";"Quarterly",#N/A,FALSE,"Sales &amp; Market"}</definedName>
    <definedName name="_____tay2" hidden="1">{"Annual",#N/A,FALSE,"Sales &amp; Market";"Quarterly",#N/A,FALSE,"Sales &amp; Market"}</definedName>
    <definedName name="_____tay3" localSheetId="0" hidden="1">{"Annual",#N/A,FALSE,"Sales &amp; Market";"Quarterly",#N/A,FALSE,"Sales &amp; Market"}</definedName>
    <definedName name="_____tay3" hidden="1">{"Annual",#N/A,FALSE,"Sales &amp; Market";"Quarterly",#N/A,FALSE,"Sales &amp; Market"}</definedName>
    <definedName name="_____tay5" localSheetId="0" hidden="1">{#N/A,#N/A,FALSE,"Sales"}</definedName>
    <definedName name="_____tay5" hidden="1">{#N/A,#N/A,FALSE,"Sales"}</definedName>
    <definedName name="_____w2" localSheetId="0" hidden="1">{#N/A,#N/A,FALSE,"Sales"}</definedName>
    <definedName name="_____w2" hidden="1">{#N/A,#N/A,FALSE,"Sales"}</definedName>
    <definedName name="____d1" localSheetId="0" hidden="1">{#N/A,#N/A,FALSE,"Sales"}</definedName>
    <definedName name="____d1" hidden="1">{#N/A,#N/A,FALSE,"Sales"}</definedName>
    <definedName name="____d116" localSheetId="0" hidden="1">{#N/A,#N/A,FALSE,"Sales"}</definedName>
    <definedName name="____d116" hidden="1">{#N/A,#N/A,FALSE,"Sales"}</definedName>
    <definedName name="____d16" localSheetId="0" hidden="1">{"Annual",#N/A,FALSE,"Sales &amp; Market";"Quarterly",#N/A,FALSE,"Sales &amp; Market"}</definedName>
    <definedName name="____d16" hidden="1">{"Annual",#N/A,FALSE,"Sales &amp; Market";"Quarterly",#N/A,FALSE,"Sales &amp; Market"}</definedName>
    <definedName name="____d2" localSheetId="0" hidden="1">{#N/A,#N/A,FALSE,"Sales"}</definedName>
    <definedName name="____d2" hidden="1">{#N/A,#N/A,FALSE,"Sales"}</definedName>
    <definedName name="____d216" localSheetId="0" hidden="1">{#N/A,#N/A,FALSE,"Sales"}</definedName>
    <definedName name="____d216" hidden="1">{#N/A,#N/A,FALSE,"Sales"}</definedName>
    <definedName name="____dsa2" localSheetId="0" hidden="1">{"'B-S Accounts Translation'!$A$1:$G$190"}</definedName>
    <definedName name="____dsa2" hidden="1">{"'B-S Accounts Translation'!$A$1:$G$190"}</definedName>
    <definedName name="____f3" localSheetId="0" hidden="1">{#N/A,#N/A,FALSE,"196126-0690";#N/A,#N/A,FALSE,"196126-0690";#N/A,#N/A,FALSE,"1961165-0201"}</definedName>
    <definedName name="____f3" hidden="1">{#N/A,#N/A,FALSE,"196126-0690";#N/A,#N/A,FALSE,"196126-0690";#N/A,#N/A,FALSE,"1961165-0201"}</definedName>
    <definedName name="____fff1" localSheetId="0" hidden="1">{"Annual",#N/A,FALSE,"Sales &amp; Market";"Quarterly",#N/A,FALSE,"Sales &amp; Market"}</definedName>
    <definedName name="____fff1" hidden="1">{"Annual",#N/A,FALSE,"Sales &amp; Market";"Quarterly",#N/A,FALSE,"Sales &amp; Market"}</definedName>
    <definedName name="____gc1" localSheetId="0" hidden="1">{"Annual",#N/A,FALSE,"Sales &amp; Market";"Quarterly",#N/A,FALSE,"Sales &amp; Market"}</definedName>
    <definedName name="____gc1" hidden="1">{"Annual",#N/A,FALSE,"Sales &amp; Market";"Quarterly",#N/A,FALSE,"Sales &amp; Market"}</definedName>
    <definedName name="____h3" localSheetId="0" hidden="1">{#N/A,#N/A,FALSE,"196126-0690";#N/A,#N/A,FALSE,"196126-0690";#N/A,#N/A,FALSE,"1961165-0201"}</definedName>
    <definedName name="____h3" hidden="1">{#N/A,#N/A,FALSE,"196126-0690";#N/A,#N/A,FALSE,"196126-0690";#N/A,#N/A,FALSE,"1961165-0201"}</definedName>
    <definedName name="____h4" localSheetId="0" hidden="1">{#N/A,#N/A,FALSE,"196126-0690";#N/A,#N/A,FALSE,"196126-0690";#N/A,#N/A,FALSE,"1961165-0201"}</definedName>
    <definedName name="____h4" hidden="1">{#N/A,#N/A,FALSE,"196126-0690";#N/A,#N/A,FALSE,"196126-0690";#N/A,#N/A,FALSE,"1961165-0201"}</definedName>
    <definedName name="____h5" localSheetId="0" hidden="1">{#N/A,#N/A,FALSE,"196126-0690";#N/A,#N/A,FALSE,"196126-0690";#N/A,#N/A,FALSE,"1961165-0201"}</definedName>
    <definedName name="____h5" hidden="1">{#N/A,#N/A,FALSE,"196126-0690";#N/A,#N/A,FALSE,"196126-0690";#N/A,#N/A,FALSE,"1961165-0201"}</definedName>
    <definedName name="____hav3" localSheetId="0" hidden="1">{#N/A,#N/A,FALSE,"196126-0690";#N/A,#N/A,FALSE,"196126-0690";#N/A,#N/A,FALSE,"1961165-0201"}</definedName>
    <definedName name="____hav3" hidden="1">{#N/A,#N/A,FALSE,"196126-0690";#N/A,#N/A,FALSE,"196126-0690";#N/A,#N/A,FALSE,"1961165-0201"}</definedName>
    <definedName name="____ok1" localSheetId="0" hidden="1">{"Annual",#N/A,FALSE,"Sales &amp; Market";"Quarterly",#N/A,FALSE,"Sales &amp; Market"}</definedName>
    <definedName name="____ok1" hidden="1">{"Annual",#N/A,FALSE,"Sales &amp; Market";"Quarterly",#N/A,FALSE,"Sales &amp; Market"}</definedName>
    <definedName name="____q1" localSheetId="0" hidden="1">{"Annual",#N/A,FALSE,"Sales &amp; Market";"Quarterly",#N/A,FALSE,"Sales &amp; Market"}</definedName>
    <definedName name="____q1" hidden="1">{"Annual",#N/A,FALSE,"Sales &amp; Market";"Quarterly",#N/A,FALSE,"Sales &amp; Market"}</definedName>
    <definedName name="____q3" localSheetId="0" hidden="1">{"Annual",#N/A,FALSE,"Sales &amp; Market";"Quarterly",#N/A,FALSE,"Sales &amp; Market"}</definedName>
    <definedName name="____q3" hidden="1">{"Annual",#N/A,FALSE,"Sales &amp; Market";"Quarterly",#N/A,FALSE,"Sales &amp; Market"}</definedName>
    <definedName name="____q4" localSheetId="0" hidden="1">{"Annual",#N/A,FALSE,"Sales &amp; Market";"Quarterly",#N/A,FALSE,"Sales &amp; Market"}</definedName>
    <definedName name="____q4" hidden="1">{"Annual",#N/A,FALSE,"Sales &amp; Market";"Quarterly",#N/A,FALSE,"Sales &amp; Market"}</definedName>
    <definedName name="____q5" localSheetId="0" hidden="1">{"'B-S Accounts Translation'!$A$1:$G$190"}</definedName>
    <definedName name="____q5" hidden="1">{"'B-S Accounts Translation'!$A$1:$G$190"}</definedName>
    <definedName name="____s3" localSheetId="0" hidden="1">{#N/A,#N/A,FALSE,"196126-0690";#N/A,#N/A,FALSE,"196126-0690";#N/A,#N/A,FALSE,"1961165-0201"}</definedName>
    <definedName name="____s3" hidden="1">{#N/A,#N/A,FALSE,"196126-0690";#N/A,#N/A,FALSE,"196126-0690";#N/A,#N/A,FALSE,"1961165-0201"}</definedName>
    <definedName name="____ta2" localSheetId="0" hidden="1">{"Exhibit 1",#N/A,FALSE,"Rev Exp to 6";"Exhibit 2",#N/A,FALSE,"Rev Exp to 6";#N/A,#N/A,FALSE,"DCF Rev Exp to 6";#N/A,#N/A,FALSE,"Taxdepr rev exp to 6";"Exhibit 1",#N/A,FALSE,"Rev Exp flat 5";"Exhibit 2",#N/A,FALSE,"Rev Exp flat 5";#N/A,#N/A,FALSE,"DCF Rev Exp flat 5";#N/A,#N/A,FALSE,"Taxdepr rev exp flat 5";"Exhibit 1",#N/A,FALSE,"Base to 6";"Exhibit 2",#N/A,FALSE,"Base to 6";#N/A,#N/A,FALSE,"DCF Base to 6";#N/A,#N/A,FALSE,"Taxdepr base to 6";"Exhibit 1",#N/A,FALSE,"Base flat 5";"Exhibit 2",#N/A,FALSE,"Base flat 5";#N/A,#N/A,FALSE,"DCF Base flat 5";#N/A,#N/A,FALSE,"Taxdepr base flat 5";#N/A,#N/A,FALSE,"TM margins"}</definedName>
    <definedName name="____ta2" hidden="1">{"Exhibit 1",#N/A,FALSE,"Rev Exp to 6";"Exhibit 2",#N/A,FALSE,"Rev Exp to 6";#N/A,#N/A,FALSE,"DCF Rev Exp to 6";#N/A,#N/A,FALSE,"Taxdepr rev exp to 6";"Exhibit 1",#N/A,FALSE,"Rev Exp flat 5";"Exhibit 2",#N/A,FALSE,"Rev Exp flat 5";#N/A,#N/A,FALSE,"DCF Rev Exp flat 5";#N/A,#N/A,FALSE,"Taxdepr rev exp flat 5";"Exhibit 1",#N/A,FALSE,"Base to 6";"Exhibit 2",#N/A,FALSE,"Base to 6";#N/A,#N/A,FALSE,"DCF Base to 6";#N/A,#N/A,FALSE,"Taxdepr base to 6";"Exhibit 1",#N/A,FALSE,"Base flat 5";"Exhibit 2",#N/A,FALSE,"Base flat 5";#N/A,#N/A,FALSE,"DCF Base flat 5";#N/A,#N/A,FALSE,"Taxdepr base flat 5";#N/A,#N/A,FALSE,"TM margins"}</definedName>
    <definedName name="____tax1" localSheetId="0" hidden="1">{"Exhibit 1",#N/A,FALSE,"Rev Exp to 6";"Exhibit 2",#N/A,FALSE,"Rev Exp to 6";#N/A,#N/A,FALSE,"DCF Rev Exp to 6";#N/A,#N/A,FALSE,"Taxdepr rev exp to 6";"Exhibit 1",#N/A,FALSE,"Rev Exp flat 5";"Exhibit 2",#N/A,FALSE,"Rev Exp flat 5";#N/A,#N/A,FALSE,"DCF Rev Exp flat 5";#N/A,#N/A,FALSE,"Taxdepr rev exp flat 5";"Exhibit 1",#N/A,FALSE,"Base to 6";"Exhibit 2",#N/A,FALSE,"Base to 6";#N/A,#N/A,FALSE,"DCF Base to 6";#N/A,#N/A,FALSE,"Taxdepr base to 6";"Exhibit 1",#N/A,FALSE,"Base flat 5";"Exhibit 2",#N/A,FALSE,"Base flat 5";#N/A,#N/A,FALSE,"DCF Base flat 5";#N/A,#N/A,FALSE,"Taxdepr base flat 5";#N/A,#N/A,FALSE,"TM margins"}</definedName>
    <definedName name="____tax1" hidden="1">{"Exhibit 1",#N/A,FALSE,"Rev Exp to 6";"Exhibit 2",#N/A,FALSE,"Rev Exp to 6";#N/A,#N/A,FALSE,"DCF Rev Exp to 6";#N/A,#N/A,FALSE,"Taxdepr rev exp to 6";"Exhibit 1",#N/A,FALSE,"Rev Exp flat 5";"Exhibit 2",#N/A,FALSE,"Rev Exp flat 5";#N/A,#N/A,FALSE,"DCF Rev Exp flat 5";#N/A,#N/A,FALSE,"Taxdepr rev exp flat 5";"Exhibit 1",#N/A,FALSE,"Base to 6";"Exhibit 2",#N/A,FALSE,"Base to 6";#N/A,#N/A,FALSE,"DCF Base to 6";#N/A,#N/A,FALSE,"Taxdepr base to 6";"Exhibit 1",#N/A,FALSE,"Base flat 5";"Exhibit 2",#N/A,FALSE,"Base flat 5";#N/A,#N/A,FALSE,"DCF Base flat 5";#N/A,#N/A,FALSE,"Taxdepr base flat 5";#N/A,#N/A,FALSE,"TM margins"}</definedName>
    <definedName name="____tax2" localSheetId="0" hidden="1">{"Exhibit 1",#N/A,FALSE,"Rev Exp to 6";"Exhibit 2",#N/A,FALSE,"Rev Exp to 6";#N/A,#N/A,FALSE,"DCF Rev Exp to 6";#N/A,#N/A,FALSE,"Taxdepr rev exp to 6";"Exhibit 1",#N/A,FALSE,"Rev Exp flat 5";"Exhibit 2",#N/A,FALSE,"Rev Exp flat 5";#N/A,#N/A,FALSE,"DCF Rev Exp flat 5";#N/A,#N/A,FALSE,"Taxdepr rev exp flat 5";"Exhibit 1",#N/A,FALSE,"Base to 6";"Exhibit 2",#N/A,FALSE,"Base to 6";#N/A,#N/A,FALSE,"DCF Base to 6";#N/A,#N/A,FALSE,"Taxdepr base to 6";"Exhibit 1",#N/A,FALSE,"Base flat 5";"Exhibit 2",#N/A,FALSE,"Base flat 5";#N/A,#N/A,FALSE,"DCF Base flat 5";#N/A,#N/A,FALSE,"Taxdepr base flat 5";#N/A,#N/A,FALSE,"TM margins"}</definedName>
    <definedName name="____tax2" hidden="1">{"Exhibit 1",#N/A,FALSE,"Rev Exp to 6";"Exhibit 2",#N/A,FALSE,"Rev Exp to 6";#N/A,#N/A,FALSE,"DCF Rev Exp to 6";#N/A,#N/A,FALSE,"Taxdepr rev exp to 6";"Exhibit 1",#N/A,FALSE,"Rev Exp flat 5";"Exhibit 2",#N/A,FALSE,"Rev Exp flat 5";#N/A,#N/A,FALSE,"DCF Rev Exp flat 5";#N/A,#N/A,FALSE,"Taxdepr rev exp flat 5";"Exhibit 1",#N/A,FALSE,"Base to 6";"Exhibit 2",#N/A,FALSE,"Base to 6";#N/A,#N/A,FALSE,"DCF Base to 6";#N/A,#N/A,FALSE,"Taxdepr base to 6";"Exhibit 1",#N/A,FALSE,"Base flat 5";"Exhibit 2",#N/A,FALSE,"Base flat 5";#N/A,#N/A,FALSE,"DCF Base flat 5";#N/A,#N/A,FALSE,"Taxdepr base flat 5";#N/A,#N/A,FALSE,"TM margins"}</definedName>
    <definedName name="____tay1" localSheetId="0" hidden="1">{"Annual",#N/A,FALSE,"Sales &amp; Market";"Quarterly",#N/A,FALSE,"Sales &amp; Market"}</definedName>
    <definedName name="____tay1" hidden="1">{"Annual",#N/A,FALSE,"Sales &amp; Market";"Quarterly",#N/A,FALSE,"Sales &amp; Market"}</definedName>
    <definedName name="____tay2" localSheetId="0" hidden="1">{"Annual",#N/A,FALSE,"Sales &amp; Market";"Quarterly",#N/A,FALSE,"Sales &amp; Market"}</definedName>
    <definedName name="____tay2" hidden="1">{"Annual",#N/A,FALSE,"Sales &amp; Market";"Quarterly",#N/A,FALSE,"Sales &amp; Market"}</definedName>
    <definedName name="____tay3" localSheetId="0" hidden="1">{"Annual",#N/A,FALSE,"Sales &amp; Market";"Quarterly",#N/A,FALSE,"Sales &amp; Market"}</definedName>
    <definedName name="____tay3" hidden="1">{"Annual",#N/A,FALSE,"Sales &amp; Market";"Quarterly",#N/A,FALSE,"Sales &amp; Market"}</definedName>
    <definedName name="____tay5" localSheetId="0" hidden="1">{#N/A,#N/A,FALSE,"Sales"}</definedName>
    <definedName name="____tay5" hidden="1">{#N/A,#N/A,FALSE,"Sales"}</definedName>
    <definedName name="____w2" localSheetId="0" hidden="1">{#N/A,#N/A,FALSE,"Sales"}</definedName>
    <definedName name="____w2" hidden="1">{#N/A,#N/A,FALSE,"Sales"}</definedName>
    <definedName name="___a3" localSheetId="0" hidden="1">{#N/A,#N/A,FALSE,"196126-0690";#N/A,#N/A,FALSE,"196126-0690";#N/A,#N/A,FALSE,"1961165-0201"}</definedName>
    <definedName name="___a3" hidden="1">{#N/A,#N/A,FALSE,"196126-0690";#N/A,#N/A,FALSE,"196126-0690";#N/A,#N/A,FALSE,"1961165-0201"}</definedName>
    <definedName name="___aa1" localSheetId="0" hidden="1">{#N/A,#N/A,FALSE,"196126-0690";#N/A,#N/A,FALSE,"196126-0690";#N/A,#N/A,FALSE,"1961165-0201"}</definedName>
    <definedName name="___aa1" hidden="1">{#N/A,#N/A,FALSE,"196126-0690";#N/A,#N/A,FALSE,"196126-0690";#N/A,#N/A,FALSE,"1961165-0201"}</definedName>
    <definedName name="___abc1" localSheetId="0" hidden="1">{#N/A,#N/A,FALSE,"SUMMARY REPORT"}</definedName>
    <definedName name="___abc1" hidden="1">{#N/A,#N/A,FALSE,"SUMMARY REPORT"}</definedName>
    <definedName name="___abc10" localSheetId="0" hidden="1">{#N/A,#N/A,FALSE,"SUMMARY REPORT"}</definedName>
    <definedName name="___abc10" hidden="1">{#N/A,#N/A,FALSE,"SUMMARY REPORT"}</definedName>
    <definedName name="___abc115" localSheetId="0" hidden="1">{#N/A,#N/A,FALSE,"SUMMARY REPORT"}</definedName>
    <definedName name="___abc115" hidden="1">{#N/A,#N/A,FALSE,"SUMMARY REPORT"}</definedName>
    <definedName name="___ABC12" localSheetId="0" hidden="1">{#N/A,#N/A,FALSE,"SUMMARY REPORT"}</definedName>
    <definedName name="___ABC12" hidden="1">{#N/A,#N/A,FALSE,"SUMMARY REPORT"}</definedName>
    <definedName name="___abc13" localSheetId="0" hidden="1">{#N/A,#N/A,FALSE,"SUMMARY REPORT"}</definedName>
    <definedName name="___abc13" hidden="1">{#N/A,#N/A,FALSE,"SUMMARY REPORT"}</definedName>
    <definedName name="___abc14" localSheetId="0" hidden="1">{#N/A,#N/A,FALSE,"SUMMARY REPORT"}</definedName>
    <definedName name="___abc14" hidden="1">{#N/A,#N/A,FALSE,"SUMMARY REPORT"}</definedName>
    <definedName name="___abc15" localSheetId="0" hidden="1">{#N/A,#N/A,FALSE,"SUMMARY REPORT"}</definedName>
    <definedName name="___abc15" hidden="1">{#N/A,#N/A,FALSE,"SUMMARY REPORT"}</definedName>
    <definedName name="___abc16" localSheetId="0" hidden="1">{#N/A,#N/A,FALSE,"SUMMARY REPORT"}</definedName>
    <definedName name="___abc16" hidden="1">{#N/A,#N/A,FALSE,"SUMMARY REPORT"}</definedName>
    <definedName name="___abc18" localSheetId="0" hidden="1">{#N/A,#N/A,FALSE,"SUMMARY REPORT"}</definedName>
    <definedName name="___abc18" hidden="1">{#N/A,#N/A,FALSE,"SUMMARY REPORT"}</definedName>
    <definedName name="___abc19" localSheetId="0" hidden="1">{#N/A,#N/A,FALSE,"SUMMARY REPORT"}</definedName>
    <definedName name="___abc19" hidden="1">{#N/A,#N/A,FALSE,"SUMMARY REPORT"}</definedName>
    <definedName name="___abc21" localSheetId="0" hidden="1">{#N/A,#N/A,FALSE,"SUMMARY REPORT"}</definedName>
    <definedName name="___abc21" hidden="1">{#N/A,#N/A,FALSE,"SUMMARY REPORT"}</definedName>
    <definedName name="___ABC5" localSheetId="0" hidden="1">{#N/A,#N/A,FALSE,"SUMMARY REPORT"}</definedName>
    <definedName name="___ABC5" hidden="1">{#N/A,#N/A,FALSE,"SUMMARY REPORT"}</definedName>
    <definedName name="___abc6" localSheetId="0" hidden="1">{#N/A,#N/A,FALSE,"SUMMARY REPORT"}</definedName>
    <definedName name="___abc6" hidden="1">{#N/A,#N/A,FALSE,"SUMMARY REPORT"}</definedName>
    <definedName name="___ABC7" localSheetId="0" hidden="1">{#N/A,#N/A,FALSE,"SUMMARY REPORT"}</definedName>
    <definedName name="___ABC7" hidden="1">{#N/A,#N/A,FALSE,"SUMMARY REPORT"}</definedName>
    <definedName name="___ABC8" localSheetId="0" hidden="1">{#N/A,#N/A,FALSE,"SUMMARY REPORT"}</definedName>
    <definedName name="___ABC8" hidden="1">{#N/A,#N/A,FALSE,"SUMMARY REPORT"}</definedName>
    <definedName name="___ABC9" localSheetId="0" hidden="1">{#N/A,#N/A,FALSE,"SUMMARY REPORT"}</definedName>
    <definedName name="___ABC9" hidden="1">{#N/A,#N/A,FALSE,"SUMMARY REPORT"}</definedName>
    <definedName name="___acb6" localSheetId="0" hidden="1">{#N/A,#N/A,FALSE,"SUMMARY REPORT"}</definedName>
    <definedName name="___acb6" hidden="1">{#N/A,#N/A,FALSE,"SUMMARY REPORT"}</definedName>
    <definedName name="___ADC6" localSheetId="0" hidden="1">{#N/A,#N/A,FALSE,"SUMMARY REPORT"}</definedName>
    <definedName name="___ADC6" hidden="1">{#N/A,#N/A,FALSE,"SUMMARY REPORT"}</definedName>
    <definedName name="___ASE5" localSheetId="0" hidden="1">{#N/A,#N/A,FALSE,"SUMMARY REPORT"}</definedName>
    <definedName name="___ASE5" hidden="1">{#N/A,#N/A,FALSE,"SUMMARY REPORT"}</definedName>
    <definedName name="___d1" localSheetId="0" hidden="1">{#N/A,#N/A,FALSE,"Sales"}</definedName>
    <definedName name="___d1" hidden="1">{#N/A,#N/A,FALSE,"Sales"}</definedName>
    <definedName name="___d116" localSheetId="0" hidden="1">{#N/A,#N/A,FALSE,"Sales"}</definedName>
    <definedName name="___d116" hidden="1">{#N/A,#N/A,FALSE,"Sales"}</definedName>
    <definedName name="___d16" localSheetId="0" hidden="1">{"Annual",#N/A,FALSE,"Sales &amp; Market";"Quarterly",#N/A,FALSE,"Sales &amp; Market"}</definedName>
    <definedName name="___d16" hidden="1">{"Annual",#N/A,FALSE,"Sales &amp; Market";"Quarterly",#N/A,FALSE,"Sales &amp; Market"}</definedName>
    <definedName name="___d2" localSheetId="0" hidden="1">{#N/A,#N/A,FALSE,"Sales"}</definedName>
    <definedName name="___d2" hidden="1">{#N/A,#N/A,FALSE,"Sales"}</definedName>
    <definedName name="___d216" localSheetId="0" hidden="1">{#N/A,#N/A,FALSE,"Sales"}</definedName>
    <definedName name="___d216" hidden="1">{#N/A,#N/A,FALSE,"Sales"}</definedName>
    <definedName name="___dsa2" localSheetId="0" hidden="1">{"'B-S Accounts Translation'!$A$1:$G$190"}</definedName>
    <definedName name="___dsa2" hidden="1">{"'B-S Accounts Translation'!$A$1:$G$190"}</definedName>
    <definedName name="___EDF2" localSheetId="0" hidden="1">{#N/A,#N/A,FALSE,"SUMMARY REPORT"}</definedName>
    <definedName name="___EDF2" hidden="1">{#N/A,#N/A,FALSE,"SUMMARY REPORT"}</definedName>
    <definedName name="___FBT1" localSheetId="0" hidden="1">{#N/A,#N/A,FALSE,"SUMMARY REPORT"}</definedName>
    <definedName name="___FBT1" hidden="1">{#N/A,#N/A,FALSE,"SUMMARY REPORT"}</definedName>
    <definedName name="___fff1" localSheetId="0" hidden="1">{"Annual",#N/A,FALSE,"Sales &amp; Market";"Quarterly",#N/A,FALSE,"Sales &amp; Market"}</definedName>
    <definedName name="___fff1" hidden="1">{"Annual",#N/A,FALSE,"Sales &amp; Market";"Quarterly",#N/A,FALSE,"Sales &amp; Market"}</definedName>
    <definedName name="___gc1" localSheetId="0" hidden="1">{"Annual",#N/A,FALSE,"Sales &amp; Market";"Quarterly",#N/A,FALSE,"Sales &amp; Market"}</definedName>
    <definedName name="___gc1" hidden="1">{"Annual",#N/A,FALSE,"Sales &amp; Market";"Quarterly",#N/A,FALSE,"Sales &amp; Market"}</definedName>
    <definedName name="___hav4" localSheetId="0" hidden="1">{#N/A,#N/A,FALSE,"196126-0690";#N/A,#N/A,FALSE,"196126-0690";#N/A,#N/A,FALSE,"1961165-0201"}</definedName>
    <definedName name="___hav4" hidden="1">{#N/A,#N/A,FALSE,"196126-0690";#N/A,#N/A,FALSE,"196126-0690";#N/A,#N/A,FALSE,"1961165-0201"}</definedName>
    <definedName name="___n3" localSheetId="0" hidden="1">{#N/A,#N/A,FALSE,"196126-0690";#N/A,#N/A,FALSE,"196126-0690";#N/A,#N/A,FALSE,"1961165-0201"}</definedName>
    <definedName name="___n3" hidden="1">{#N/A,#N/A,FALSE,"196126-0690";#N/A,#N/A,FALSE,"196126-0690";#N/A,#N/A,FALSE,"1961165-0201"}</definedName>
    <definedName name="___ok1" localSheetId="0" hidden="1">{"Annual",#N/A,FALSE,"Sales &amp; Market";"Quarterly",#N/A,FALSE,"Sales &amp; Market"}</definedName>
    <definedName name="___ok1" hidden="1">{"Annual",#N/A,FALSE,"Sales &amp; Market";"Quarterly",#N/A,FALSE,"Sales &amp; Market"}</definedName>
    <definedName name="___q1" localSheetId="0" hidden="1">{"Annual",#N/A,FALSE,"Sales &amp; Market";"Quarterly",#N/A,FALSE,"Sales &amp; Market"}</definedName>
    <definedName name="___q1" hidden="1">{"Annual",#N/A,FALSE,"Sales &amp; Market";"Quarterly",#N/A,FALSE,"Sales &amp; Market"}</definedName>
    <definedName name="___q3" localSheetId="0" hidden="1">{"Annual",#N/A,FALSE,"Sales &amp; Market";"Quarterly",#N/A,FALSE,"Sales &amp; Market"}</definedName>
    <definedName name="___q3" hidden="1">{"Annual",#N/A,FALSE,"Sales &amp; Market";"Quarterly",#N/A,FALSE,"Sales &amp; Market"}</definedName>
    <definedName name="___q4" localSheetId="0" hidden="1">{"Annual",#N/A,FALSE,"Sales &amp; Market";"Quarterly",#N/A,FALSE,"Sales &amp; Market"}</definedName>
    <definedName name="___q4" hidden="1">{"Annual",#N/A,FALSE,"Sales &amp; Market";"Quarterly",#N/A,FALSE,"Sales &amp; Market"}</definedName>
    <definedName name="___q5" localSheetId="0" hidden="1">{"'B-S Accounts Translation'!$A$1:$G$190"}</definedName>
    <definedName name="___q5" hidden="1">{"'B-S Accounts Translation'!$A$1:$G$190"}</definedName>
    <definedName name="___QAC6" localSheetId="0" hidden="1">{#N/A,#N/A,FALSE,"SUMMARY REPORT"}</definedName>
    <definedName name="___QAC6" hidden="1">{#N/A,#N/A,FALSE,"SUMMARY REPORT"}</definedName>
    <definedName name="___ta2" localSheetId="0" hidden="1">{"Exhibit 1",#N/A,FALSE,"Rev Exp to 6";"Exhibit 2",#N/A,FALSE,"Rev Exp to 6";#N/A,#N/A,FALSE,"DCF Rev Exp to 6";#N/A,#N/A,FALSE,"Taxdepr rev exp to 6";"Exhibit 1",#N/A,FALSE,"Rev Exp flat 5";"Exhibit 2",#N/A,FALSE,"Rev Exp flat 5";#N/A,#N/A,FALSE,"DCF Rev Exp flat 5";#N/A,#N/A,FALSE,"Taxdepr rev exp flat 5";"Exhibit 1",#N/A,FALSE,"Base to 6";"Exhibit 2",#N/A,FALSE,"Base to 6";#N/A,#N/A,FALSE,"DCF Base to 6";#N/A,#N/A,FALSE,"Taxdepr base to 6";"Exhibit 1",#N/A,FALSE,"Base flat 5";"Exhibit 2",#N/A,FALSE,"Base flat 5";#N/A,#N/A,FALSE,"DCF Base flat 5";#N/A,#N/A,FALSE,"Taxdepr base flat 5";#N/A,#N/A,FALSE,"TM margins"}</definedName>
    <definedName name="___ta2" hidden="1">{"Exhibit 1",#N/A,FALSE,"Rev Exp to 6";"Exhibit 2",#N/A,FALSE,"Rev Exp to 6";#N/A,#N/A,FALSE,"DCF Rev Exp to 6";#N/A,#N/A,FALSE,"Taxdepr rev exp to 6";"Exhibit 1",#N/A,FALSE,"Rev Exp flat 5";"Exhibit 2",#N/A,FALSE,"Rev Exp flat 5";#N/A,#N/A,FALSE,"DCF Rev Exp flat 5";#N/A,#N/A,FALSE,"Taxdepr rev exp flat 5";"Exhibit 1",#N/A,FALSE,"Base to 6";"Exhibit 2",#N/A,FALSE,"Base to 6";#N/A,#N/A,FALSE,"DCF Base to 6";#N/A,#N/A,FALSE,"Taxdepr base to 6";"Exhibit 1",#N/A,FALSE,"Base flat 5";"Exhibit 2",#N/A,FALSE,"Base flat 5";#N/A,#N/A,FALSE,"DCF Base flat 5";#N/A,#N/A,FALSE,"Taxdepr base flat 5";#N/A,#N/A,FALSE,"TM margins"}</definedName>
    <definedName name="___tax1" localSheetId="0" hidden="1">{"Exhibit 1",#N/A,FALSE,"Rev Exp to 6";"Exhibit 2",#N/A,FALSE,"Rev Exp to 6";#N/A,#N/A,FALSE,"DCF Rev Exp to 6";#N/A,#N/A,FALSE,"Taxdepr rev exp to 6";"Exhibit 1",#N/A,FALSE,"Rev Exp flat 5";"Exhibit 2",#N/A,FALSE,"Rev Exp flat 5";#N/A,#N/A,FALSE,"DCF Rev Exp flat 5";#N/A,#N/A,FALSE,"Taxdepr rev exp flat 5";"Exhibit 1",#N/A,FALSE,"Base to 6";"Exhibit 2",#N/A,FALSE,"Base to 6";#N/A,#N/A,FALSE,"DCF Base to 6";#N/A,#N/A,FALSE,"Taxdepr base to 6";"Exhibit 1",#N/A,FALSE,"Base flat 5";"Exhibit 2",#N/A,FALSE,"Base flat 5";#N/A,#N/A,FALSE,"DCF Base flat 5";#N/A,#N/A,FALSE,"Taxdepr base flat 5";#N/A,#N/A,FALSE,"TM margins"}</definedName>
    <definedName name="___tax1" hidden="1">{"Exhibit 1",#N/A,FALSE,"Rev Exp to 6";"Exhibit 2",#N/A,FALSE,"Rev Exp to 6";#N/A,#N/A,FALSE,"DCF Rev Exp to 6";#N/A,#N/A,FALSE,"Taxdepr rev exp to 6";"Exhibit 1",#N/A,FALSE,"Rev Exp flat 5";"Exhibit 2",#N/A,FALSE,"Rev Exp flat 5";#N/A,#N/A,FALSE,"DCF Rev Exp flat 5";#N/A,#N/A,FALSE,"Taxdepr rev exp flat 5";"Exhibit 1",#N/A,FALSE,"Base to 6";"Exhibit 2",#N/A,FALSE,"Base to 6";#N/A,#N/A,FALSE,"DCF Base to 6";#N/A,#N/A,FALSE,"Taxdepr base to 6";"Exhibit 1",#N/A,FALSE,"Base flat 5";"Exhibit 2",#N/A,FALSE,"Base flat 5";#N/A,#N/A,FALSE,"DCF Base flat 5";#N/A,#N/A,FALSE,"Taxdepr base flat 5";#N/A,#N/A,FALSE,"TM margins"}</definedName>
    <definedName name="___tax2" localSheetId="0" hidden="1">{"Exhibit 1",#N/A,FALSE,"Rev Exp to 6";"Exhibit 2",#N/A,FALSE,"Rev Exp to 6";#N/A,#N/A,FALSE,"DCF Rev Exp to 6";#N/A,#N/A,FALSE,"Taxdepr rev exp to 6";"Exhibit 1",#N/A,FALSE,"Rev Exp flat 5";"Exhibit 2",#N/A,FALSE,"Rev Exp flat 5";#N/A,#N/A,FALSE,"DCF Rev Exp flat 5";#N/A,#N/A,FALSE,"Taxdepr rev exp flat 5";"Exhibit 1",#N/A,FALSE,"Base to 6";"Exhibit 2",#N/A,FALSE,"Base to 6";#N/A,#N/A,FALSE,"DCF Base to 6";#N/A,#N/A,FALSE,"Taxdepr base to 6";"Exhibit 1",#N/A,FALSE,"Base flat 5";"Exhibit 2",#N/A,FALSE,"Base flat 5";#N/A,#N/A,FALSE,"DCF Base flat 5";#N/A,#N/A,FALSE,"Taxdepr base flat 5";#N/A,#N/A,FALSE,"TM margins"}</definedName>
    <definedName name="___tax2" hidden="1">{"Exhibit 1",#N/A,FALSE,"Rev Exp to 6";"Exhibit 2",#N/A,FALSE,"Rev Exp to 6";#N/A,#N/A,FALSE,"DCF Rev Exp to 6";#N/A,#N/A,FALSE,"Taxdepr rev exp to 6";"Exhibit 1",#N/A,FALSE,"Rev Exp flat 5";"Exhibit 2",#N/A,FALSE,"Rev Exp flat 5";#N/A,#N/A,FALSE,"DCF Rev Exp flat 5";#N/A,#N/A,FALSE,"Taxdepr rev exp flat 5";"Exhibit 1",#N/A,FALSE,"Base to 6";"Exhibit 2",#N/A,FALSE,"Base to 6";#N/A,#N/A,FALSE,"DCF Base to 6";#N/A,#N/A,FALSE,"Taxdepr base to 6";"Exhibit 1",#N/A,FALSE,"Base flat 5";"Exhibit 2",#N/A,FALSE,"Base flat 5";#N/A,#N/A,FALSE,"DCF Base flat 5";#N/A,#N/A,FALSE,"Taxdepr base flat 5";#N/A,#N/A,FALSE,"TM margins"}</definedName>
    <definedName name="___tay1" localSheetId="0" hidden="1">{"Annual",#N/A,FALSE,"Sales &amp; Market";"Quarterly",#N/A,FALSE,"Sales &amp; Market"}</definedName>
    <definedName name="___tay1" hidden="1">{"Annual",#N/A,FALSE,"Sales &amp; Market";"Quarterly",#N/A,FALSE,"Sales &amp; Market"}</definedName>
    <definedName name="___tay2" localSheetId="0" hidden="1">{"Annual",#N/A,FALSE,"Sales &amp; Market";"Quarterly",#N/A,FALSE,"Sales &amp; Market"}</definedName>
    <definedName name="___tay2" hidden="1">{"Annual",#N/A,FALSE,"Sales &amp; Market";"Quarterly",#N/A,FALSE,"Sales &amp; Market"}</definedName>
    <definedName name="___tay3" localSheetId="0" hidden="1">{"Annual",#N/A,FALSE,"Sales &amp; Market";"Quarterly",#N/A,FALSE,"Sales &amp; Market"}</definedName>
    <definedName name="___tay3" hidden="1">{"Annual",#N/A,FALSE,"Sales &amp; Market";"Quarterly",#N/A,FALSE,"Sales &amp; Market"}</definedName>
    <definedName name="___tay5" localSheetId="0" hidden="1">{#N/A,#N/A,FALSE,"Sales"}</definedName>
    <definedName name="___tay5" hidden="1">{#N/A,#N/A,FALSE,"Sales"}</definedName>
    <definedName name="___w2" localSheetId="0" hidden="1">{#N/A,#N/A,FALSE,"Sales"}</definedName>
    <definedName name="___w2" hidden="1">{#N/A,#N/A,FALSE,"Sales"}</definedName>
    <definedName name="__11" hidden="1">[2]ﾀﾘﾌ!#REF!</definedName>
    <definedName name="__123Graph_A" hidden="1">#REF!</definedName>
    <definedName name="__123Graph_ARESEMKT" hidden="1">#REF!</definedName>
    <definedName name="__123Graph_ASATURATE" hidden="1">#REF!</definedName>
    <definedName name="__123Graph_B" hidden="1">#REF!</definedName>
    <definedName name="__123Graph_BRESEMKT" hidden="1">#REF!</definedName>
    <definedName name="__123Graph_BSATURATE" hidden="1">#REF!</definedName>
    <definedName name="__123Graph_C" hidden="1">[2]ﾀﾘﾌ!#REF!</definedName>
    <definedName name="__123Graph_CRESEMKT" hidden="1">#REF!</definedName>
    <definedName name="__123Graph_CSATURATE" hidden="1">#REF!</definedName>
    <definedName name="__123Graph_DSATURATE" hidden="1">#REF!</definedName>
    <definedName name="__123Graph_F" hidden="1">'[3]00''미수'!#REF!</definedName>
    <definedName name="__123Graph_X" hidden="1">#REF!</definedName>
    <definedName name="__123Graph_XRESEMKT" hidden="1">#REF!</definedName>
    <definedName name="__123Graph_XSATURATE" hidden="1">#REF!</definedName>
    <definedName name="__a3" localSheetId="0" hidden="1">{#N/A,#N/A,FALSE,"Cover";#N/A,#N/A,FALSE,"Cover (2)";#N/A,#N/A,FALSE,"P&amp;LSUM";#N/A,#N/A,FALSE,"P&amp;L BY SEG.";#N/A,#N/A,FALSE,"ProdLine95LE";#N/A,#N/A,FALSE,"ACT_GROSSMARGIN";#N/A,#N/A,FALSE,"SG&amp;A $";#N/A,#N/A,FALSE,"OID";#N/A,#N/A,FALSE,"ROADMAP (2)";#N/A,#N/A,FALSE,"WCPERFORM";#N/A,#N/A,FALSE,"WCPERFORM (3)";#N/A,#N/A,FALSE,"CORPCASHFLOW";#N/A,#N/A,FALSE,"CASHFLOWFWC";#N/A,#N/A,FALSE,"CAPITAL EXPENDITURES";#N/A,#N/A,FALSE,"96RISKS&amp;OPP";#N/A,#N/A,FALSE,"KeyActions";#N/A,#N/A,FALSE,"Cover (3)";#N/A,#N/A,FALSE,"GROWTH";#N/A,#N/A,FALSE,"HVACMARASSUM";#N/A,#N/A,FALSE,"MARKETANA95";#N/A,#N/A,FALSE,"MARKETANA96F";#N/A,#N/A,FALSE,"MARKETANA97P";#N/A,#N/A,FALSE,"SRVMARKETASSUM";#N/A,#N/A,FALSE,"95COMPETSOM%";#N/A,#N/A,FALSE,"96COMPETSOM% ";#N/A,#N/A,FALSE,"97COMPETSOM%";#N/A,#N/A,FALSE,"SOM%COMPARE";#N/A,#N/A,FALSE,"MARKETEVOL";#N/A,#N/A,FALSE,"COMPMKTACTION";#N/A,#N/A,FALSE,"SECTION 2";#N/A,#N/A,FALSE,"MACROECONOMIC";#N/A,#N/A,FALSE,"ROADMAP";#N/A,#N/A,FALSE,"HVACSALESEXT";#N/A,#N/A,FALSE,"EXTPRICINGASSUM";#N/A,#N/A,FALSE,"HVACSALESINT";#N/A,#N/A,FALSE,"INTPRICINGASSUM";#N/A,#N/A,FALSE,"EXTHVACSTDGROS";#N/A,#N/A,FALSE,"INTHVACSTDGROS";#N/A,#N/A,FALSE,"EXTHVACSTDGROS($)";#N/A,#N/A,FALSE,"INTHVACSTDGROS($)";#N/A,#N/A,FALSE,"MANUFACTURING EXPENSES";#N/A,#N/A,FALSE,"ACTGROSMAGANA(2)";#N/A,#N/A,FALSE,"SG&amp;A $ (2)";#N/A,#N/A,FALSE,"R&amp;DPROJECTS";#N/A,#N/A,FALSE,"OID (2)";#N/A,#N/A,FALSE,"P&amp;LSUM (3)";#N/A,#N/A,FALSE,"P&amp;L BY SEG. (2)";#N/A,#N/A,FALSE,"ProdLine97P ";#N/A,#N/A,FALSE,"HEADCOUNT-YTD";#N/A,#N/A,FALSE,"HEADCOUNT-BOY";#N/A,#N/A,FALSE,"HEADCOUNT-PLAN";#N/A,#N/A,FALSE,"WCPERFORM (2)";#N/A,#N/A,FALSE,"WCPERFORM (4)";#N/A,#N/A,FALSE,"PLANCORPCASHFLOW";#N/A,#N/A,FALSE,"CASHFLOW BY QTR";#N/A,#N/A,FALSE,"CASHFLOWW_C (2)";#N/A,#N/A,FALSE,"CF_W_C BY QTR";#N/A,#N/A,FALSE,"CAPITAL EXPENDITURES (2)";#N/A,#N/A,FALSE,"BALANCE SHEET";#N/A,#N/A,FALSE,"97RISKS&amp;OPP (3)";#N/A,#N/A,FALSE,"KeyActions (2)";#N/A,#N/A,FALSE,"Cover (5)";#N/A,#N/A,FALSE,"RDMAP FCST VOL";#N/A,#N/A,FALSE,"Cover (4)";#N/A,#N/A,FALSE,"RDMAPVOLUME";#N/A,#N/A,FALSE,"RDMAPPRICEMIX";#N/A,#N/A,FALSE,"RDMAPMGNRECON";#N/A,#N/A,FALSE,"RDMAPPRODUC";#N/A,#N/A,FALSE,"RDMAPFXPARITY";#N/A,#N/A,FALSE,"RDMAPINFLM";#N/A,#N/A,FALSE,"RDMAPINFLP";#N/A,#N/A,FALSE,"RDMAPOTHER"}</definedName>
    <definedName name="__a3" hidden="1">{#N/A,#N/A,FALSE,"Cover";#N/A,#N/A,FALSE,"Cover (2)";#N/A,#N/A,FALSE,"P&amp;LSUM";#N/A,#N/A,FALSE,"P&amp;L BY SEG.";#N/A,#N/A,FALSE,"ProdLine95LE";#N/A,#N/A,FALSE,"ACT_GROSSMARGIN";#N/A,#N/A,FALSE,"SG&amp;A $";#N/A,#N/A,FALSE,"OID";#N/A,#N/A,FALSE,"ROADMAP (2)";#N/A,#N/A,FALSE,"WCPERFORM";#N/A,#N/A,FALSE,"WCPERFORM (3)";#N/A,#N/A,FALSE,"CORPCASHFLOW";#N/A,#N/A,FALSE,"CASHFLOWFWC";#N/A,#N/A,FALSE,"CAPITAL EXPENDITURES";#N/A,#N/A,FALSE,"96RISKS&amp;OPP";#N/A,#N/A,FALSE,"KeyActions";#N/A,#N/A,FALSE,"Cover (3)";#N/A,#N/A,FALSE,"GROWTH";#N/A,#N/A,FALSE,"HVACMARASSUM";#N/A,#N/A,FALSE,"MARKETANA95";#N/A,#N/A,FALSE,"MARKETANA96F";#N/A,#N/A,FALSE,"MARKETANA97P";#N/A,#N/A,FALSE,"SRVMARKETASSUM";#N/A,#N/A,FALSE,"95COMPETSOM%";#N/A,#N/A,FALSE,"96COMPETSOM% ";#N/A,#N/A,FALSE,"97COMPETSOM%";#N/A,#N/A,FALSE,"SOM%COMPARE";#N/A,#N/A,FALSE,"MARKETEVOL";#N/A,#N/A,FALSE,"COMPMKTACTION";#N/A,#N/A,FALSE,"SECTION 2";#N/A,#N/A,FALSE,"MACROECONOMIC";#N/A,#N/A,FALSE,"ROADMAP";#N/A,#N/A,FALSE,"HVACSALESEXT";#N/A,#N/A,FALSE,"EXTPRICINGASSUM";#N/A,#N/A,FALSE,"HVACSALESINT";#N/A,#N/A,FALSE,"INTPRICINGASSUM";#N/A,#N/A,FALSE,"EXTHVACSTDGROS";#N/A,#N/A,FALSE,"INTHVACSTDGROS";#N/A,#N/A,FALSE,"EXTHVACSTDGROS($)";#N/A,#N/A,FALSE,"INTHVACSTDGROS($)";#N/A,#N/A,FALSE,"MANUFACTURING EXPENSES";#N/A,#N/A,FALSE,"ACTGROSMAGANA(2)";#N/A,#N/A,FALSE,"SG&amp;A $ (2)";#N/A,#N/A,FALSE,"R&amp;DPROJECTS";#N/A,#N/A,FALSE,"OID (2)";#N/A,#N/A,FALSE,"P&amp;LSUM (3)";#N/A,#N/A,FALSE,"P&amp;L BY SEG. (2)";#N/A,#N/A,FALSE,"ProdLine97P ";#N/A,#N/A,FALSE,"HEADCOUNT-YTD";#N/A,#N/A,FALSE,"HEADCOUNT-BOY";#N/A,#N/A,FALSE,"HEADCOUNT-PLAN";#N/A,#N/A,FALSE,"WCPERFORM (2)";#N/A,#N/A,FALSE,"WCPERFORM (4)";#N/A,#N/A,FALSE,"PLANCORPCASHFLOW";#N/A,#N/A,FALSE,"CASHFLOW BY QTR";#N/A,#N/A,FALSE,"CASHFLOWW_C (2)";#N/A,#N/A,FALSE,"CF_W_C BY QTR";#N/A,#N/A,FALSE,"CAPITAL EXPENDITURES (2)";#N/A,#N/A,FALSE,"BALANCE SHEET";#N/A,#N/A,FALSE,"97RISKS&amp;OPP (3)";#N/A,#N/A,FALSE,"KeyActions (2)";#N/A,#N/A,FALSE,"Cover (5)";#N/A,#N/A,FALSE,"RDMAP FCST VOL";#N/A,#N/A,FALSE,"Cover (4)";#N/A,#N/A,FALSE,"RDMAPVOLUME";#N/A,#N/A,FALSE,"RDMAPPRICEMIX";#N/A,#N/A,FALSE,"RDMAPMGNRECON";#N/A,#N/A,FALSE,"RDMAPPRODUC";#N/A,#N/A,FALSE,"RDMAPFXPARITY";#N/A,#N/A,FALSE,"RDMAPINFLM";#N/A,#N/A,FALSE,"RDMAPINFLP";#N/A,#N/A,FALSE,"RDMAPOTHER"}</definedName>
    <definedName name="__A4" localSheetId="0" hidden="1">{#N/A,#N/A,FALSE,"KMC최종회의(7월) 자료"}</definedName>
    <definedName name="__A4" hidden="1">{#N/A,#N/A,FALSE,"KMC최종회의(7월) 자료"}</definedName>
    <definedName name="__A5" localSheetId="0" hidden="1">{#N/A,#N/A,FALSE,"KMC최종회의(7월) 자료"}</definedName>
    <definedName name="__A5" hidden="1">{#N/A,#N/A,FALSE,"KMC최종회의(7월) 자료"}</definedName>
    <definedName name="__A6" localSheetId="0" hidden="1">{#N/A,#N/A,FALSE,"KMC최종회의(7월) 자료"}</definedName>
    <definedName name="__A6" hidden="1">{#N/A,#N/A,FALSE,"KMC최종회의(7월) 자료"}</definedName>
    <definedName name="__A7" localSheetId="0" hidden="1">{#N/A,#N/A,FALSE,"KMC최종회의(7월) 자료"}</definedName>
    <definedName name="__A7" hidden="1">{#N/A,#N/A,FALSE,"KMC최종회의(7월) 자료"}</definedName>
    <definedName name="__A8" localSheetId="0" hidden="1">{#N/A,#N/A,FALSE,"KMC최종회의(7월) 자료"}</definedName>
    <definedName name="__A8" hidden="1">{#N/A,#N/A,FALSE,"KMC최종회의(7월) 자료"}</definedName>
    <definedName name="__A9" localSheetId="0" hidden="1">{#N/A,#N/A,FALSE,"KMC최종회의(7월) 자료"}</definedName>
    <definedName name="__A9" hidden="1">{#N/A,#N/A,FALSE,"KMC최종회의(7월) 자료"}</definedName>
    <definedName name="__d1" localSheetId="0" hidden="1">{#N/A,#N/A,FALSE,"Sales"}</definedName>
    <definedName name="__d1" hidden="1">{#N/A,#N/A,FALSE,"Sales"}</definedName>
    <definedName name="__d116" localSheetId="0" hidden="1">{#N/A,#N/A,FALSE,"Sales"}</definedName>
    <definedName name="__d116" hidden="1">{#N/A,#N/A,FALSE,"Sales"}</definedName>
    <definedName name="__d16" localSheetId="0" hidden="1">{"Annual",#N/A,FALSE,"Sales &amp; Market";"Quarterly",#N/A,FALSE,"Sales &amp; Market"}</definedName>
    <definedName name="__d16" hidden="1">{"Annual",#N/A,FALSE,"Sales &amp; Market";"Quarterly",#N/A,FALSE,"Sales &amp; Market"}</definedName>
    <definedName name="__d2" localSheetId="0" hidden="1">{#N/A,#N/A,FALSE,"Sales"}</definedName>
    <definedName name="__d2" hidden="1">{#N/A,#N/A,FALSE,"Sales"}</definedName>
    <definedName name="__d216" localSheetId="0" hidden="1">{#N/A,#N/A,FALSE,"Sales"}</definedName>
    <definedName name="__d216" hidden="1">{#N/A,#N/A,FALSE,"Sales"}</definedName>
    <definedName name="__dsa2" localSheetId="0" hidden="1">{"'B-S Accounts Translation'!$A$1:$G$190"}</definedName>
    <definedName name="__dsa2" hidden="1">{"'B-S Accounts Translation'!$A$1:$G$190"}</definedName>
    <definedName name="__E1" localSheetId="0" hidden="1">{#N/A,#N/A,FALSE,"KMC최종회의(7월) 자료"}</definedName>
    <definedName name="__E1" hidden="1">{#N/A,#N/A,FALSE,"KMC최종회의(7월) 자료"}</definedName>
    <definedName name="__E2" localSheetId="0" hidden="1">{#N/A,#N/A,FALSE,"KMC최종회의(7월) 자료"}</definedName>
    <definedName name="__E2" hidden="1">{#N/A,#N/A,FALSE,"KMC최종회의(7월) 자료"}</definedName>
    <definedName name="__f3" localSheetId="0" hidden="1">{#N/A,#N/A,FALSE,"196126-0690";#N/A,#N/A,FALSE,"196126-0690";#N/A,#N/A,FALSE,"1961165-0201"}</definedName>
    <definedName name="__f3" hidden="1">{#N/A,#N/A,FALSE,"196126-0690";#N/A,#N/A,FALSE,"196126-0690";#N/A,#N/A,FALSE,"1961165-0201"}</definedName>
    <definedName name="__fff1" localSheetId="0" hidden="1">{"Annual",#N/A,FALSE,"Sales &amp; Market";"Quarterly",#N/A,FALSE,"Sales &amp; Market"}</definedName>
    <definedName name="__fff1" hidden="1">{"Annual",#N/A,FALSE,"Sales &amp; Market";"Quarterly",#N/A,FALSE,"Sales &amp; Market"}</definedName>
    <definedName name="__gc1" localSheetId="0" hidden="1">{"Annual",#N/A,FALSE,"Sales &amp; Market";"Quarterly",#N/A,FALSE,"Sales &amp; Market"}</definedName>
    <definedName name="__gc1" hidden="1">{"Annual",#N/A,FALSE,"Sales &amp; Market";"Quarterly",#N/A,FALSE,"Sales &amp; Market"}</definedName>
    <definedName name="__h3" localSheetId="0" hidden="1">{#N/A,#N/A,FALSE,"196126-0690";#N/A,#N/A,FALSE,"196126-0690";#N/A,#N/A,FALSE,"1961165-0201"}</definedName>
    <definedName name="__h3" hidden="1">{#N/A,#N/A,FALSE,"196126-0690";#N/A,#N/A,FALSE,"196126-0690";#N/A,#N/A,FALSE,"1961165-0201"}</definedName>
    <definedName name="__h4" localSheetId="0" hidden="1">{#N/A,#N/A,FALSE,"196126-0690";#N/A,#N/A,FALSE,"196126-0690";#N/A,#N/A,FALSE,"1961165-0201"}</definedName>
    <definedName name="__h4" hidden="1">{#N/A,#N/A,FALSE,"196126-0690";#N/A,#N/A,FALSE,"196126-0690";#N/A,#N/A,FALSE,"1961165-0201"}</definedName>
    <definedName name="__h5" localSheetId="0" hidden="1">{#N/A,#N/A,FALSE,"196126-0690";#N/A,#N/A,FALSE,"196126-0690";#N/A,#N/A,FALSE,"1961165-0201"}</definedName>
    <definedName name="__h5" hidden="1">{#N/A,#N/A,FALSE,"196126-0690";#N/A,#N/A,FALSE,"196126-0690";#N/A,#N/A,FALSE,"1961165-0201"}</definedName>
    <definedName name="__hav3" localSheetId="0" hidden="1">{#N/A,#N/A,FALSE,"196126-0690";#N/A,#N/A,FALSE,"196126-0690";#N/A,#N/A,FALSE,"1961165-0201"}</definedName>
    <definedName name="__hav3" hidden="1">{#N/A,#N/A,FALSE,"196126-0690";#N/A,#N/A,FALSE,"196126-0690";#N/A,#N/A,FALSE,"1961165-0201"}</definedName>
    <definedName name="__key2" hidden="1">#REF!</definedName>
    <definedName name="__ok1" localSheetId="0" hidden="1">{"Annual",#N/A,FALSE,"Sales &amp; Market";"Quarterly",#N/A,FALSE,"Sales &amp; Market"}</definedName>
    <definedName name="__ok1" hidden="1">{"Annual",#N/A,FALSE,"Sales &amp; Market";"Quarterly",#N/A,FALSE,"Sales &amp; Market"}</definedName>
    <definedName name="__OMM95" localSheetId="0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OMM95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q1" localSheetId="0" hidden="1">{"Annual",#N/A,FALSE,"Sales &amp; Market";"Quarterly",#N/A,FALSE,"Sales &amp; Market"}</definedName>
    <definedName name="__q1" hidden="1">{"Annual",#N/A,FALSE,"Sales &amp; Market";"Quarterly",#N/A,FALSE,"Sales &amp; Market"}</definedName>
    <definedName name="__Q2" localSheetId="0" hidden="1">{#N/A,#N/A,FALSE,"KMC최종회의(7월) 자료"}</definedName>
    <definedName name="__Q2" hidden="1">{#N/A,#N/A,FALSE,"KMC최종회의(7월) 자료"}</definedName>
    <definedName name="__q3" localSheetId="0" hidden="1">{"Annual",#N/A,FALSE,"Sales &amp; Market";"Quarterly",#N/A,FALSE,"Sales &amp; Market"}</definedName>
    <definedName name="__q3" hidden="1">{"Annual",#N/A,FALSE,"Sales &amp; Market";"Quarterly",#N/A,FALSE,"Sales &amp; Market"}</definedName>
    <definedName name="__q4" localSheetId="0" hidden="1">{"Annual",#N/A,FALSE,"Sales &amp; Market";"Quarterly",#N/A,FALSE,"Sales &amp; Market"}</definedName>
    <definedName name="__q4" hidden="1">{"Annual",#N/A,FALSE,"Sales &amp; Market";"Quarterly",#N/A,FALSE,"Sales &amp; Market"}</definedName>
    <definedName name="__q5" localSheetId="0" hidden="1">{"'B-S Accounts Translation'!$A$1:$G$190"}</definedName>
    <definedName name="__q5" hidden="1">{"'B-S Accounts Translation'!$A$1:$G$190"}</definedName>
    <definedName name="__Q7" localSheetId="0" hidden="1">{#N/A,#N/A,FALSE,"KMC최종회의(7월) 자료"}</definedName>
    <definedName name="__Q7" hidden="1">{#N/A,#N/A,FALSE,"KMC최종회의(7월) 자료"}</definedName>
    <definedName name="__Q8" localSheetId="0" hidden="1">{#N/A,#N/A,FALSE,"KMC최종회의(7월) 자료"}</definedName>
    <definedName name="__Q8" hidden="1">{#N/A,#N/A,FALSE,"KMC최종회의(7월) 자료"}</definedName>
    <definedName name="__Q9" localSheetId="0" hidden="1">{#N/A,#N/A,FALSE,"KMC최종회의(7월) 자료"}</definedName>
    <definedName name="__Q9" hidden="1">{#N/A,#N/A,FALSE,"KMC최종회의(7월) 자료"}</definedName>
    <definedName name="__S1" localSheetId="0" hidden="1">{#N/A,#N/A,FALSE,"KMC최종회의(7월) 자료"}</definedName>
    <definedName name="__S1" hidden="1">{#N/A,#N/A,FALSE,"KMC최종회의(7월) 자료"}</definedName>
    <definedName name="__S2" localSheetId="0" hidden="1">{#N/A,#N/A,FALSE,"KMC최종회의(7월) 자료"}</definedName>
    <definedName name="__S2" hidden="1">{#N/A,#N/A,FALSE,"KMC최종회의(7월) 자료"}</definedName>
    <definedName name="__S3" localSheetId="0" hidden="1">{#N/A,#N/A,FALSE,"KMC최종회의(7월) 자료"}</definedName>
    <definedName name="__S3" hidden="1">{#N/A,#N/A,FALSE,"KMC최종회의(7월) 자료"}</definedName>
    <definedName name="__S4" localSheetId="0" hidden="1">{#N/A,#N/A,FALSE,"KMC최종회의(7월) 자료"}</definedName>
    <definedName name="__S4" hidden="1">{#N/A,#N/A,FALSE,"KMC최종회의(7월) 자료"}</definedName>
    <definedName name="__S5" localSheetId="0" hidden="1">{#N/A,#N/A,FALSE,"KMC최종회의(7월) 자료"}</definedName>
    <definedName name="__S5" hidden="1">{#N/A,#N/A,FALSE,"KMC최종회의(7월) 자료"}</definedName>
    <definedName name="__S6" localSheetId="0" hidden="1">{#N/A,#N/A,FALSE,"KMC최종회의(7월) 자료"}</definedName>
    <definedName name="__S6" hidden="1">{#N/A,#N/A,FALSE,"KMC최종회의(7월) 자료"}</definedName>
    <definedName name="__S7" localSheetId="0" hidden="1">{#N/A,#N/A,FALSE,"KMC최종회의(7월) 자료"}</definedName>
    <definedName name="__S7" hidden="1">{#N/A,#N/A,FALSE,"KMC최종회의(7월) 자료"}</definedName>
    <definedName name="__S8" localSheetId="0" hidden="1">{#N/A,#N/A,FALSE,"KMC최종회의(7월) 자료"}</definedName>
    <definedName name="__S8" hidden="1">{#N/A,#N/A,FALSE,"KMC최종회의(7월) 자료"}</definedName>
    <definedName name="__ta2" localSheetId="0" hidden="1">{"Exhibit 1",#N/A,FALSE,"Rev Exp to 6";"Exhibit 2",#N/A,FALSE,"Rev Exp to 6";#N/A,#N/A,FALSE,"DCF Rev Exp to 6";#N/A,#N/A,FALSE,"Taxdepr rev exp to 6";"Exhibit 1",#N/A,FALSE,"Rev Exp flat 5";"Exhibit 2",#N/A,FALSE,"Rev Exp flat 5";#N/A,#N/A,FALSE,"DCF Rev Exp flat 5";#N/A,#N/A,FALSE,"Taxdepr rev exp flat 5";"Exhibit 1",#N/A,FALSE,"Base to 6";"Exhibit 2",#N/A,FALSE,"Base to 6";#N/A,#N/A,FALSE,"DCF Base to 6";#N/A,#N/A,FALSE,"Taxdepr base to 6";"Exhibit 1",#N/A,FALSE,"Base flat 5";"Exhibit 2",#N/A,FALSE,"Base flat 5";#N/A,#N/A,FALSE,"DCF Base flat 5";#N/A,#N/A,FALSE,"Taxdepr base flat 5";#N/A,#N/A,FALSE,"TM margins"}</definedName>
    <definedName name="__ta2" hidden="1">{"Exhibit 1",#N/A,FALSE,"Rev Exp to 6";"Exhibit 2",#N/A,FALSE,"Rev Exp to 6";#N/A,#N/A,FALSE,"DCF Rev Exp to 6";#N/A,#N/A,FALSE,"Taxdepr rev exp to 6";"Exhibit 1",#N/A,FALSE,"Rev Exp flat 5";"Exhibit 2",#N/A,FALSE,"Rev Exp flat 5";#N/A,#N/A,FALSE,"DCF Rev Exp flat 5";#N/A,#N/A,FALSE,"Taxdepr rev exp flat 5";"Exhibit 1",#N/A,FALSE,"Base to 6";"Exhibit 2",#N/A,FALSE,"Base to 6";#N/A,#N/A,FALSE,"DCF Base to 6";#N/A,#N/A,FALSE,"Taxdepr base to 6";"Exhibit 1",#N/A,FALSE,"Base flat 5";"Exhibit 2",#N/A,FALSE,"Base flat 5";#N/A,#N/A,FALSE,"DCF Base flat 5";#N/A,#N/A,FALSE,"Taxdepr base flat 5";#N/A,#N/A,FALSE,"TM margins"}</definedName>
    <definedName name="__tax1" localSheetId="0" hidden="1">{"Exhibit 1",#N/A,FALSE,"Rev Exp to 6";"Exhibit 2",#N/A,FALSE,"Rev Exp to 6";#N/A,#N/A,FALSE,"DCF Rev Exp to 6";#N/A,#N/A,FALSE,"Taxdepr rev exp to 6";"Exhibit 1",#N/A,FALSE,"Rev Exp flat 5";"Exhibit 2",#N/A,FALSE,"Rev Exp flat 5";#N/A,#N/A,FALSE,"DCF Rev Exp flat 5";#N/A,#N/A,FALSE,"Taxdepr rev exp flat 5";"Exhibit 1",#N/A,FALSE,"Base to 6";"Exhibit 2",#N/A,FALSE,"Base to 6";#N/A,#N/A,FALSE,"DCF Base to 6";#N/A,#N/A,FALSE,"Taxdepr base to 6";"Exhibit 1",#N/A,FALSE,"Base flat 5";"Exhibit 2",#N/A,FALSE,"Base flat 5";#N/A,#N/A,FALSE,"DCF Base flat 5";#N/A,#N/A,FALSE,"Taxdepr base flat 5";#N/A,#N/A,FALSE,"TM margins"}</definedName>
    <definedName name="__tax1" hidden="1">{"Exhibit 1",#N/A,FALSE,"Rev Exp to 6";"Exhibit 2",#N/A,FALSE,"Rev Exp to 6";#N/A,#N/A,FALSE,"DCF Rev Exp to 6";#N/A,#N/A,FALSE,"Taxdepr rev exp to 6";"Exhibit 1",#N/A,FALSE,"Rev Exp flat 5";"Exhibit 2",#N/A,FALSE,"Rev Exp flat 5";#N/A,#N/A,FALSE,"DCF Rev Exp flat 5";#N/A,#N/A,FALSE,"Taxdepr rev exp flat 5";"Exhibit 1",#N/A,FALSE,"Base to 6";"Exhibit 2",#N/A,FALSE,"Base to 6";#N/A,#N/A,FALSE,"DCF Base to 6";#N/A,#N/A,FALSE,"Taxdepr base to 6";"Exhibit 1",#N/A,FALSE,"Base flat 5";"Exhibit 2",#N/A,FALSE,"Base flat 5";#N/A,#N/A,FALSE,"DCF Base flat 5";#N/A,#N/A,FALSE,"Taxdepr base flat 5";#N/A,#N/A,FALSE,"TM margins"}</definedName>
    <definedName name="__tax2" localSheetId="0" hidden="1">{"Exhibit 1",#N/A,FALSE,"Rev Exp to 6";"Exhibit 2",#N/A,FALSE,"Rev Exp to 6";#N/A,#N/A,FALSE,"DCF Rev Exp to 6";#N/A,#N/A,FALSE,"Taxdepr rev exp to 6";"Exhibit 1",#N/A,FALSE,"Rev Exp flat 5";"Exhibit 2",#N/A,FALSE,"Rev Exp flat 5";#N/A,#N/A,FALSE,"DCF Rev Exp flat 5";#N/A,#N/A,FALSE,"Taxdepr rev exp flat 5";"Exhibit 1",#N/A,FALSE,"Base to 6";"Exhibit 2",#N/A,FALSE,"Base to 6";#N/A,#N/A,FALSE,"DCF Base to 6";#N/A,#N/A,FALSE,"Taxdepr base to 6";"Exhibit 1",#N/A,FALSE,"Base flat 5";"Exhibit 2",#N/A,FALSE,"Base flat 5";#N/A,#N/A,FALSE,"DCF Base flat 5";#N/A,#N/A,FALSE,"Taxdepr base flat 5";#N/A,#N/A,FALSE,"TM margins"}</definedName>
    <definedName name="__tax2" hidden="1">{"Exhibit 1",#N/A,FALSE,"Rev Exp to 6";"Exhibit 2",#N/A,FALSE,"Rev Exp to 6";#N/A,#N/A,FALSE,"DCF Rev Exp to 6";#N/A,#N/A,FALSE,"Taxdepr rev exp to 6";"Exhibit 1",#N/A,FALSE,"Rev Exp flat 5";"Exhibit 2",#N/A,FALSE,"Rev Exp flat 5";#N/A,#N/A,FALSE,"DCF Rev Exp flat 5";#N/A,#N/A,FALSE,"Taxdepr rev exp flat 5";"Exhibit 1",#N/A,FALSE,"Base to 6";"Exhibit 2",#N/A,FALSE,"Base to 6";#N/A,#N/A,FALSE,"DCF Base to 6";#N/A,#N/A,FALSE,"Taxdepr base to 6";"Exhibit 1",#N/A,FALSE,"Base flat 5";"Exhibit 2",#N/A,FALSE,"Base flat 5";#N/A,#N/A,FALSE,"DCF Base flat 5";#N/A,#N/A,FALSE,"Taxdepr base flat 5";#N/A,#N/A,FALSE,"TM margins"}</definedName>
    <definedName name="__tay1" localSheetId="0" hidden="1">{"Annual",#N/A,FALSE,"Sales &amp; Market";"Quarterly",#N/A,FALSE,"Sales &amp; Market"}</definedName>
    <definedName name="__tay1" hidden="1">{"Annual",#N/A,FALSE,"Sales &amp; Market";"Quarterly",#N/A,FALSE,"Sales &amp; Market"}</definedName>
    <definedName name="__tay2" localSheetId="0" hidden="1">{"Annual",#N/A,FALSE,"Sales &amp; Market";"Quarterly",#N/A,FALSE,"Sales &amp; Market"}</definedName>
    <definedName name="__tay2" hidden="1">{"Annual",#N/A,FALSE,"Sales &amp; Market";"Quarterly",#N/A,FALSE,"Sales &amp; Market"}</definedName>
    <definedName name="__tay3" localSheetId="0" hidden="1">{"Annual",#N/A,FALSE,"Sales &amp; Market";"Quarterly",#N/A,FALSE,"Sales &amp; Market"}</definedName>
    <definedName name="__tay3" hidden="1">{"Annual",#N/A,FALSE,"Sales &amp; Market";"Quarterly",#N/A,FALSE,"Sales &amp; Market"}</definedName>
    <definedName name="__tay5" localSheetId="0" hidden="1">{#N/A,#N/A,FALSE,"Sales"}</definedName>
    <definedName name="__tay5" hidden="1">{#N/A,#N/A,FALSE,"Sales"}</definedName>
    <definedName name="__W1" localSheetId="0" hidden="1">{#N/A,#N/A,FALSE,"KMC최종회의(7월) 자료"}</definedName>
    <definedName name="__W1" hidden="1">{#N/A,#N/A,FALSE,"KMC최종회의(7월) 자료"}</definedName>
    <definedName name="__w2" localSheetId="0" hidden="1">{#N/A,#N/A,FALSE,"Sales"}</definedName>
    <definedName name="__w2" hidden="1">{#N/A,#N/A,FALSE,"Sales"}</definedName>
    <definedName name="__W3" localSheetId="0" hidden="1">{#N/A,#N/A,FALSE,"KMC최종회의(7월) 자료"}</definedName>
    <definedName name="__W3" hidden="1">{#N/A,#N/A,FALSE,"KMC최종회의(7월) 자료"}</definedName>
    <definedName name="__W4" localSheetId="0" hidden="1">{#N/A,#N/A,FALSE,"KMC최종회의(7월) 자료"}</definedName>
    <definedName name="__W4" hidden="1">{#N/A,#N/A,FALSE,"KMC최종회의(7월) 자료"}</definedName>
    <definedName name="__W5" localSheetId="0" hidden="1">{#N/A,#N/A,FALSE,"KMC최종회의(7월) 자료"}</definedName>
    <definedName name="__W5" hidden="1">{#N/A,#N/A,FALSE,"KMC최종회의(7월) 자료"}</definedName>
    <definedName name="__W6" localSheetId="0" hidden="1">{#N/A,#N/A,FALSE,"KMC최종회의(7월) 자료"}</definedName>
    <definedName name="__W6" hidden="1">{#N/A,#N/A,FALSE,"KMC최종회의(7월) 자료"}</definedName>
    <definedName name="__W7" localSheetId="0" hidden="1">{#N/A,#N/A,FALSE,"KMC최종회의(7월) 자료"}</definedName>
    <definedName name="__W7" hidden="1">{#N/A,#N/A,FALSE,"KMC최종회의(7월) 자료"}</definedName>
    <definedName name="__W8" localSheetId="0" hidden="1">{#N/A,#N/A,FALSE,"KMC최종회의(7월) 자료"}</definedName>
    <definedName name="__W8" hidden="1">{#N/A,#N/A,FALSE,"KMC최종회의(7월) 자료"}</definedName>
    <definedName name="__W9" localSheetId="0" hidden="1">{#N/A,#N/A,FALSE,"KMC최종회의(7월) 자료"}</definedName>
    <definedName name="__W9" hidden="1">{#N/A,#N/A,FALSE,"KMC최종회의(7월) 자료"}</definedName>
    <definedName name="__X1" localSheetId="0" hidden="1">{#N/A,#N/A,FALSE,"KMC최종회의(7월) 자료"}</definedName>
    <definedName name="__X1" hidden="1">{#N/A,#N/A,FALSE,"KMC최종회의(7월) 자료"}</definedName>
    <definedName name="__X2" localSheetId="0" hidden="1">{#N/A,#N/A,FALSE,"KMC최종회의(7월) 자료"}</definedName>
    <definedName name="__X2" hidden="1">{#N/A,#N/A,FALSE,"KMC최종회의(7월) 자료"}</definedName>
    <definedName name="__X3" localSheetId="0" hidden="1">{#N/A,#N/A,FALSE,"KMC최종회의(7월) 자료"}</definedName>
    <definedName name="__X3" hidden="1">{#N/A,#N/A,FALSE,"KMC최종회의(7월) 자료"}</definedName>
    <definedName name="__X4" localSheetId="0" hidden="1">{#N/A,#N/A,FALSE,"KMC최종회의(7월) 자료"}</definedName>
    <definedName name="__X4" hidden="1">{#N/A,#N/A,FALSE,"KMC최종회의(7월) 자료"}</definedName>
    <definedName name="__X5" localSheetId="0" hidden="1">{#N/A,#N/A,FALSE,"KMC최종회의(7월) 자료"}</definedName>
    <definedName name="__X5" hidden="1">{#N/A,#N/A,FALSE,"KMC최종회의(7월) 자료"}</definedName>
    <definedName name="__X6" localSheetId="0" hidden="1">{#N/A,#N/A,FALSE,"KMC최종회의(7월) 자료"}</definedName>
    <definedName name="__X6" hidden="1">{#N/A,#N/A,FALSE,"KMC최종회의(7월) 자료"}</definedName>
    <definedName name="__X7" localSheetId="0" hidden="1">{#N/A,#N/A,FALSE,"KMC최종회의(7월) 자료"}</definedName>
    <definedName name="__X7" hidden="1">{#N/A,#N/A,FALSE,"KMC최종회의(7월) 자료"}</definedName>
    <definedName name="__X8" localSheetId="0" hidden="1">{#N/A,#N/A,FALSE,"KMC최종회의(7월) 자료"}</definedName>
    <definedName name="__X8" hidden="1">{#N/A,#N/A,FALSE,"KMC최종회의(7월) 자료"}</definedName>
    <definedName name="__xlfn.BAHTTEXT" hidden="1">#NAME?</definedName>
    <definedName name="__Z1" localSheetId="0" hidden="1">{#N/A,#N/A,FALSE,"KMC최종회의(7월) 자료"}</definedName>
    <definedName name="__Z1" hidden="1">{#N/A,#N/A,FALSE,"KMC최종회의(7월) 자료"}</definedName>
    <definedName name="__Z2" localSheetId="0" hidden="1">{#N/A,#N/A,FALSE,"KMC최종회의(7월) 자료"}</definedName>
    <definedName name="__Z2" hidden="1">{#N/A,#N/A,FALSE,"KMC최종회의(7월) 자료"}</definedName>
    <definedName name="__Z3" localSheetId="0" hidden="1">{#N/A,#N/A,FALSE,"KMC최종회의(7월) 자료"}</definedName>
    <definedName name="__Z3" hidden="1">{#N/A,#N/A,FALSE,"KMC최종회의(7월) 자료"}</definedName>
    <definedName name="__Z4" localSheetId="0" hidden="1">{#N/A,#N/A,FALSE,"KMC최종회의(7월) 자료"}</definedName>
    <definedName name="__Z4" hidden="1">{#N/A,#N/A,FALSE,"KMC최종회의(7월) 자료"}</definedName>
    <definedName name="__Z5" localSheetId="0" hidden="1">{#N/A,#N/A,FALSE,"KMC최종회의(7월) 자료"}</definedName>
    <definedName name="__Z5" hidden="1">{#N/A,#N/A,FALSE,"KMC최종회의(7월) 자료"}</definedName>
    <definedName name="__Z6" localSheetId="0" hidden="1">{#N/A,#N/A,FALSE,"KMC최종회의(7월) 자료"}</definedName>
    <definedName name="__Z6" hidden="1">{#N/A,#N/A,FALSE,"KMC최종회의(7월) 자료"}</definedName>
    <definedName name="__Z7" localSheetId="0" hidden="1">{#N/A,#N/A,FALSE,"KMC최종회의(7월) 자료"}</definedName>
    <definedName name="__Z7" hidden="1">{#N/A,#N/A,FALSE,"KMC최종회의(7월) 자료"}</definedName>
    <definedName name="__Z8" localSheetId="0" hidden="1">{#N/A,#N/A,FALSE,"KMC최종회의(7월) 자료"}</definedName>
    <definedName name="__Z8" hidden="1">{#N/A,#N/A,FALSE,"KMC최종회의(7월) 자료"}</definedName>
    <definedName name="__Z9" localSheetId="0" hidden="1">{#N/A,#N/A,FALSE,"KMC최종회의(7월) 자료"}</definedName>
    <definedName name="__Z9" hidden="1">{#N/A,#N/A,FALSE,"KMC최종회의(7월) 자료"}</definedName>
    <definedName name="_1__123Graph_ACHART_1" hidden="1">#REF!</definedName>
    <definedName name="_1__123Graph_Aｸﾞﾗﾌ_1" hidden="1">[4]ﾁｮｺ停回数!$M$5:$M$20</definedName>
    <definedName name="_10__123Graph_XCHART_3" hidden="1">#REF!</definedName>
    <definedName name="_123Graph_A" hidden="1">[5]PRINT!#REF!</definedName>
    <definedName name="_123Graph_b" hidden="1">'[6]SPP 2004 plan by TOS'!$Q$10:$Q$43</definedName>
    <definedName name="_123Graph_BCD" hidden="1">'[6]SPP 2004 plan by TOS'!$B$10:$B$43</definedName>
    <definedName name="_123grph_A" hidden="1">#REF!</definedName>
    <definedName name="_2__123Graph_ACHART_2" hidden="1">#REF!</definedName>
    <definedName name="_2__123Graph_Aｸﾞﾗﾌ_2" hidden="1">[4]ﾁｮｺ停時間!$O$5:$O$20</definedName>
    <definedName name="_3_?0_F" hidden="1">'[1]CD-실적'!#REF!</definedName>
    <definedName name="_3__123Graph_ACHART_3" hidden="1">#REF!</definedName>
    <definedName name="_3__123Graph_Bｸﾞﾗﾌ_1" hidden="1">[4]ﾁｮｺ停回数!$O$5:$O$20</definedName>
    <definedName name="_34____123Graph_Aｸﾞﾗﾌ_1" hidden="1">[7]ﾁｮｺ停回数!$M$5:$M$20</definedName>
    <definedName name="_35____123Graph_Aｸﾞﾗﾌ_2" hidden="1">[7]ﾁｮｺ停時間!$O$5:$O$20</definedName>
    <definedName name="_36____123Graph_Bｸﾞﾗﾌ_1" hidden="1">[7]ﾁｮｺ停回数!$O$5:$O$20</definedName>
    <definedName name="_37____123Graph_Bｸﾞﾗﾌ_2" hidden="1">[7]ﾁｮｺ停時間!$Q$5:$Q$20</definedName>
    <definedName name="_38____123Graph_Xｸﾞﾗﾌ_1" hidden="1">[7]ﾁｮｺ停回数!$E$5:$E$20</definedName>
    <definedName name="_4__123Graph_BCHART_1" hidden="1">#REF!</definedName>
    <definedName name="_4__123Graph_Bｸﾞﾗﾌ_2" hidden="1">[4]ﾁｮｺ停時間!$Q$5:$Q$20</definedName>
    <definedName name="_41___123Graph_Aｸﾞﾗﾌ_1" hidden="1">[7]ﾁｮｺ停回数!$M$5:$M$20</definedName>
    <definedName name="_42___123Graph_Aｸﾞﾗﾌ_2" hidden="1">[7]ﾁｮｺ停時間!$O$5:$O$20</definedName>
    <definedName name="_43___123Graph_Bｸﾞﾗﾌ_1" hidden="1">[7]ﾁｮｺ停回数!$O$5:$O$20</definedName>
    <definedName name="_44___123Graph_Bｸﾞﾗﾌ_2" hidden="1">[7]ﾁｮｺ停時間!$Q$5:$Q$20</definedName>
    <definedName name="_45___123Graph_Xｸﾞﾗﾌ_1" hidden="1">[7]ﾁｮｺ停回数!$E$5:$E$20</definedName>
    <definedName name="_5__123Graph_BCHART_2" hidden="1">#REF!</definedName>
    <definedName name="_5__123Graph_Xｸﾞﾗﾌ_1" hidden="1">[4]ﾁｮｺ停回数!$E$5:$E$20</definedName>
    <definedName name="_51__123Graph_Aｸﾞﾗﾌ_1" hidden="1">[7]ﾁｮｺ停回数!$M$5:$M$20</definedName>
    <definedName name="_55__123Graph_Aｸﾞﾗﾌ_2" hidden="1">[7]ﾁｮｺ停時間!$O$5:$O$20</definedName>
    <definedName name="_59__123Graph_Bｸﾞﾗﾌ_1" hidden="1">[7]ﾁｮｺ停回数!$O$5:$O$20</definedName>
    <definedName name="_6__123Graph_BCHART_3" hidden="1">#REF!</definedName>
    <definedName name="_63__123Graph_Bｸﾞﾗﾌ_2" hidden="1">[7]ﾁｮｺ停時間!$Q$5:$Q$20</definedName>
    <definedName name="_67__123Graph_Xｸﾞﾗﾌ_1" hidden="1">[7]ﾁｮｺ停回数!$E$5:$E$20</definedName>
    <definedName name="_7__123Graph_CCHART_1" hidden="1">#REF!</definedName>
    <definedName name="_8__123Graph_XCHART_1" hidden="1">#REF!</definedName>
    <definedName name="_9__123Graph_XCHART_2" hidden="1">#REF!</definedName>
    <definedName name="_9__0_S" hidden="1">#REF!</definedName>
    <definedName name="_a3" localSheetId="0" hidden="1">{#N/A,#N/A,FALSE,"Cover";#N/A,#N/A,FALSE,"Cover (2)";#N/A,#N/A,FALSE,"P&amp;LSUM";#N/A,#N/A,FALSE,"P&amp;L BY SEG.";#N/A,#N/A,FALSE,"ProdLine95LE";#N/A,#N/A,FALSE,"ACT_GROSSMARGIN";#N/A,#N/A,FALSE,"SG&amp;A $";#N/A,#N/A,FALSE,"OID";#N/A,#N/A,FALSE,"ROADMAP (2)";#N/A,#N/A,FALSE,"WCPERFORM";#N/A,#N/A,FALSE,"WCPERFORM (3)";#N/A,#N/A,FALSE,"CORPCASHFLOW";#N/A,#N/A,FALSE,"CASHFLOWFWC";#N/A,#N/A,FALSE,"CAPITAL EXPENDITURES";#N/A,#N/A,FALSE,"96RISKS&amp;OPP";#N/A,#N/A,FALSE,"KeyActions";#N/A,#N/A,FALSE,"Cover (3)";#N/A,#N/A,FALSE,"GROWTH";#N/A,#N/A,FALSE,"HVACMARASSUM";#N/A,#N/A,FALSE,"MARKETANA95";#N/A,#N/A,FALSE,"MARKETANA96F";#N/A,#N/A,FALSE,"MARKETANA97P";#N/A,#N/A,FALSE,"SRVMARKETASSUM";#N/A,#N/A,FALSE,"95COMPETSOM%";#N/A,#N/A,FALSE,"96COMPETSOM% ";#N/A,#N/A,FALSE,"97COMPETSOM%";#N/A,#N/A,FALSE,"SOM%COMPARE";#N/A,#N/A,FALSE,"MARKETEVOL";#N/A,#N/A,FALSE,"COMPMKTACTION";#N/A,#N/A,FALSE,"SECTION 2";#N/A,#N/A,FALSE,"MACROECONOMIC";#N/A,#N/A,FALSE,"ROADMAP";#N/A,#N/A,FALSE,"HVACSALESEXT";#N/A,#N/A,FALSE,"EXTPRICINGASSUM";#N/A,#N/A,FALSE,"HVACSALESINT";#N/A,#N/A,FALSE,"INTPRICINGASSUM";#N/A,#N/A,FALSE,"EXTHVACSTDGROS";#N/A,#N/A,FALSE,"INTHVACSTDGROS";#N/A,#N/A,FALSE,"EXTHVACSTDGROS($)";#N/A,#N/A,FALSE,"INTHVACSTDGROS($)";#N/A,#N/A,FALSE,"MANUFACTURING EXPENSES";#N/A,#N/A,FALSE,"ACTGROSMAGANA(2)";#N/A,#N/A,FALSE,"SG&amp;A $ (2)";#N/A,#N/A,FALSE,"R&amp;DPROJECTS";#N/A,#N/A,FALSE,"OID (2)";#N/A,#N/A,FALSE,"P&amp;LSUM (3)";#N/A,#N/A,FALSE,"P&amp;L BY SEG. (2)";#N/A,#N/A,FALSE,"ProdLine97P ";#N/A,#N/A,FALSE,"HEADCOUNT-YTD";#N/A,#N/A,FALSE,"HEADCOUNT-BOY";#N/A,#N/A,FALSE,"HEADCOUNT-PLAN";#N/A,#N/A,FALSE,"WCPERFORM (2)";#N/A,#N/A,FALSE,"WCPERFORM (4)";#N/A,#N/A,FALSE,"PLANCORPCASHFLOW";#N/A,#N/A,FALSE,"CASHFLOW BY QTR";#N/A,#N/A,FALSE,"CASHFLOWW_C (2)";#N/A,#N/A,FALSE,"CF_W_C BY QTR";#N/A,#N/A,FALSE,"CAPITAL EXPENDITURES (2)";#N/A,#N/A,FALSE,"BALANCE SHEET";#N/A,#N/A,FALSE,"97RISKS&amp;OPP (3)";#N/A,#N/A,FALSE,"KeyActions (2)";#N/A,#N/A,FALSE,"Cover (5)";#N/A,#N/A,FALSE,"RDMAP FCST VOL";#N/A,#N/A,FALSE,"Cover (4)";#N/A,#N/A,FALSE,"RDMAPVOLUME";#N/A,#N/A,FALSE,"RDMAPPRICEMIX";#N/A,#N/A,FALSE,"RDMAPMGNRECON";#N/A,#N/A,FALSE,"RDMAPPRODUC";#N/A,#N/A,FALSE,"RDMAPFXPARITY";#N/A,#N/A,FALSE,"RDMAPINFLM";#N/A,#N/A,FALSE,"RDMAPINFLP";#N/A,#N/A,FALSE,"RDMAPOTHER"}</definedName>
    <definedName name="_a3" hidden="1">{#N/A,#N/A,FALSE,"Cover";#N/A,#N/A,FALSE,"Cover (2)";#N/A,#N/A,FALSE,"P&amp;LSUM";#N/A,#N/A,FALSE,"P&amp;L BY SEG.";#N/A,#N/A,FALSE,"ProdLine95LE";#N/A,#N/A,FALSE,"ACT_GROSSMARGIN";#N/A,#N/A,FALSE,"SG&amp;A $";#N/A,#N/A,FALSE,"OID";#N/A,#N/A,FALSE,"ROADMAP (2)";#N/A,#N/A,FALSE,"WCPERFORM";#N/A,#N/A,FALSE,"WCPERFORM (3)";#N/A,#N/A,FALSE,"CORPCASHFLOW";#N/A,#N/A,FALSE,"CASHFLOWFWC";#N/A,#N/A,FALSE,"CAPITAL EXPENDITURES";#N/A,#N/A,FALSE,"96RISKS&amp;OPP";#N/A,#N/A,FALSE,"KeyActions";#N/A,#N/A,FALSE,"Cover (3)";#N/A,#N/A,FALSE,"GROWTH";#N/A,#N/A,FALSE,"HVACMARASSUM";#N/A,#N/A,FALSE,"MARKETANA95";#N/A,#N/A,FALSE,"MARKETANA96F";#N/A,#N/A,FALSE,"MARKETANA97P";#N/A,#N/A,FALSE,"SRVMARKETASSUM";#N/A,#N/A,FALSE,"95COMPETSOM%";#N/A,#N/A,FALSE,"96COMPETSOM% ";#N/A,#N/A,FALSE,"97COMPETSOM%";#N/A,#N/A,FALSE,"SOM%COMPARE";#N/A,#N/A,FALSE,"MARKETEVOL";#N/A,#N/A,FALSE,"COMPMKTACTION";#N/A,#N/A,FALSE,"SECTION 2";#N/A,#N/A,FALSE,"MACROECONOMIC";#N/A,#N/A,FALSE,"ROADMAP";#N/A,#N/A,FALSE,"HVACSALESEXT";#N/A,#N/A,FALSE,"EXTPRICINGASSUM";#N/A,#N/A,FALSE,"HVACSALESINT";#N/A,#N/A,FALSE,"INTPRICINGASSUM";#N/A,#N/A,FALSE,"EXTHVACSTDGROS";#N/A,#N/A,FALSE,"INTHVACSTDGROS";#N/A,#N/A,FALSE,"EXTHVACSTDGROS($)";#N/A,#N/A,FALSE,"INTHVACSTDGROS($)";#N/A,#N/A,FALSE,"MANUFACTURING EXPENSES";#N/A,#N/A,FALSE,"ACTGROSMAGANA(2)";#N/A,#N/A,FALSE,"SG&amp;A $ (2)";#N/A,#N/A,FALSE,"R&amp;DPROJECTS";#N/A,#N/A,FALSE,"OID (2)";#N/A,#N/A,FALSE,"P&amp;LSUM (3)";#N/A,#N/A,FALSE,"P&amp;L BY SEG. (2)";#N/A,#N/A,FALSE,"ProdLine97P ";#N/A,#N/A,FALSE,"HEADCOUNT-YTD";#N/A,#N/A,FALSE,"HEADCOUNT-BOY";#N/A,#N/A,FALSE,"HEADCOUNT-PLAN";#N/A,#N/A,FALSE,"WCPERFORM (2)";#N/A,#N/A,FALSE,"WCPERFORM (4)";#N/A,#N/A,FALSE,"PLANCORPCASHFLOW";#N/A,#N/A,FALSE,"CASHFLOW BY QTR";#N/A,#N/A,FALSE,"CASHFLOWW_C (2)";#N/A,#N/A,FALSE,"CF_W_C BY QTR";#N/A,#N/A,FALSE,"CAPITAL EXPENDITURES (2)";#N/A,#N/A,FALSE,"BALANCE SHEET";#N/A,#N/A,FALSE,"97RISKS&amp;OPP (3)";#N/A,#N/A,FALSE,"KeyActions (2)";#N/A,#N/A,FALSE,"Cover (5)";#N/A,#N/A,FALSE,"RDMAP FCST VOL";#N/A,#N/A,FALSE,"Cover (4)";#N/A,#N/A,FALSE,"RDMAPVOLUME";#N/A,#N/A,FALSE,"RDMAPPRICEMIX";#N/A,#N/A,FALSE,"RDMAPMGNRECON";#N/A,#N/A,FALSE,"RDMAPPRODUC";#N/A,#N/A,FALSE,"RDMAPFXPARITY";#N/A,#N/A,FALSE,"RDMAPINFLM";#N/A,#N/A,FALSE,"RDMAPINFLP";#N/A,#N/A,FALSE,"RDMAPOTHER"}</definedName>
    <definedName name="_A4" localSheetId="0" hidden="1">{#N/A,#N/A,FALSE,"KMC최종회의(7월) 자료"}</definedName>
    <definedName name="_A4" hidden="1">{#N/A,#N/A,FALSE,"KMC최종회의(7월) 자료"}</definedName>
    <definedName name="_A5" localSheetId="0" hidden="1">{#N/A,#N/A,FALSE,"KMC최종회의(7월) 자료"}</definedName>
    <definedName name="_A5" hidden="1">{#N/A,#N/A,FALSE,"KMC최종회의(7월) 자료"}</definedName>
    <definedName name="_A6" localSheetId="0" hidden="1">{#N/A,#N/A,FALSE,"KMC최종회의(7월) 자료"}</definedName>
    <definedName name="_A6" hidden="1">{#N/A,#N/A,FALSE,"KMC최종회의(7월) 자료"}</definedName>
    <definedName name="_A7" localSheetId="0" hidden="1">{#N/A,#N/A,FALSE,"KMC최종회의(7월) 자료"}</definedName>
    <definedName name="_A7" hidden="1">{#N/A,#N/A,FALSE,"KMC최종회의(7월) 자료"}</definedName>
    <definedName name="_A8" localSheetId="0" hidden="1">{#N/A,#N/A,FALSE,"KMC최종회의(7월) 자료"}</definedName>
    <definedName name="_A8" hidden="1">{#N/A,#N/A,FALSE,"KMC최종회의(7월) 자료"}</definedName>
    <definedName name="_A9" localSheetId="0" hidden="1">{#N/A,#N/A,FALSE,"KMC최종회의(7월) 자료"}</definedName>
    <definedName name="_A9" hidden="1">{#N/A,#N/A,FALSE,"KMC최종회의(7월) 자료"}</definedName>
    <definedName name="_aa1" localSheetId="0" hidden="1">{#N/A,#N/A,FALSE,"196126-0690";#N/A,#N/A,FALSE,"196126-0690";#N/A,#N/A,FALSE,"1961165-0201"}</definedName>
    <definedName name="_aa1" hidden="1">{#N/A,#N/A,FALSE,"196126-0690";#N/A,#N/A,FALSE,"196126-0690";#N/A,#N/A,FALSE,"1961165-0201"}</definedName>
    <definedName name="_abc1" localSheetId="0" hidden="1">{#N/A,#N/A,FALSE,"SUMMARY REPORT"}</definedName>
    <definedName name="_abc1" hidden="1">{#N/A,#N/A,FALSE,"SUMMARY REPORT"}</definedName>
    <definedName name="_abc10" localSheetId="0" hidden="1">{#N/A,#N/A,FALSE,"SUMMARY REPORT"}</definedName>
    <definedName name="_abc10" hidden="1">{#N/A,#N/A,FALSE,"SUMMARY REPORT"}</definedName>
    <definedName name="_abc115" localSheetId="0" hidden="1">{#N/A,#N/A,FALSE,"SUMMARY REPORT"}</definedName>
    <definedName name="_abc115" hidden="1">{#N/A,#N/A,FALSE,"SUMMARY REPORT"}</definedName>
    <definedName name="_ABC12" localSheetId="0" hidden="1">{#N/A,#N/A,FALSE,"SUMMARY REPORT"}</definedName>
    <definedName name="_ABC12" hidden="1">{#N/A,#N/A,FALSE,"SUMMARY REPORT"}</definedName>
    <definedName name="_abc13" localSheetId="0" hidden="1">{#N/A,#N/A,FALSE,"SUMMARY REPORT"}</definedName>
    <definedName name="_abc13" hidden="1">{#N/A,#N/A,FALSE,"SUMMARY REPORT"}</definedName>
    <definedName name="_abc14" localSheetId="0" hidden="1">{#N/A,#N/A,FALSE,"SUMMARY REPORT"}</definedName>
    <definedName name="_abc14" hidden="1">{#N/A,#N/A,FALSE,"SUMMARY REPORT"}</definedName>
    <definedName name="_abc15" localSheetId="0" hidden="1">{#N/A,#N/A,FALSE,"SUMMARY REPORT"}</definedName>
    <definedName name="_abc15" hidden="1">{#N/A,#N/A,FALSE,"SUMMARY REPORT"}</definedName>
    <definedName name="_abc16" localSheetId="0" hidden="1">{#N/A,#N/A,FALSE,"SUMMARY REPORT"}</definedName>
    <definedName name="_abc16" hidden="1">{#N/A,#N/A,FALSE,"SUMMARY REPORT"}</definedName>
    <definedName name="_abc18" localSheetId="0" hidden="1">{#N/A,#N/A,FALSE,"SUMMARY REPORT"}</definedName>
    <definedName name="_abc18" hidden="1">{#N/A,#N/A,FALSE,"SUMMARY REPORT"}</definedName>
    <definedName name="_abc19" localSheetId="0" hidden="1">{#N/A,#N/A,FALSE,"SUMMARY REPORT"}</definedName>
    <definedName name="_abc19" hidden="1">{#N/A,#N/A,FALSE,"SUMMARY REPORT"}</definedName>
    <definedName name="_abc21" localSheetId="0" hidden="1">{#N/A,#N/A,FALSE,"SUMMARY REPORT"}</definedName>
    <definedName name="_abc21" hidden="1">{#N/A,#N/A,FALSE,"SUMMARY REPORT"}</definedName>
    <definedName name="_ABC5" localSheetId="0" hidden="1">{#N/A,#N/A,FALSE,"SUMMARY REPORT"}</definedName>
    <definedName name="_ABC5" hidden="1">{#N/A,#N/A,FALSE,"SUMMARY REPORT"}</definedName>
    <definedName name="_abc6" localSheetId="0" hidden="1">{#N/A,#N/A,FALSE,"SUMMARY REPORT"}</definedName>
    <definedName name="_abc6" hidden="1">{#N/A,#N/A,FALSE,"SUMMARY REPORT"}</definedName>
    <definedName name="_ABC7" localSheetId="0" hidden="1">{#N/A,#N/A,FALSE,"SUMMARY REPORT"}</definedName>
    <definedName name="_ABC7" hidden="1">{#N/A,#N/A,FALSE,"SUMMARY REPORT"}</definedName>
    <definedName name="_ABC8" localSheetId="0" hidden="1">{#N/A,#N/A,FALSE,"SUMMARY REPORT"}</definedName>
    <definedName name="_ABC8" hidden="1">{#N/A,#N/A,FALSE,"SUMMARY REPORT"}</definedName>
    <definedName name="_ABC9" localSheetId="0" hidden="1">{#N/A,#N/A,FALSE,"SUMMARY REPORT"}</definedName>
    <definedName name="_ABC9" hidden="1">{#N/A,#N/A,FALSE,"SUMMARY REPORT"}</definedName>
    <definedName name="_acb6" localSheetId="0" hidden="1">{#N/A,#N/A,FALSE,"SUMMARY REPORT"}</definedName>
    <definedName name="_acb6" hidden="1">{#N/A,#N/A,FALSE,"SUMMARY REPORT"}</definedName>
    <definedName name="_ADC6" localSheetId="0" hidden="1">{#N/A,#N/A,FALSE,"SUMMARY REPORT"}</definedName>
    <definedName name="_ADC6" hidden="1">{#N/A,#N/A,FALSE,"SUMMARY REPORT"}</definedName>
    <definedName name="_asa2" localSheetId="0" hidden="1">{"Page1",#N/A,TRUE,"Sheet1";"Page2",#N/A,TRUE,"Sheet1"}</definedName>
    <definedName name="_asa2" hidden="1">{"Page1",#N/A,TRUE,"Sheet1";"Page2",#N/A,TRUE,"Sheet1"}</definedName>
    <definedName name="_ASE5" localSheetId="0" hidden="1">{#N/A,#N/A,FALSE,"SUMMARY REPORT"}</definedName>
    <definedName name="_ASE5" hidden="1">{#N/A,#N/A,FALSE,"SUMMARY REPORT"}</definedName>
    <definedName name="_BQ4.1" hidden="1">#REF!</definedName>
    <definedName name="_bus2" localSheetId="0" hidden="1">{#N/A,#N/A,FALSE,"Hoja10";#N/A,#N/A,FALSE,"Hoja9";#N/A,#N/A,FALSE,"Hoja8";#N/A,#N/A,FALSE,"Hoja7";#N/A,#N/A,FALSE,"Hoja6";#N/A,#N/A,FALSE,"Hoja5";#N/A,#N/A,FALSE,"Hoja4";#N/A,#N/A,FALSE,"Hoja2";#N/A,#N/A,FALSE,"Hoja3";#N/A,#N/A,FALSE,"HOJA1";#N/A,#N/A,FALSE,"CashFlow";#N/A,#N/A,FALSE,"FinStmts"}</definedName>
    <definedName name="_bus2" hidden="1">{#N/A,#N/A,FALSE,"Hoja10";#N/A,#N/A,FALSE,"Hoja9";#N/A,#N/A,FALSE,"Hoja8";#N/A,#N/A,FALSE,"Hoja7";#N/A,#N/A,FALSE,"Hoja6";#N/A,#N/A,FALSE,"Hoja5";#N/A,#N/A,FALSE,"Hoja4";#N/A,#N/A,FALSE,"Hoja2";#N/A,#N/A,FALSE,"Hoja3";#N/A,#N/A,FALSE,"HOJA1";#N/A,#N/A,FALSE,"CashFlow";#N/A,#N/A,FALSE,"FinStmts"}</definedName>
    <definedName name="_CVK6712" localSheetId="0" hidden="1">{#N/A,#N/A,FALSE,"UNIT";#N/A,#N/A,FALSE,"UNIT";#N/A,#N/A,FALSE,"계정"}</definedName>
    <definedName name="_CVK6712" hidden="1">{#N/A,#N/A,FALSE,"UNIT";#N/A,#N/A,FALSE,"UNIT";#N/A,#N/A,FALSE,"계정"}</definedName>
    <definedName name="_d1" localSheetId="0" hidden="1">{#N/A,#N/A,FALSE,"Sales"}</definedName>
    <definedName name="_d1" hidden="1">{#N/A,#N/A,FALSE,"Sales"}</definedName>
    <definedName name="_d116" localSheetId="0" hidden="1">{#N/A,#N/A,FALSE,"Sales"}</definedName>
    <definedName name="_d116" hidden="1">{#N/A,#N/A,FALSE,"Sales"}</definedName>
    <definedName name="_d16" localSheetId="0" hidden="1">{"Annual",#N/A,FALSE,"Sales &amp; Market";"Quarterly",#N/A,FALSE,"Sales &amp; Market"}</definedName>
    <definedName name="_d16" hidden="1">{"Annual",#N/A,FALSE,"Sales &amp; Market";"Quarterly",#N/A,FALSE,"Sales &amp; Market"}</definedName>
    <definedName name="_d2" localSheetId="0" hidden="1">{#N/A,#N/A,FALSE,"Sales"}</definedName>
    <definedName name="_d2" hidden="1">{#N/A,#N/A,FALSE,"Sales"}</definedName>
    <definedName name="_d216" localSheetId="0" hidden="1">{#N/A,#N/A,FALSE,"Sales"}</definedName>
    <definedName name="_d216" hidden="1">{#N/A,#N/A,FALSE,"Sales"}</definedName>
    <definedName name="_Dist_Bin" hidden="1">#REF!</definedName>
    <definedName name="_Dist_Values" hidden="1">#REF!</definedName>
    <definedName name="_dsa2" localSheetId="0" hidden="1">{"'B-S Accounts Translation'!$A$1:$G$190"}</definedName>
    <definedName name="_dsa2" hidden="1">{"'B-S Accounts Translation'!$A$1:$G$190"}</definedName>
    <definedName name="_E1" localSheetId="0" hidden="1">{#N/A,#N/A,FALSE,"KMC최종회의(7월) 자료"}</definedName>
    <definedName name="_E1" hidden="1">{#N/A,#N/A,FALSE,"KMC최종회의(7월) 자료"}</definedName>
    <definedName name="_E2" localSheetId="0" hidden="1">{#N/A,#N/A,FALSE,"KMC최종회의(7월) 자료"}</definedName>
    <definedName name="_E2" hidden="1">{#N/A,#N/A,FALSE,"KMC최종회의(7월) 자료"}</definedName>
    <definedName name="_EDF2" localSheetId="0" hidden="1">{#N/A,#N/A,FALSE,"SUMMARY REPORT"}</definedName>
    <definedName name="_EDF2" hidden="1">{#N/A,#N/A,FALSE,"SUMMARY REPORT"}</definedName>
    <definedName name="_f3" localSheetId="0" hidden="1">{#N/A,#N/A,FALSE,"196126-0690";#N/A,#N/A,FALSE,"196126-0690";#N/A,#N/A,FALSE,"1961165-0201"}</definedName>
    <definedName name="_f3" hidden="1">{#N/A,#N/A,FALSE,"196126-0690";#N/A,#N/A,FALSE,"196126-0690";#N/A,#N/A,FALSE,"1961165-0201"}</definedName>
    <definedName name="_FBT1" localSheetId="0" hidden="1">{#N/A,#N/A,FALSE,"SUMMARY REPORT"}</definedName>
    <definedName name="_FBT1" hidden="1">{#N/A,#N/A,FALSE,"SUMMARY REPORT"}</definedName>
    <definedName name="_fff1" localSheetId="0" hidden="1">{"Annual",#N/A,FALSE,"Sales &amp; Market";"Quarterly",#N/A,FALSE,"Sales &amp; Market"}</definedName>
    <definedName name="_fff1" hidden="1">{"Annual",#N/A,FALSE,"Sales &amp; Market";"Quarterly",#N/A,FALSE,"Sales &amp; Market"}</definedName>
    <definedName name="_Fill" hidden="1">#REF!</definedName>
    <definedName name="_xlnm._FilterDatabase" localSheetId="1" hidden="1">PCBA_BOM!$A$2:$X$41</definedName>
    <definedName name="_xlnm._FilterDatabase" localSheetId="0" hidden="1">'Wire Harness_BOM'!$A$2:$P$7</definedName>
    <definedName name="_xlnm._FilterDatabase" hidden="1">#REF!</definedName>
    <definedName name="_g3" localSheetId="0" hidden="1">{#N/A,#N/A,FALSE,"Hoja10";#N/A,#N/A,FALSE,"Hoja9";#N/A,#N/A,FALSE,"Hoja8";#N/A,#N/A,FALSE,"Hoja7";#N/A,#N/A,FALSE,"Hoja6";#N/A,#N/A,FALSE,"Hoja5";#N/A,#N/A,FALSE,"Hoja4";#N/A,#N/A,FALSE,"Hoja2";#N/A,#N/A,FALSE,"Hoja3";#N/A,#N/A,FALSE,"HOJA1";#N/A,#N/A,FALSE,"CashFlow";#N/A,#N/A,FALSE,"FinStmts"}</definedName>
    <definedName name="_g3" hidden="1">{#N/A,#N/A,FALSE,"Hoja10";#N/A,#N/A,FALSE,"Hoja9";#N/A,#N/A,FALSE,"Hoja8";#N/A,#N/A,FALSE,"Hoja7";#N/A,#N/A,FALSE,"Hoja6";#N/A,#N/A,FALSE,"Hoja5";#N/A,#N/A,FALSE,"Hoja4";#N/A,#N/A,FALSE,"Hoja2";#N/A,#N/A,FALSE,"Hoja3";#N/A,#N/A,FALSE,"HOJA1";#N/A,#N/A,FALSE,"CashFlow";#N/A,#N/A,FALSE,"FinStmts"}</definedName>
    <definedName name="_Grinding" localSheetId="0" hidden="1">{#N/A,#N/A,FALSE,"Sales"}</definedName>
    <definedName name="_Grinding" hidden="1">{#N/A,#N/A,FALSE,"Sales"}</definedName>
    <definedName name="_h3" localSheetId="0" hidden="1">{#N/A,#N/A,FALSE,"196126-0690";#N/A,#N/A,FALSE,"196126-0690";#N/A,#N/A,FALSE,"1961165-0201"}</definedName>
    <definedName name="_h3" hidden="1">{#N/A,#N/A,FALSE,"196126-0690";#N/A,#N/A,FALSE,"196126-0690";#N/A,#N/A,FALSE,"1961165-0201"}</definedName>
    <definedName name="_h4" localSheetId="0" hidden="1">{#N/A,#N/A,FALSE,"196126-0690";#N/A,#N/A,FALSE,"196126-0690";#N/A,#N/A,FALSE,"1961165-0201"}</definedName>
    <definedName name="_h4" hidden="1">{#N/A,#N/A,FALSE,"196126-0690";#N/A,#N/A,FALSE,"196126-0690";#N/A,#N/A,FALSE,"1961165-0201"}</definedName>
    <definedName name="_h5" localSheetId="0" hidden="1">{#N/A,#N/A,FALSE,"196126-0690";#N/A,#N/A,FALSE,"196126-0690";#N/A,#N/A,FALSE,"1961165-0201"}</definedName>
    <definedName name="_h5" hidden="1">{#N/A,#N/A,FALSE,"196126-0690";#N/A,#N/A,FALSE,"196126-0690";#N/A,#N/A,FALSE,"1961165-0201"}</definedName>
    <definedName name="_hav3" localSheetId="0" hidden="1">{#N/A,#N/A,FALSE,"196126-0690";#N/A,#N/A,FALSE,"196126-0690";#N/A,#N/A,FALSE,"1961165-0201"}</definedName>
    <definedName name="_hav3" hidden="1">{#N/A,#N/A,FALSE,"196126-0690";#N/A,#N/A,FALSE,"196126-0690";#N/A,#N/A,FALSE,"1961165-0201"}</definedName>
    <definedName name="_hav4" localSheetId="0" hidden="1">{#N/A,#N/A,FALSE,"196126-0690";#N/A,#N/A,FALSE,"196126-0690";#N/A,#N/A,FALSE,"1961165-0201"}</definedName>
    <definedName name="_hav4" hidden="1">{#N/A,#N/A,FALSE,"196126-0690";#N/A,#N/A,FALSE,"196126-0690";#N/A,#N/A,FALSE,"1961165-0201"}</definedName>
    <definedName name="_Key1" hidden="1">#REF!</definedName>
    <definedName name="_key12" hidden="1">[8]WS!$A$44</definedName>
    <definedName name="_Key2" hidden="1">[9]PRINT!#REF!</definedName>
    <definedName name="_KIM1" localSheetId="0" hidden="1">{#N/A,#N/A,FALSE,"A장";#N/A,#N/A,FALSE,"B장"}</definedName>
    <definedName name="_KIM1" hidden="1">{#N/A,#N/A,FALSE,"A장";#N/A,#N/A,FALSE,"B장"}</definedName>
    <definedName name="_n3" localSheetId="0" hidden="1">{#N/A,#N/A,FALSE,"196126-0690";#N/A,#N/A,FALSE,"196126-0690";#N/A,#N/A,FALSE,"1961165-0201"}</definedName>
    <definedName name="_n3" hidden="1">{#N/A,#N/A,FALSE,"196126-0690";#N/A,#N/A,FALSE,"196126-0690";#N/A,#N/A,FALSE,"1961165-0201"}</definedName>
    <definedName name="_ok1" localSheetId="0" hidden="1">{"Annual",#N/A,FALSE,"Sales &amp; Market";"Quarterly",#N/A,FALSE,"Sales &amp; Market"}</definedName>
    <definedName name="_ok1" hidden="1">{"Annual",#N/A,FALSE,"Sales &amp; Market";"Quarterly",#N/A,FALSE,"Sales &amp; Market"}</definedName>
    <definedName name="_OMM95" localSheetId="0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OMM95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Order1" localSheetId="0" hidden="1">0</definedName>
    <definedName name="_Order1" hidden="1">255</definedName>
    <definedName name="_Order2" localSheetId="0" hidden="1">0</definedName>
    <definedName name="_Order2" hidden="1">255</definedName>
    <definedName name="_Parse_Out" hidden="1">#REF!</definedName>
    <definedName name="_q1" localSheetId="0" hidden="1">{"Annual",#N/A,FALSE,"Sales &amp; Market";"Quarterly",#N/A,FALSE,"Sales &amp; Market"}</definedName>
    <definedName name="_q1" hidden="1">{"Annual",#N/A,FALSE,"Sales &amp; Market";"Quarterly",#N/A,FALSE,"Sales &amp; Market"}</definedName>
    <definedName name="_Q2" localSheetId="0" hidden="1">{#N/A,#N/A,FALSE,"UNIT";#N/A,#N/A,FALSE,"UNIT";#N/A,#N/A,FALSE,"계정"}</definedName>
    <definedName name="_Q2" hidden="1">{#N/A,#N/A,FALSE,"UNIT";#N/A,#N/A,FALSE,"UNIT";#N/A,#N/A,FALSE,"계정"}</definedName>
    <definedName name="_q3" localSheetId="0" hidden="1">{"Annual",#N/A,FALSE,"Sales &amp; Market";"Quarterly",#N/A,FALSE,"Sales &amp; Market"}</definedName>
    <definedName name="_q3" hidden="1">{"Annual",#N/A,FALSE,"Sales &amp; Market";"Quarterly",#N/A,FALSE,"Sales &amp; Market"}</definedName>
    <definedName name="_q4" localSheetId="0" hidden="1">{"Annual",#N/A,FALSE,"Sales &amp; Market";"Quarterly",#N/A,FALSE,"Sales &amp; Market"}</definedName>
    <definedName name="_q4" hidden="1">{"Annual",#N/A,FALSE,"Sales &amp; Market";"Quarterly",#N/A,FALSE,"Sales &amp; Market"}</definedName>
    <definedName name="_q5" localSheetId="0" hidden="1">{"'B-S Accounts Translation'!$A$1:$G$190"}</definedName>
    <definedName name="_q5" hidden="1">{"'B-S Accounts Translation'!$A$1:$G$190"}</definedName>
    <definedName name="_Q7" localSheetId="0" hidden="1">{#N/A,#N/A,FALSE,"KMC최종회의(7월) 자료"}</definedName>
    <definedName name="_Q7" hidden="1">{#N/A,#N/A,FALSE,"KMC최종회의(7월) 자료"}</definedName>
    <definedName name="_Q8" localSheetId="0" hidden="1">{#N/A,#N/A,FALSE,"KMC최종회의(7월) 자료"}</definedName>
    <definedName name="_Q8" hidden="1">{#N/A,#N/A,FALSE,"KMC최종회의(7월) 자료"}</definedName>
    <definedName name="_Q9" localSheetId="0" hidden="1">{#N/A,#N/A,FALSE,"KMC최종회의(7월) 자료"}</definedName>
    <definedName name="_Q9" hidden="1">{#N/A,#N/A,FALSE,"KMC최종회의(7월) 자료"}</definedName>
    <definedName name="_QAC6" localSheetId="0" hidden="1">{#N/A,#N/A,FALSE,"SUMMARY REPORT"}</definedName>
    <definedName name="_QAC6" hidden="1">{#N/A,#N/A,FALSE,"SUMMARY REPORT"}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S1" localSheetId="0" hidden="1">{#N/A,#N/A,FALSE,"KMC최종회의(7월) 자료"}</definedName>
    <definedName name="_S1" hidden="1">{#N/A,#N/A,FALSE,"KMC최종회의(7월) 자료"}</definedName>
    <definedName name="_S2" localSheetId="0" hidden="1">{#N/A,#N/A,FALSE,"KMC최종회의(7월) 자료"}</definedName>
    <definedName name="_S2" hidden="1">{#N/A,#N/A,FALSE,"KMC최종회의(7월) 자료"}</definedName>
    <definedName name="_S3" localSheetId="0" hidden="1">{#N/A,#N/A,FALSE,"KMC최종회의(7월) 자료"}</definedName>
    <definedName name="_S3" hidden="1">{#N/A,#N/A,FALSE,"KMC최종회의(7월) 자료"}</definedName>
    <definedName name="_S4" localSheetId="0" hidden="1">{#N/A,#N/A,FALSE,"KMC최종회의(7월) 자료"}</definedName>
    <definedName name="_S4" hidden="1">{#N/A,#N/A,FALSE,"KMC최종회의(7월) 자료"}</definedName>
    <definedName name="_S5" localSheetId="0" hidden="1">{#N/A,#N/A,FALSE,"KMC최종회의(7월) 자료"}</definedName>
    <definedName name="_S5" hidden="1">{#N/A,#N/A,FALSE,"KMC최종회의(7월) 자료"}</definedName>
    <definedName name="_S6" localSheetId="0" hidden="1">{#N/A,#N/A,FALSE,"KMC최종회의(7월) 자료"}</definedName>
    <definedName name="_S6" hidden="1">{#N/A,#N/A,FALSE,"KMC최종회의(7월) 자료"}</definedName>
    <definedName name="_S7" localSheetId="0" hidden="1">{#N/A,#N/A,FALSE,"KMC최종회의(7월) 자료"}</definedName>
    <definedName name="_S7" hidden="1">{#N/A,#N/A,FALSE,"KMC최종회의(7월) 자료"}</definedName>
    <definedName name="_S8" localSheetId="0" hidden="1">{#N/A,#N/A,FALSE,"KMC최종회의(7월) 자료"}</definedName>
    <definedName name="_S8" hidden="1">{#N/A,#N/A,FALSE,"KMC최종회의(7월) 자료"}</definedName>
    <definedName name="_Sort" hidden="1">#REF!</definedName>
    <definedName name="_ta2" localSheetId="0" hidden="1">{"Exhibit 1",#N/A,FALSE,"Rev Exp to 6";"Exhibit 2",#N/A,FALSE,"Rev Exp to 6";#N/A,#N/A,FALSE,"DCF Rev Exp to 6";#N/A,#N/A,FALSE,"Taxdepr rev exp to 6";"Exhibit 1",#N/A,FALSE,"Rev Exp flat 5";"Exhibit 2",#N/A,FALSE,"Rev Exp flat 5";#N/A,#N/A,FALSE,"DCF Rev Exp flat 5";#N/A,#N/A,FALSE,"Taxdepr rev exp flat 5";"Exhibit 1",#N/A,FALSE,"Base to 6";"Exhibit 2",#N/A,FALSE,"Base to 6";#N/A,#N/A,FALSE,"DCF Base to 6";#N/A,#N/A,FALSE,"Taxdepr base to 6";"Exhibit 1",#N/A,FALSE,"Base flat 5";"Exhibit 2",#N/A,FALSE,"Base flat 5";#N/A,#N/A,FALSE,"DCF Base flat 5";#N/A,#N/A,FALSE,"Taxdepr base flat 5";#N/A,#N/A,FALSE,"TM margins"}</definedName>
    <definedName name="_ta2" hidden="1">{"Exhibit 1",#N/A,FALSE,"Rev Exp to 6";"Exhibit 2",#N/A,FALSE,"Rev Exp to 6";#N/A,#N/A,FALSE,"DCF Rev Exp to 6";#N/A,#N/A,FALSE,"Taxdepr rev exp to 6";"Exhibit 1",#N/A,FALSE,"Rev Exp flat 5";"Exhibit 2",#N/A,FALSE,"Rev Exp flat 5";#N/A,#N/A,FALSE,"DCF Rev Exp flat 5";#N/A,#N/A,FALSE,"Taxdepr rev exp flat 5";"Exhibit 1",#N/A,FALSE,"Base to 6";"Exhibit 2",#N/A,FALSE,"Base to 6";#N/A,#N/A,FALSE,"DCF Base to 6";#N/A,#N/A,FALSE,"Taxdepr base to 6";"Exhibit 1",#N/A,FALSE,"Base flat 5";"Exhibit 2",#N/A,FALSE,"Base flat 5";#N/A,#N/A,FALSE,"DCF Base flat 5";#N/A,#N/A,FALSE,"Taxdepr base flat 5";#N/A,#N/A,FALSE,"TM margins"}</definedName>
    <definedName name="_Table1_In1" hidden="1">#REF!</definedName>
    <definedName name="_Table1_Out" hidden="1">#REF!</definedName>
    <definedName name="_tax1" localSheetId="0" hidden="1">{"Exhibit 1",#N/A,FALSE,"Rev Exp to 6";"Exhibit 2",#N/A,FALSE,"Rev Exp to 6";#N/A,#N/A,FALSE,"DCF Rev Exp to 6";#N/A,#N/A,FALSE,"Taxdepr rev exp to 6";"Exhibit 1",#N/A,FALSE,"Rev Exp flat 5";"Exhibit 2",#N/A,FALSE,"Rev Exp flat 5";#N/A,#N/A,FALSE,"DCF Rev Exp flat 5";#N/A,#N/A,FALSE,"Taxdepr rev exp flat 5";"Exhibit 1",#N/A,FALSE,"Base to 6";"Exhibit 2",#N/A,FALSE,"Base to 6";#N/A,#N/A,FALSE,"DCF Base to 6";#N/A,#N/A,FALSE,"Taxdepr base to 6";"Exhibit 1",#N/A,FALSE,"Base flat 5";"Exhibit 2",#N/A,FALSE,"Base flat 5";#N/A,#N/A,FALSE,"DCF Base flat 5";#N/A,#N/A,FALSE,"Taxdepr base flat 5";#N/A,#N/A,FALSE,"TM margins"}</definedName>
    <definedName name="_tax1" hidden="1">{"Exhibit 1",#N/A,FALSE,"Rev Exp to 6";"Exhibit 2",#N/A,FALSE,"Rev Exp to 6";#N/A,#N/A,FALSE,"DCF Rev Exp to 6";#N/A,#N/A,FALSE,"Taxdepr rev exp to 6";"Exhibit 1",#N/A,FALSE,"Rev Exp flat 5";"Exhibit 2",#N/A,FALSE,"Rev Exp flat 5";#N/A,#N/A,FALSE,"DCF Rev Exp flat 5";#N/A,#N/A,FALSE,"Taxdepr rev exp flat 5";"Exhibit 1",#N/A,FALSE,"Base to 6";"Exhibit 2",#N/A,FALSE,"Base to 6";#N/A,#N/A,FALSE,"DCF Base to 6";#N/A,#N/A,FALSE,"Taxdepr base to 6";"Exhibit 1",#N/A,FALSE,"Base flat 5";"Exhibit 2",#N/A,FALSE,"Base flat 5";#N/A,#N/A,FALSE,"DCF Base flat 5";#N/A,#N/A,FALSE,"Taxdepr base flat 5";#N/A,#N/A,FALSE,"TM margins"}</definedName>
    <definedName name="_tax2" localSheetId="0" hidden="1">{"Exhibit 1",#N/A,FALSE,"Rev Exp to 6";"Exhibit 2",#N/A,FALSE,"Rev Exp to 6";#N/A,#N/A,FALSE,"DCF Rev Exp to 6";#N/A,#N/A,FALSE,"Taxdepr rev exp to 6";"Exhibit 1",#N/A,FALSE,"Rev Exp flat 5";"Exhibit 2",#N/A,FALSE,"Rev Exp flat 5";#N/A,#N/A,FALSE,"DCF Rev Exp flat 5";#N/A,#N/A,FALSE,"Taxdepr rev exp flat 5";"Exhibit 1",#N/A,FALSE,"Base to 6";"Exhibit 2",#N/A,FALSE,"Base to 6";#N/A,#N/A,FALSE,"DCF Base to 6";#N/A,#N/A,FALSE,"Taxdepr base to 6";"Exhibit 1",#N/A,FALSE,"Base flat 5";"Exhibit 2",#N/A,FALSE,"Base flat 5";#N/A,#N/A,FALSE,"DCF Base flat 5";#N/A,#N/A,FALSE,"Taxdepr base flat 5";#N/A,#N/A,FALSE,"TM margins"}</definedName>
    <definedName name="_tax2" hidden="1">{"Exhibit 1",#N/A,FALSE,"Rev Exp to 6";"Exhibit 2",#N/A,FALSE,"Rev Exp to 6";#N/A,#N/A,FALSE,"DCF Rev Exp to 6";#N/A,#N/A,FALSE,"Taxdepr rev exp to 6";"Exhibit 1",#N/A,FALSE,"Rev Exp flat 5";"Exhibit 2",#N/A,FALSE,"Rev Exp flat 5";#N/A,#N/A,FALSE,"DCF Rev Exp flat 5";#N/A,#N/A,FALSE,"Taxdepr rev exp flat 5";"Exhibit 1",#N/A,FALSE,"Base to 6";"Exhibit 2",#N/A,FALSE,"Base to 6";#N/A,#N/A,FALSE,"DCF Base to 6";#N/A,#N/A,FALSE,"Taxdepr base to 6";"Exhibit 1",#N/A,FALSE,"Base flat 5";"Exhibit 2",#N/A,FALSE,"Base flat 5";#N/A,#N/A,FALSE,"DCF Base flat 5";#N/A,#N/A,FALSE,"Taxdepr base flat 5";#N/A,#N/A,FALSE,"TM margins"}</definedName>
    <definedName name="_tay1" localSheetId="0" hidden="1">{"Annual",#N/A,FALSE,"Sales &amp; Market";"Quarterly",#N/A,FALSE,"Sales &amp; Market"}</definedName>
    <definedName name="_tay1" hidden="1">{"Annual",#N/A,FALSE,"Sales &amp; Market";"Quarterly",#N/A,FALSE,"Sales &amp; Market"}</definedName>
    <definedName name="_tay2" localSheetId="0" hidden="1">{"Annual",#N/A,FALSE,"Sales &amp; Market";"Quarterly",#N/A,FALSE,"Sales &amp; Market"}</definedName>
    <definedName name="_tay2" hidden="1">{"Annual",#N/A,FALSE,"Sales &amp; Market";"Quarterly",#N/A,FALSE,"Sales &amp; Market"}</definedName>
    <definedName name="_tay3" localSheetId="0" hidden="1">{"Annual",#N/A,FALSE,"Sales &amp; Market";"Quarterly",#N/A,FALSE,"Sales &amp; Market"}</definedName>
    <definedName name="_tay3" hidden="1">{"Annual",#N/A,FALSE,"Sales &amp; Market";"Quarterly",#N/A,FALSE,"Sales &amp; Market"}</definedName>
    <definedName name="_tay5" localSheetId="0" hidden="1">{#N/A,#N/A,FALSE,"Sales"}</definedName>
    <definedName name="_tay5" hidden="1">{#N/A,#N/A,FALSE,"Sales"}</definedName>
    <definedName name="_W1" localSheetId="0" hidden="1">{#N/A,#N/A,FALSE,"KMC최종회의(7월) 자료"}</definedName>
    <definedName name="_W1" hidden="1">{#N/A,#N/A,FALSE,"KMC최종회의(7월) 자료"}</definedName>
    <definedName name="_w2" localSheetId="0" hidden="1">{#N/A,#N/A,FALSE,"Sales"}</definedName>
    <definedName name="_w2" hidden="1">{#N/A,#N/A,FALSE,"Sales"}</definedName>
    <definedName name="_W3" localSheetId="0" hidden="1">{#N/A,#N/A,FALSE,"KMC최종회의(7월) 자료"}</definedName>
    <definedName name="_W3" hidden="1">{#N/A,#N/A,FALSE,"KMC최종회의(7월) 자료"}</definedName>
    <definedName name="_W4" localSheetId="0" hidden="1">{#N/A,#N/A,FALSE,"KMC최종회의(7월) 자료"}</definedName>
    <definedName name="_W4" hidden="1">{#N/A,#N/A,FALSE,"KMC최종회의(7월) 자료"}</definedName>
    <definedName name="_W5" localSheetId="0" hidden="1">{#N/A,#N/A,FALSE,"KMC최종회의(7월) 자료"}</definedName>
    <definedName name="_W5" hidden="1">{#N/A,#N/A,FALSE,"KMC최종회의(7월) 자료"}</definedName>
    <definedName name="_W6" localSheetId="0" hidden="1">{#N/A,#N/A,FALSE,"KMC최종회의(7월) 자료"}</definedName>
    <definedName name="_W6" hidden="1">{#N/A,#N/A,FALSE,"KMC최종회의(7월) 자료"}</definedName>
    <definedName name="_W7" localSheetId="0" hidden="1">{#N/A,#N/A,FALSE,"KMC최종회의(7월) 자료"}</definedName>
    <definedName name="_W7" hidden="1">{#N/A,#N/A,FALSE,"KMC최종회의(7월) 자료"}</definedName>
    <definedName name="_W8" localSheetId="0" hidden="1">{#N/A,#N/A,FALSE,"KMC최종회의(7월) 자료"}</definedName>
    <definedName name="_W8" hidden="1">{#N/A,#N/A,FALSE,"KMC최종회의(7월) 자료"}</definedName>
    <definedName name="_W9" localSheetId="0" hidden="1">{#N/A,#N/A,FALSE,"KMC최종회의(7월) 자료"}</definedName>
    <definedName name="_W9" hidden="1">{#N/A,#N/A,FALSE,"KMC최종회의(7월) 자료"}</definedName>
    <definedName name="_X1" localSheetId="0" hidden="1">{#N/A,#N/A,FALSE,"KMC최종회의(7월) 자료"}</definedName>
    <definedName name="_X1" hidden="1">{#N/A,#N/A,FALSE,"KMC최종회의(7월) 자료"}</definedName>
    <definedName name="_X2" localSheetId="0" hidden="1">{#N/A,#N/A,FALSE,"KMC최종회의(7월) 자료"}</definedName>
    <definedName name="_X2" hidden="1">{#N/A,#N/A,FALSE,"KMC최종회의(7월) 자료"}</definedName>
    <definedName name="_X3" localSheetId="0" hidden="1">{#N/A,#N/A,FALSE,"KMC최종회의(7월) 자료"}</definedName>
    <definedName name="_X3" hidden="1">{#N/A,#N/A,FALSE,"KMC최종회의(7월) 자료"}</definedName>
    <definedName name="_X4" localSheetId="0" hidden="1">{#N/A,#N/A,FALSE,"KMC최종회의(7월) 자료"}</definedName>
    <definedName name="_X4" hidden="1">{#N/A,#N/A,FALSE,"KMC최종회의(7월) 자료"}</definedName>
    <definedName name="_X5" localSheetId="0" hidden="1">{#N/A,#N/A,FALSE,"KMC최종회의(7월) 자료"}</definedName>
    <definedName name="_X5" hidden="1">{#N/A,#N/A,FALSE,"KMC최종회의(7월) 자료"}</definedName>
    <definedName name="_X6" localSheetId="0" hidden="1">{#N/A,#N/A,FALSE,"KMC최종회의(7월) 자료"}</definedName>
    <definedName name="_X6" hidden="1">{#N/A,#N/A,FALSE,"KMC최종회의(7월) 자료"}</definedName>
    <definedName name="_X7" localSheetId="0" hidden="1">{#N/A,#N/A,FALSE,"KMC최종회의(7월) 자료"}</definedName>
    <definedName name="_X7" hidden="1">{#N/A,#N/A,FALSE,"KMC최종회의(7월) 자료"}</definedName>
    <definedName name="_X8" localSheetId="0" hidden="1">{#N/A,#N/A,FALSE,"KMC최종회의(7월) 자료"}</definedName>
    <definedName name="_X8" hidden="1">{#N/A,#N/A,FALSE,"KMC최종회의(7월) 자료"}</definedName>
    <definedName name="_Z1" localSheetId="0" hidden="1">{#N/A,#N/A,FALSE,"KMC최종회의(7월) 자료"}</definedName>
    <definedName name="_Z1" hidden="1">{#N/A,#N/A,FALSE,"KMC최종회의(7월) 자료"}</definedName>
    <definedName name="_Z2" localSheetId="0" hidden="1">{#N/A,#N/A,FALSE,"KMC최종회의(7월) 자료"}</definedName>
    <definedName name="_Z2" hidden="1">{#N/A,#N/A,FALSE,"KMC최종회의(7월) 자료"}</definedName>
    <definedName name="_Z3" localSheetId="0" hidden="1">{#N/A,#N/A,FALSE,"KMC최종회의(7월) 자료"}</definedName>
    <definedName name="_Z3" hidden="1">{#N/A,#N/A,FALSE,"KMC최종회의(7월) 자료"}</definedName>
    <definedName name="_Z4" localSheetId="0" hidden="1">{#N/A,#N/A,FALSE,"KMC최종회의(7월) 자료"}</definedName>
    <definedName name="_Z4" hidden="1">{#N/A,#N/A,FALSE,"KMC최종회의(7월) 자료"}</definedName>
    <definedName name="_Z5" localSheetId="0" hidden="1">{#N/A,#N/A,FALSE,"KMC최종회의(7월) 자료"}</definedName>
    <definedName name="_Z5" hidden="1">{#N/A,#N/A,FALSE,"KMC최종회의(7월) 자료"}</definedName>
    <definedName name="_Z6" localSheetId="0" hidden="1">{#N/A,#N/A,FALSE,"KMC최종회의(7월) 자료"}</definedName>
    <definedName name="_Z6" hidden="1">{#N/A,#N/A,FALSE,"KMC최종회의(7월) 자료"}</definedName>
    <definedName name="_Z7" localSheetId="0" hidden="1">{#N/A,#N/A,FALSE,"KMC최종회의(7월) 자료"}</definedName>
    <definedName name="_Z7" hidden="1">{#N/A,#N/A,FALSE,"KMC최종회의(7월) 자료"}</definedName>
    <definedName name="_Z8" localSheetId="0" hidden="1">{#N/A,#N/A,FALSE,"KMC최종회의(7월) 자료"}</definedName>
    <definedName name="_Z8" hidden="1">{#N/A,#N/A,FALSE,"KMC최종회의(7월) 자료"}</definedName>
    <definedName name="_Z9" localSheetId="0" hidden="1">{#N/A,#N/A,FALSE,"KMC최종회의(7월) 자료"}</definedName>
    <definedName name="_Z9" hidden="1">{#N/A,#N/A,FALSE,"KMC최종회의(7월) 자료"}</definedName>
    <definedName name="a">'[10]Process Plan'!$B$5:$AD$250</definedName>
    <definedName name="A0" localSheetId="0" hidden="1">{#N/A,#N/A,FALSE,"KMC최종회의(7월) 자료"}</definedName>
    <definedName name="A0" hidden="1">{#N/A,#N/A,FALSE,"KMC최종회의(7월) 자료"}</definedName>
    <definedName name="aaa" localSheetId="0" hidden="1">{#N/A,#N/A,FALSE,"Cover";#N/A,#N/A,FALSE,"Cover (2)";#N/A,#N/A,FALSE,"P&amp;LSUM";#N/A,#N/A,FALSE,"P&amp;L BY SEG.";#N/A,#N/A,FALSE,"ProdLine95LE";#N/A,#N/A,FALSE,"ACT_GROSSMARGIN";#N/A,#N/A,FALSE,"SG&amp;A $";#N/A,#N/A,FALSE,"OID";#N/A,#N/A,FALSE,"ROADMAP (2)";#N/A,#N/A,FALSE,"WCPERFORM";#N/A,#N/A,FALSE,"WCPERFORM (3)";#N/A,#N/A,FALSE,"CORPCASHFLOW";#N/A,#N/A,FALSE,"CASHFLOWFWC";#N/A,#N/A,FALSE,"CAPITAL EXPENDITURES";#N/A,#N/A,FALSE,"96RISKS&amp;OPP";#N/A,#N/A,FALSE,"KeyActions";#N/A,#N/A,FALSE,"Cover (3)";#N/A,#N/A,FALSE,"GROWTH";#N/A,#N/A,FALSE,"HVACMARASSUM";#N/A,#N/A,FALSE,"MARKETANA95";#N/A,#N/A,FALSE,"MARKETANA96F";#N/A,#N/A,FALSE,"MARKETANA97P";#N/A,#N/A,FALSE,"SRVMARKETASSUM";#N/A,#N/A,FALSE,"95COMPETSOM%";#N/A,#N/A,FALSE,"96COMPETSOM% ";#N/A,#N/A,FALSE,"97COMPETSOM%";#N/A,#N/A,FALSE,"SOM%COMPARE";#N/A,#N/A,FALSE,"MARKETEVOL";#N/A,#N/A,FALSE,"COMPMKTACTION";#N/A,#N/A,FALSE,"SECTION 2";#N/A,#N/A,FALSE,"MACROECONOMIC";#N/A,#N/A,FALSE,"ROADMAP";#N/A,#N/A,FALSE,"HVACSALESEXT";#N/A,#N/A,FALSE,"EXTPRICINGASSUM";#N/A,#N/A,FALSE,"HVACSALESINT";#N/A,#N/A,FALSE,"INTPRICINGASSUM";#N/A,#N/A,FALSE,"EXTHVACSTDGROS";#N/A,#N/A,FALSE,"INTHVACSTDGROS";#N/A,#N/A,FALSE,"EXTHVACSTDGROS($)";#N/A,#N/A,FALSE,"INTHVACSTDGROS($)";#N/A,#N/A,FALSE,"MANUFACTURING EXPENSES";#N/A,#N/A,FALSE,"ACTGROSMAGANA(2)";#N/A,#N/A,FALSE,"SG&amp;A $ (2)";#N/A,#N/A,FALSE,"R&amp;DPROJECTS";#N/A,#N/A,FALSE,"OID (2)";#N/A,#N/A,FALSE,"P&amp;LSUM (3)";#N/A,#N/A,FALSE,"P&amp;L BY SEG. (2)";#N/A,#N/A,FALSE,"ProdLine97P ";#N/A,#N/A,FALSE,"HEADCOUNT-YTD";#N/A,#N/A,FALSE,"HEADCOUNT-BOY";#N/A,#N/A,FALSE,"HEADCOUNT-PLAN";#N/A,#N/A,FALSE,"WCPERFORM (2)";#N/A,#N/A,FALSE,"WCPERFORM (4)";#N/A,#N/A,FALSE,"PLANCORPCASHFLOW";#N/A,#N/A,FALSE,"CASHFLOW BY QTR";#N/A,#N/A,FALSE,"CASHFLOWW_C (2)";#N/A,#N/A,FALSE,"CF_W_C BY QTR";#N/A,#N/A,FALSE,"CAPITAL EXPENDITURES (2)";#N/A,#N/A,FALSE,"BALANCE SHEET";#N/A,#N/A,FALSE,"97RISKS&amp;OPP (3)";#N/A,#N/A,FALSE,"KeyActions (2)";#N/A,#N/A,FALSE,"Cover (5)";#N/A,#N/A,FALSE,"RDMAP FCST VOL";#N/A,#N/A,FALSE,"Cover (4)";#N/A,#N/A,FALSE,"RDMAPVOLUME";#N/A,#N/A,FALSE,"RDMAPPRICEMIX";#N/A,#N/A,FALSE,"RDMAPMGNRECON";#N/A,#N/A,FALSE,"RDMAPPRODUC";#N/A,#N/A,FALSE,"RDMAPFXPARITY";#N/A,#N/A,FALSE,"RDMAPINFLM";#N/A,#N/A,FALSE,"RDMAPINFLP";#N/A,#N/A,FALSE,"RDMAPOTHER"}</definedName>
    <definedName name="aaa" hidden="1">{#N/A,#N/A,FALSE,"Cover";#N/A,#N/A,FALSE,"Cover (2)";#N/A,#N/A,FALSE,"P&amp;LSUM";#N/A,#N/A,FALSE,"P&amp;L BY SEG.";#N/A,#N/A,FALSE,"ProdLine95LE";#N/A,#N/A,FALSE,"ACT_GROSSMARGIN";#N/A,#N/A,FALSE,"SG&amp;A $";#N/A,#N/A,FALSE,"OID";#N/A,#N/A,FALSE,"ROADMAP (2)";#N/A,#N/A,FALSE,"WCPERFORM";#N/A,#N/A,FALSE,"WCPERFORM (3)";#N/A,#N/A,FALSE,"CORPCASHFLOW";#N/A,#N/A,FALSE,"CASHFLOWFWC";#N/A,#N/A,FALSE,"CAPITAL EXPENDITURES";#N/A,#N/A,FALSE,"96RISKS&amp;OPP";#N/A,#N/A,FALSE,"KeyActions";#N/A,#N/A,FALSE,"Cover (3)";#N/A,#N/A,FALSE,"GROWTH";#N/A,#N/A,FALSE,"HVACMARASSUM";#N/A,#N/A,FALSE,"MARKETANA95";#N/A,#N/A,FALSE,"MARKETANA96F";#N/A,#N/A,FALSE,"MARKETANA97P";#N/A,#N/A,FALSE,"SRVMARKETASSUM";#N/A,#N/A,FALSE,"95COMPETSOM%";#N/A,#N/A,FALSE,"96COMPETSOM% ";#N/A,#N/A,FALSE,"97COMPETSOM%";#N/A,#N/A,FALSE,"SOM%COMPARE";#N/A,#N/A,FALSE,"MARKETEVOL";#N/A,#N/A,FALSE,"COMPMKTACTION";#N/A,#N/A,FALSE,"SECTION 2";#N/A,#N/A,FALSE,"MACROECONOMIC";#N/A,#N/A,FALSE,"ROADMAP";#N/A,#N/A,FALSE,"HVACSALESEXT";#N/A,#N/A,FALSE,"EXTPRICINGASSUM";#N/A,#N/A,FALSE,"HVACSALESINT";#N/A,#N/A,FALSE,"INTPRICINGASSUM";#N/A,#N/A,FALSE,"EXTHVACSTDGROS";#N/A,#N/A,FALSE,"INTHVACSTDGROS";#N/A,#N/A,FALSE,"EXTHVACSTDGROS($)";#N/A,#N/A,FALSE,"INTHVACSTDGROS($)";#N/A,#N/A,FALSE,"MANUFACTURING EXPENSES";#N/A,#N/A,FALSE,"ACTGROSMAGANA(2)";#N/A,#N/A,FALSE,"SG&amp;A $ (2)";#N/A,#N/A,FALSE,"R&amp;DPROJECTS";#N/A,#N/A,FALSE,"OID (2)";#N/A,#N/A,FALSE,"P&amp;LSUM (3)";#N/A,#N/A,FALSE,"P&amp;L BY SEG. (2)";#N/A,#N/A,FALSE,"ProdLine97P ";#N/A,#N/A,FALSE,"HEADCOUNT-YTD";#N/A,#N/A,FALSE,"HEADCOUNT-BOY";#N/A,#N/A,FALSE,"HEADCOUNT-PLAN";#N/A,#N/A,FALSE,"WCPERFORM (2)";#N/A,#N/A,FALSE,"WCPERFORM (4)";#N/A,#N/A,FALSE,"PLANCORPCASHFLOW";#N/A,#N/A,FALSE,"CASHFLOW BY QTR";#N/A,#N/A,FALSE,"CASHFLOWW_C (2)";#N/A,#N/A,FALSE,"CF_W_C BY QTR";#N/A,#N/A,FALSE,"CAPITAL EXPENDITURES (2)";#N/A,#N/A,FALSE,"BALANCE SHEET";#N/A,#N/A,FALSE,"97RISKS&amp;OPP (3)";#N/A,#N/A,FALSE,"KeyActions (2)";#N/A,#N/A,FALSE,"Cover (5)";#N/A,#N/A,FALSE,"RDMAP FCST VOL";#N/A,#N/A,FALSE,"Cover (4)";#N/A,#N/A,FALSE,"RDMAPVOLUME";#N/A,#N/A,FALSE,"RDMAPPRICEMIX";#N/A,#N/A,FALSE,"RDMAPMGNRECON";#N/A,#N/A,FALSE,"RDMAPPRODUC";#N/A,#N/A,FALSE,"RDMAPFXPARITY";#N/A,#N/A,FALSE,"RDMAPINFLM";#N/A,#N/A,FALSE,"RDMAPINFLP";#N/A,#N/A,FALSE,"RDMAPOTHER"}</definedName>
    <definedName name="AAAA" localSheetId="0" hidden="1">{#N/A,#N/A,FALSE,"UNIT";#N/A,#N/A,FALSE,"UNIT";#N/A,#N/A,FALSE,"계정"}</definedName>
    <definedName name="AAAA" hidden="1">{#N/A,#N/A,FALSE,"UNIT";#N/A,#N/A,FALSE,"UNIT";#N/A,#N/A,FALSE,"계정"}</definedName>
    <definedName name="aaaa2" localSheetId="0" hidden="1">{#N/A,#N/A,FALSE,"AIRCO"}</definedName>
    <definedName name="aaaa2" hidden="1">{#N/A,#N/A,FALSE,"AIRCO"}</definedName>
    <definedName name="aaaaaa" localSheetId="0" hidden="1">{#N/A,#N/A,FALSE,"UNIT";#N/A,#N/A,FALSE,"UNIT";#N/A,#N/A,FALSE,"계정"}</definedName>
    <definedName name="aaaaaa" hidden="1">{#N/A,#N/A,FALSE,"UNIT";#N/A,#N/A,FALSE,"UNIT";#N/A,#N/A,FALSE,"계정"}</definedName>
    <definedName name="aABC" localSheetId="0" hidden="1">{#N/A,#N/A,FALSE,"SUMMARY REPORT"}</definedName>
    <definedName name="aABC" hidden="1">{#N/A,#N/A,FALSE,"SUMMARY REPORT"}</definedName>
    <definedName name="aaff" localSheetId="0" hidden="1">{#N/A,#N/A,FALSE,"SUMMARY REPORT"}</definedName>
    <definedName name="aaff" hidden="1">{#N/A,#N/A,FALSE,"SUMMARY REPORT"}</definedName>
    <definedName name="Aas" localSheetId="0" hidden="1">{#N/A,#N/A,FALSE,"을지 (4)";#N/A,#N/A,FALSE,"을지 (5)";#N/A,#N/A,FALSE,"을지 (6)"}</definedName>
    <definedName name="Aas" hidden="1">{#N/A,#N/A,FALSE,"을지 (4)";#N/A,#N/A,FALSE,"을지 (5)";#N/A,#N/A,FALSE,"을지 (6)"}</definedName>
    <definedName name="ab" localSheetId="0" hidden="1">{#N/A,#N/A,FALSE,"Hoja10";#N/A,#N/A,FALSE,"Hoja9";#N/A,#N/A,FALSE,"Hoja8";#N/A,#N/A,FALSE,"Hoja7";#N/A,#N/A,FALSE,"Hoja6";#N/A,#N/A,FALSE,"Hoja5";#N/A,#N/A,FALSE,"Hoja4";#N/A,#N/A,FALSE,"Hoja2";#N/A,#N/A,FALSE,"Hoja3";#N/A,#N/A,FALSE,"HOJA1";#N/A,#N/A,FALSE,"CashFlow";#N/A,#N/A,FALSE,"FinStmts"}</definedName>
    <definedName name="ab" hidden="1">{#N/A,#N/A,FALSE,"Hoja10";#N/A,#N/A,FALSE,"Hoja9";#N/A,#N/A,FALSE,"Hoja8";#N/A,#N/A,FALSE,"Hoja7";#N/A,#N/A,FALSE,"Hoja6";#N/A,#N/A,FALSE,"Hoja5";#N/A,#N/A,FALSE,"Hoja4";#N/A,#N/A,FALSE,"Hoja2";#N/A,#N/A,FALSE,"Hoja3";#N/A,#N/A,FALSE,"HOJA1";#N/A,#N/A,FALSE,"CashFlow";#N/A,#N/A,FALSE,"FinStmts"}</definedName>
    <definedName name="abcanbv" localSheetId="0" hidden="1">{#N/A,#N/A,FALSE,"SUMMARY REPORT"}</definedName>
    <definedName name="abcanbv" hidden="1">{#N/A,#N/A,FALSE,"SUMMARY REPORT"}</definedName>
    <definedName name="ABCD" localSheetId="0" hidden="1">{#N/A,#N/A,FALSE,"SUMMARY REPORT"}</definedName>
    <definedName name="ABCD" hidden="1">{#N/A,#N/A,FALSE,"SUMMARY REPORT"}</definedName>
    <definedName name="ABCDF" localSheetId="0" hidden="1">{#N/A,#N/A,FALSE,"SUMMARY REPORT"}</definedName>
    <definedName name="ABCDF" hidden="1">{#N/A,#N/A,FALSE,"SUMMARY REPORT"}</definedName>
    <definedName name="ABCF" localSheetId="0" hidden="1">{#N/A,#N/A,FALSE,"SUMMARY REPORT"}</definedName>
    <definedName name="ABCF" hidden="1">{#N/A,#N/A,FALSE,"SUMMARY REPORT"}</definedName>
    <definedName name="abgfdrt" localSheetId="0" hidden="1">{#N/A,#N/A,FALSE,"KMC최종회의(7월) 자료"}</definedName>
    <definedName name="abgfdrt" hidden="1">{#N/A,#N/A,FALSE,"KMC최종회의(7월) 자료"}</definedName>
    <definedName name="abhi" localSheetId="0" hidden="1">{#N/A,#N/A,FALSE,"SUMMARY REPORT"}</definedName>
    <definedName name="abhi" hidden="1">{#N/A,#N/A,FALSE,"SUMMARY REPORT"}</definedName>
    <definedName name="abvc" localSheetId="0" hidden="1">{#N/A,#N/A,FALSE,"SUMMARY REPORT"}</definedName>
    <definedName name="abvc" hidden="1">{#N/A,#N/A,FALSE,"SUMMARY REPORT"}</definedName>
    <definedName name="ABZ" localSheetId="0" hidden="1">{#N/A,#N/A,FALSE,"SUMMARY REPORT"}</definedName>
    <definedName name="ABZ" hidden="1">{#N/A,#N/A,FALSE,"SUMMARY REPORT"}</definedName>
    <definedName name="acb" localSheetId="0" hidden="1">{#N/A,#N/A,FALSE,"SUMMARY REPORT"}</definedName>
    <definedName name="acb" hidden="1">{#N/A,#N/A,FALSE,"SUMMARY REPORT"}</definedName>
    <definedName name="ACCDEPR">[11]DataYTD!$B$166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"C:\생산판매\long98\9802장판원본.mdb"</definedName>
    <definedName name="accfd" localSheetId="0" hidden="1">{#N/A,#N/A,FALSE,"SUMMARY REPORT"}</definedName>
    <definedName name="accfd" hidden="1">{#N/A,#N/A,FALSE,"SUMMARY REPORT"}</definedName>
    <definedName name="ACCLINK.XLS_Localization_Table_List" hidden="1">"$A$1:$B$11"</definedName>
    <definedName name="ACCLINK.XLS_Localization_Table_List1" hidden="1">"$A$13:$B$31"</definedName>
    <definedName name="ACCLINK.XLS_Localization_Table_List10" hidden="1">"$A$13:$B$33"</definedName>
    <definedName name="ACCLINK.XLS_Localization_Table_List11" hidden="1">"$A$13:$B$33"</definedName>
    <definedName name="ACCLINK.XLS_Localization_Table_List12" hidden="1">"$A$13:$B$33"</definedName>
    <definedName name="ACCLINK.XLS_Localization_Table_List13" hidden="1">"$A$13:$B$33"</definedName>
    <definedName name="ACCLINK.XLS_Localization_Table_List14" hidden="1">"$A$13:$B$33"</definedName>
    <definedName name="ACCLINK.XLS_Localization_Table_List15" hidden="1">"$A$13:$B$33"</definedName>
    <definedName name="ACCLINK.XLS_Localization_Table_List16" hidden="1">"$A$13:$B$33"</definedName>
    <definedName name="ACCLINK.XLS_Localization_Table_List17" hidden="1">"$A$13:$B$33"</definedName>
    <definedName name="ACCLINK.XLS_Localization_Table_List18" hidden="1">"$A$13:$B$33"</definedName>
    <definedName name="ACCLINK.XLS_Localization_Table_List19" hidden="1">"$A$13:$B$33"</definedName>
    <definedName name="ACCLINK.XLS_Localization_Table_List2" hidden="1">"$A$13:$B$31"</definedName>
    <definedName name="ACCLINK.XLS_Localization_Table_List3" hidden="1">"$A$13:$B$31"</definedName>
    <definedName name="ACCLINK.XLS_Localization_Table_List4" hidden="1">"$A$13:$B$31"</definedName>
    <definedName name="ACCLINK.XLS_Localization_Table_List5" hidden="1">"$A$13:$B$31"</definedName>
    <definedName name="ACCLINK.XLS_Localization_Table_List6" hidden="1">"$A$13:$B$31"</definedName>
    <definedName name="ACCLINK.XLS_Localization_Table_List7" hidden="1">"$A$13:$B$31"</definedName>
    <definedName name="ACCLINK.XLS_Localization_Table_List8" hidden="1">"$A$13:$B$31"</definedName>
    <definedName name="ACCLINK.XLS_Localization_Table_List9" hidden="1">"$A$13:$B$33"</definedName>
    <definedName name="ACCRCOMP">[11]DataYTD!$B$316</definedName>
    <definedName name="ACCRINCTX">[11]DataYTD!$B$335</definedName>
    <definedName name="ACCRPAY">[11]DataYTD!$B$232</definedName>
    <definedName name="ACCRPRLIAB">[11]DataYTD!$B$308</definedName>
    <definedName name="ACCRPSLIAB">[11]DataYTD!$B$297</definedName>
    <definedName name="ACCRTXLIAB">[11]DataYTD!$B$324</definedName>
    <definedName name="ACDE" localSheetId="0" hidden="1">{#N/A,#N/A,FALSE,"SUMMARY REPORT"}</definedName>
    <definedName name="ACDE" hidden="1">{#N/A,#N/A,FALSE,"SUMMARY REPORT"}</definedName>
    <definedName name="ACDS" localSheetId="0" hidden="1">{#N/A,#N/A,FALSE,"SUMMARY REPORT"}</definedName>
    <definedName name="ACDS" hidden="1">{#N/A,#N/A,FALSE,"SUMMARY REPORT"}</definedName>
    <definedName name="acg" localSheetId="0" hidden="1">{#N/A,#N/A,FALSE,"SUMMARY REPORT"}</definedName>
    <definedName name="acg" hidden="1">{#N/A,#N/A,FALSE,"SUMMARY REPORT"}</definedName>
    <definedName name="acq" localSheetId="0" hidden="1">{#N/A,#N/A,FALSE,"SUMMARY REPORT"}</definedName>
    <definedName name="acq" hidden="1">{#N/A,#N/A,FALSE,"SUMMARY REPORT"}</definedName>
    <definedName name="ActualMarginYOY" localSheetId="0" hidden="1">{#N/A,#N/A,FALSE,"Hoja10";#N/A,#N/A,FALSE,"Hoja9";#N/A,#N/A,FALSE,"Hoja8";#N/A,#N/A,FALSE,"Hoja7";#N/A,#N/A,FALSE,"Hoja6";#N/A,#N/A,FALSE,"Hoja5";#N/A,#N/A,FALSE,"Hoja4";#N/A,#N/A,FALSE,"Hoja2";#N/A,#N/A,FALSE,"Hoja3";#N/A,#N/A,FALSE,"HOJA1";#N/A,#N/A,FALSE,"CashFlow";#N/A,#N/A,FALSE,"FinStmts"}</definedName>
    <definedName name="ActualMarginYOY" hidden="1">{#N/A,#N/A,FALSE,"Hoja10";#N/A,#N/A,FALSE,"Hoja9";#N/A,#N/A,FALSE,"Hoja8";#N/A,#N/A,FALSE,"Hoja7";#N/A,#N/A,FALSE,"Hoja6";#N/A,#N/A,FALSE,"Hoja5";#N/A,#N/A,FALSE,"Hoja4";#N/A,#N/A,FALSE,"Hoja2";#N/A,#N/A,FALSE,"Hoja3";#N/A,#N/A,FALSE,"HOJA1";#N/A,#N/A,FALSE,"CashFlow";#N/A,#N/A,FALSE,"FinStmts"}</definedName>
    <definedName name="AD" localSheetId="0" hidden="1">{#N/A,#N/A,FALSE,"을지 (4)";#N/A,#N/A,FALSE,"을지 (5)";#N/A,#N/A,FALSE,"을지 (6)"}</definedName>
    <definedName name="AD" hidden="1">{#N/A,#N/A,FALSE,"을지 (4)";#N/A,#N/A,FALSE,"을지 (5)";#N/A,#N/A,FALSE,"을지 (6)"}</definedName>
    <definedName name="ADNGJ" localSheetId="0" hidden="1">{#N/A,#N/A,FALSE,"Hoja10";#N/A,#N/A,FALSE,"Hoja9";#N/A,#N/A,FALSE,"Hoja8";#N/A,#N/A,FALSE,"Hoja7";#N/A,#N/A,FALSE,"Hoja6";#N/A,#N/A,FALSE,"Hoja5";#N/A,#N/A,FALSE,"Hoja4";#N/A,#N/A,FALSE,"Hoja2";#N/A,#N/A,FALSE,"Hoja3";#N/A,#N/A,FALSE,"HOJA1";#N/A,#N/A,FALSE,"CashFlow";#N/A,#N/A,FALSE,"FinStmts"}</definedName>
    <definedName name="ADNGJ" hidden="1">{#N/A,#N/A,FALSE,"Hoja10";#N/A,#N/A,FALSE,"Hoja9";#N/A,#N/A,FALSE,"Hoja8";#N/A,#N/A,FALSE,"Hoja7";#N/A,#N/A,FALSE,"Hoja6";#N/A,#N/A,FALSE,"Hoja5";#N/A,#N/A,FALSE,"Hoja4";#N/A,#N/A,FALSE,"Hoja2";#N/A,#N/A,FALSE,"Hoja3";#N/A,#N/A,FALSE,"HOJA1";#N/A,#N/A,FALSE,"CashFlow";#N/A,#N/A,FALSE,"FinStmts"}</definedName>
    <definedName name="ADSLSRECBLE">[11]DataYTD!$B$49</definedName>
    <definedName name="aer" localSheetId="0" hidden="1">{#N/A,#N/A,FALSE,"SUMMARY REPORT"}</definedName>
    <definedName name="aer" hidden="1">{#N/A,#N/A,FALSE,"SUMMARY REPORT"}</definedName>
    <definedName name="afjan" localSheetId="0" hidden="1">{#N/A,#N/A,FALSE,"196126-0690";#N/A,#N/A,FALSE,"196126-0690";#N/A,#N/A,FALSE,"1961165-0201"}</definedName>
    <definedName name="afjan" hidden="1">{#N/A,#N/A,FALSE,"196126-0690";#N/A,#N/A,FALSE,"196126-0690";#N/A,#N/A,FALSE,"1961165-0201"}</definedName>
    <definedName name="AFS" localSheetId="0" hidden="1">{#N/A,#N/A,FALSE,"SUMMARY REPORT"}</definedName>
    <definedName name="AFS" hidden="1">{#N/A,#N/A,FALSE,"SUMMARY REPORT"}</definedName>
    <definedName name="aje" localSheetId="0" hidden="1">{#N/A,#N/A,FALSE,"SUMMARY REPORT"}</definedName>
    <definedName name="aje" hidden="1">{#N/A,#N/A,FALSE,"SUMMARY REPORT"}</definedName>
    <definedName name="anbu" localSheetId="0" hidden="1">{"Exhibit 1",#N/A,FALSE,"Rev Exp to 6";"Exhibit 2",#N/A,FALSE,"Rev Exp to 6";#N/A,#N/A,FALSE,"DCF Rev Exp to 6";#N/A,#N/A,FALSE,"Taxdepr rev exp to 6";"Exhibit 1",#N/A,FALSE,"Rev Exp flat 5";"Exhibit 2",#N/A,FALSE,"Rev Exp flat 5";#N/A,#N/A,FALSE,"DCF Rev Exp flat 5";#N/A,#N/A,FALSE,"Taxdepr rev exp flat 5";"Exhibit 1",#N/A,FALSE,"Base to 6";"Exhibit 2",#N/A,FALSE,"Base to 6";#N/A,#N/A,FALSE,"DCF Base to 6";#N/A,#N/A,FALSE,"Taxdepr base to 6";"Exhibit 1",#N/A,FALSE,"Base flat 5";"Exhibit 2",#N/A,FALSE,"Base flat 5";#N/A,#N/A,FALSE,"DCF Base flat 5";#N/A,#N/A,FALSE,"Taxdepr base flat 5";#N/A,#N/A,FALSE,"TM margins"}</definedName>
    <definedName name="anbu" hidden="1">{"Exhibit 1",#N/A,FALSE,"Rev Exp to 6";"Exhibit 2",#N/A,FALSE,"Rev Exp to 6";#N/A,#N/A,FALSE,"DCF Rev Exp to 6";#N/A,#N/A,FALSE,"Taxdepr rev exp to 6";"Exhibit 1",#N/A,FALSE,"Rev Exp flat 5";"Exhibit 2",#N/A,FALSE,"Rev Exp flat 5";#N/A,#N/A,FALSE,"DCF Rev Exp flat 5";#N/A,#N/A,FALSE,"Taxdepr rev exp flat 5";"Exhibit 1",#N/A,FALSE,"Base to 6";"Exhibit 2",#N/A,FALSE,"Base to 6";#N/A,#N/A,FALSE,"DCF Base to 6";#N/A,#N/A,FALSE,"Taxdepr base to 6";"Exhibit 1",#N/A,FALSE,"Base flat 5";"Exhibit 2",#N/A,FALSE,"Base flat 5";#N/A,#N/A,FALSE,"DCF Base flat 5";#N/A,#N/A,FALSE,"Taxdepr base flat 5";#N/A,#N/A,FALSE,"TM margins"}</definedName>
    <definedName name="anscount" hidden="1">3</definedName>
    <definedName name="AP">[11]DataYTD!$B$223</definedName>
    <definedName name="ar" localSheetId="0" hidden="1">{#N/A,#N/A,FALSE,"SUMMARY REPORT"}</definedName>
    <definedName name="ar" hidden="1">{#N/A,#N/A,FALSE,"SUMMARY REPORT"}</definedName>
    <definedName name="as">#REF!</definedName>
    <definedName name="AS2DocOpenMode" hidden="1">"AS2DocumentEdit"</definedName>
    <definedName name="AS2ReportLS" hidden="1">1</definedName>
    <definedName name="AS2SyncStepLS" hidden="1">0</definedName>
    <definedName name="AS2TickmarkLS" hidden="1">#REF!</definedName>
    <definedName name="AS2VersionLS" hidden="1">300</definedName>
    <definedName name="asa" localSheetId="0" hidden="1">{"Page1",#N/A,TRUE,"Sheet1";"Page2",#N/A,TRUE,"Sheet1"}</definedName>
    <definedName name="asa" hidden="1">{"Page1",#N/A,TRUE,"Sheet1";"Page2",#N/A,TRUE,"Sheet1"}</definedName>
    <definedName name="asasdf" localSheetId="0" hidden="1">{#N/A,#N/A,FALSE,"Hoja10";#N/A,#N/A,FALSE,"Hoja9";#N/A,#N/A,FALSE,"Hoja8";#N/A,#N/A,FALSE,"Hoja7";#N/A,#N/A,FALSE,"Hoja6";#N/A,#N/A,FALSE,"Hoja5";#N/A,#N/A,FALSE,"Hoja4";#N/A,#N/A,FALSE,"Hoja2";#N/A,#N/A,FALSE,"Hoja3";#N/A,#N/A,FALSE,"HOJA1";#N/A,#N/A,FALSE,"CashFlow";#N/A,#N/A,FALSE,"FinStmts"}</definedName>
    <definedName name="asasdf" hidden="1">{#N/A,#N/A,FALSE,"Hoja10";#N/A,#N/A,FALSE,"Hoja9";#N/A,#N/A,FALSE,"Hoja8";#N/A,#N/A,FALSE,"Hoja7";#N/A,#N/A,FALSE,"Hoja6";#N/A,#N/A,FALSE,"Hoja5";#N/A,#N/A,FALSE,"Hoja4";#N/A,#N/A,FALSE,"Hoja2";#N/A,#N/A,FALSE,"Hoja3";#N/A,#N/A,FALSE,"HOJA1";#N/A,#N/A,FALSE,"CashFlow";#N/A,#N/A,FALSE,"FinStmts"}</definedName>
    <definedName name="ASD" localSheetId="0" hidden="1">{#N/A,#N/A,FALSE,"196126-0690";#N/A,#N/A,FALSE,"196126-0690";#N/A,#N/A,FALSE,"1961165-0201"}</definedName>
    <definedName name="ASD" hidden="1">{#N/A,#N/A,FALSE,"196126-0690";#N/A,#N/A,FALSE,"196126-0690";#N/A,#N/A,FALSE,"1961165-0201"}</definedName>
    <definedName name="asda" localSheetId="0" hidden="1">{#N/A,#N/A,FALSE,"Cash Flows";#N/A,#N/A,FALSE,"Fixed Assets";#N/A,#N/A,FALSE,"Balance Sheet";#N/A,#N/A,FALSE,"P &amp; L"}</definedName>
    <definedName name="asda" hidden="1">{#N/A,#N/A,FALSE,"Cash Flows";#N/A,#N/A,FALSE,"Fixed Assets";#N/A,#N/A,FALSE,"Balance Sheet";#N/A,#N/A,FALSE,"P &amp; L"}</definedName>
    <definedName name="ASDC" localSheetId="0" hidden="1">{#N/A,#N/A,FALSE,"SUMMARY REPORT"}</definedName>
    <definedName name="ASDC" hidden="1">{#N/A,#N/A,FALSE,"SUMMARY REPORT"}</definedName>
    <definedName name="asdf" localSheetId="0" hidden="1">{#N/A,#N/A,FALSE,"196126-0690";#N/A,#N/A,FALSE,"196126-0690";#N/A,#N/A,FALSE,"1961165-0201"}</definedName>
    <definedName name="asdf" hidden="1">{#N/A,#N/A,FALSE,"196126-0690";#N/A,#N/A,FALSE,"196126-0690";#N/A,#N/A,FALSE,"1961165-0201"}</definedName>
    <definedName name="asdfgh" hidden="1">#REF!</definedName>
    <definedName name="ASE" localSheetId="0" hidden="1">{#N/A,#N/A,FALSE,"초도품";#N/A,#N/A,FALSE,"초도품 (2)";#N/A,#N/A,FALSE,"초도품 (3)";#N/A,#N/A,FALSE,"초도품 (4)";#N/A,#N/A,FALSE,"초도품 (5)";#N/A,#N/A,FALSE,"초도품 (6)"}</definedName>
    <definedName name="ASE" hidden="1">{#N/A,#N/A,FALSE,"초도품";#N/A,#N/A,FALSE,"초도품 (2)";#N/A,#N/A,FALSE,"초도품 (3)";#N/A,#N/A,FALSE,"초도품 (4)";#N/A,#N/A,FALSE,"초도품 (5)";#N/A,#N/A,FALSE,"초도품 (6)"}</definedName>
    <definedName name="aser" localSheetId="0" hidden="1">{#N/A,#N/A,FALSE,"SUMMARY REPORT"}</definedName>
    <definedName name="aser" hidden="1">{#N/A,#N/A,FALSE,"SUMMARY REPORT"}</definedName>
    <definedName name="asersfdgh" hidden="1">'[12]PEB list 2006'!#REF!</definedName>
    <definedName name="ASS" localSheetId="0" hidden="1">{#N/A,#N/A,FALSE,"을지 (4)";#N/A,#N/A,FALSE,"을지 (5)";#N/A,#N/A,FALSE,"을지 (6)"}</definedName>
    <definedName name="ASS" hidden="1">{#N/A,#N/A,FALSE,"을지 (4)";#N/A,#N/A,FALSE,"을지 (5)";#N/A,#N/A,FALSE,"을지 (6)"}</definedName>
    <definedName name="asss" localSheetId="0" hidden="1">{#N/A,#N/A,FALSE,"을지 (4)";#N/A,#N/A,FALSE,"을지 (5)";#N/A,#N/A,FALSE,"을지 (6)"}</definedName>
    <definedName name="asss" hidden="1">{#N/A,#N/A,FALSE,"을지 (4)";#N/A,#N/A,FALSE,"을지 (5)";#N/A,#N/A,FALSE,"을지 (6)"}</definedName>
    <definedName name="ath" localSheetId="0" hidden="1">{#N/A,#N/A,FALSE,"SUMMARY REPORT"}</definedName>
    <definedName name="ath" hidden="1">{#N/A,#N/A,FALSE,"SUMMARY REPORT"}</definedName>
    <definedName name="AVCD" localSheetId="0" hidden="1">{#N/A,#N/A,FALSE,"SUMMARY REPORT"}</definedName>
    <definedName name="AVCD" hidden="1">{#N/A,#N/A,FALSE,"SUMMARY REPORT"}</definedName>
    <definedName name="aw" localSheetId="0" hidden="1">{#N/A,#N/A,FALSE,"SUMMARY REPORT"}</definedName>
    <definedName name="aw" hidden="1">{#N/A,#N/A,FALSE,"SUMMARY REPORT"}</definedName>
    <definedName name="AWE" localSheetId="0" hidden="1">{#N/A,#N/A,FALSE,"초도품";#N/A,#N/A,FALSE,"초도품 (2)";#N/A,#N/A,FALSE,"초도품 (3)";#N/A,#N/A,FALSE,"초도품 (4)";#N/A,#N/A,FALSE,"초도품 (5)";#N/A,#N/A,FALSE,"초도품 (6)"}</definedName>
    <definedName name="AWE" hidden="1">{#N/A,#N/A,FALSE,"초도품";#N/A,#N/A,FALSE,"초도품 (2)";#N/A,#N/A,FALSE,"초도품 (3)";#N/A,#N/A,FALSE,"초도품 (4)";#N/A,#N/A,FALSE,"초도품 (5)";#N/A,#N/A,FALSE,"초도품 (6)"}</definedName>
    <definedName name="AXD" localSheetId="0" hidden="1">{#N/A,#N/A,FALSE,"초도품";#N/A,#N/A,FALSE,"초도품 (2)";#N/A,#N/A,FALSE,"초도품 (3)";#N/A,#N/A,FALSE,"초도품 (4)";#N/A,#N/A,FALSE,"초도품 (5)";#N/A,#N/A,FALSE,"초도품 (6)"}</definedName>
    <definedName name="AXD" hidden="1">{#N/A,#N/A,FALSE,"초도품";#N/A,#N/A,FALSE,"초도품 (2)";#N/A,#N/A,FALSE,"초도품 (3)";#N/A,#N/A,FALSE,"초도품 (4)";#N/A,#N/A,FALSE,"초도품 (5)";#N/A,#N/A,FALSE,"초도품 (6)"}</definedName>
    <definedName name="Axdd" localSheetId="0" hidden="1">{#N/A,#N/A,FALSE,"초도품";#N/A,#N/A,FALSE,"초도품 (2)";#N/A,#N/A,FALSE,"초도품 (3)";#N/A,#N/A,FALSE,"초도품 (4)";#N/A,#N/A,FALSE,"초도품 (5)";#N/A,#N/A,FALSE,"초도품 (6)"}</definedName>
    <definedName name="Axdd" hidden="1">{#N/A,#N/A,FALSE,"초도품";#N/A,#N/A,FALSE,"초도품 (2)";#N/A,#N/A,FALSE,"초도품 (3)";#N/A,#N/A,FALSE,"초도품 (4)";#N/A,#N/A,FALSE,"초도품 (5)";#N/A,#N/A,FALSE,"초도품 (6)"}</definedName>
    <definedName name="b" hidden="1">#REF!</definedName>
    <definedName name="bagg" localSheetId="0" hidden="1">{#N/A,#N/A,FALSE,"SUMMARY REPORT"}</definedName>
    <definedName name="bagg" hidden="1">{#N/A,#N/A,FALSE,"SUMMARY REPORT"}</definedName>
    <definedName name="BaseData_1" localSheetId="0" hidden="1">{#N/A,#N/A,FALSE,"Cash Flows";#N/A,#N/A,FALSE,"Fixed Assets";#N/A,#N/A,FALSE,"Balance Sheet";#N/A,#N/A,FALSE,"P &amp; L"}</definedName>
    <definedName name="BaseData_1" hidden="1">{#N/A,#N/A,FALSE,"Cash Flows";#N/A,#N/A,FALSE,"Fixed Assets";#N/A,#N/A,FALSE,"Balance Sheet";#N/A,#N/A,FALSE,"P &amp; L"}</definedName>
    <definedName name="bb" localSheetId="0" hidden="1">{#N/A,#N/A,FALSE,"SUMMARY REPORT"}</definedName>
    <definedName name="bb" hidden="1">{#N/A,#N/A,FALSE,"SUMMARY REPORT"}</definedName>
    <definedName name="bbb" localSheetId="0" hidden="1">{#N/A,#N/A,FALSE,"Hoja10";#N/A,#N/A,FALSE,"Hoja9";#N/A,#N/A,FALSE,"Hoja8";#N/A,#N/A,FALSE,"Hoja7";#N/A,#N/A,FALSE,"Hoja6";#N/A,#N/A,FALSE,"Hoja5";#N/A,#N/A,FALSE,"Hoja4";#N/A,#N/A,FALSE,"Hoja2";#N/A,#N/A,FALSE,"Hoja3";#N/A,#N/A,FALSE,"HOJA1";#N/A,#N/A,FALSE,"CashFlow";#N/A,#N/A,FALSE,"FinStmts"}</definedName>
    <definedName name="bbb" hidden="1">{#N/A,#N/A,FALSE,"Hoja10";#N/A,#N/A,FALSE,"Hoja9";#N/A,#N/A,FALSE,"Hoja8";#N/A,#N/A,FALSE,"Hoja7";#N/A,#N/A,FALSE,"Hoja6";#N/A,#N/A,FALSE,"Hoja5";#N/A,#N/A,FALSE,"Hoja4";#N/A,#N/A,FALSE,"Hoja2";#N/A,#N/A,FALSE,"Hoja3";#N/A,#N/A,FALSE,"HOJA1";#N/A,#N/A,FALSE,"CashFlow";#N/A,#N/A,FALSE,"FinStmts"}</definedName>
    <definedName name="bbbb" localSheetId="0" hidden="1">{#N/A,#N/A,FALSE,"Hoja10";#N/A,#N/A,FALSE,"Hoja9";#N/A,#N/A,FALSE,"Hoja8";#N/A,#N/A,FALSE,"Hoja7";#N/A,#N/A,FALSE,"Hoja6";#N/A,#N/A,FALSE,"Hoja5";#N/A,#N/A,FALSE,"Hoja4";#N/A,#N/A,FALSE,"Hoja2";#N/A,#N/A,FALSE,"Hoja3";#N/A,#N/A,FALSE,"HOJA1";#N/A,#N/A,FALSE,"CashFlow";#N/A,#N/A,FALSE,"FinStmts"}</definedName>
    <definedName name="bbbb" hidden="1">{#N/A,#N/A,FALSE,"Hoja10";#N/A,#N/A,FALSE,"Hoja9";#N/A,#N/A,FALSE,"Hoja8";#N/A,#N/A,FALSE,"Hoja7";#N/A,#N/A,FALSE,"Hoja6";#N/A,#N/A,FALSE,"Hoja5";#N/A,#N/A,FALSE,"Hoja4";#N/A,#N/A,FALSE,"Hoja2";#N/A,#N/A,FALSE,"Hoja3";#N/A,#N/A,FALSE,"HOJA1";#N/A,#N/A,FALSE,"CashFlow";#N/A,#N/A,FALSE,"FinStmts"}</definedName>
    <definedName name="bc" localSheetId="0" hidden="1">{#N/A,#N/A,FALSE,"Hoja10";#N/A,#N/A,FALSE,"Hoja9";#N/A,#N/A,FALSE,"Hoja8";#N/A,#N/A,FALSE,"Hoja7";#N/A,#N/A,FALSE,"Hoja6";#N/A,#N/A,FALSE,"Hoja5";#N/A,#N/A,FALSE,"Hoja4";#N/A,#N/A,FALSE,"Hoja2";#N/A,#N/A,FALSE,"Hoja3";#N/A,#N/A,FALSE,"HOJA1";#N/A,#N/A,FALSE,"CashFlow";#N/A,#N/A,FALSE,"FinStmts"}</definedName>
    <definedName name="bc" hidden="1">{#N/A,#N/A,FALSE,"Hoja10";#N/A,#N/A,FALSE,"Hoja9";#N/A,#N/A,FALSE,"Hoja8";#N/A,#N/A,FALSE,"Hoja7";#N/A,#N/A,FALSE,"Hoja6";#N/A,#N/A,FALSE,"Hoja5";#N/A,#N/A,FALSE,"Hoja4";#N/A,#N/A,FALSE,"Hoja2";#N/A,#N/A,FALSE,"Hoja3";#N/A,#N/A,FALSE,"HOJA1";#N/A,#N/A,FALSE,"CashFlow";#N/A,#N/A,FALSE,"FinStmts"}</definedName>
    <definedName name="bca" localSheetId="0" hidden="1">{#N/A,#N/A,FALSE,"SUMMARY REPORT"}</definedName>
    <definedName name="bca" hidden="1">{#N/A,#N/A,FALSE,"SUMMARY REPORT"}</definedName>
    <definedName name="bcd" localSheetId="0" hidden="1">{#N/A,#N/A,FALSE,"SUMMARY REPORT"}</definedName>
    <definedName name="bcd" hidden="1">{#N/A,#N/A,FALSE,"SUMMARY REPORT"}</definedName>
    <definedName name="bcr" localSheetId="0" hidden="1">{#N/A,#N/A,FALSE,"SUMMARY REPORT"}</definedName>
    <definedName name="bcr" hidden="1">{#N/A,#N/A,FALSE,"SUMMARY REPORT"}</definedName>
    <definedName name="bd" hidden="1">#REF!</definedName>
    <definedName name="bf" localSheetId="0" hidden="1">{#N/A,#N/A,FALSE,"SUMMARY REPORT"}</definedName>
    <definedName name="bf" hidden="1">{#N/A,#N/A,FALSE,"SUMMARY REPORT"}</definedName>
    <definedName name="BG_Del" hidden="1">15</definedName>
    <definedName name="BG_Ins" hidden="1">4</definedName>
    <definedName name="BG_Mod" hidden="1">6</definedName>
    <definedName name="bgy" localSheetId="0" hidden="1">{#N/A,#N/A,FALSE,"SUMMARY REPORT"}</definedName>
    <definedName name="bgy" hidden="1">{#N/A,#N/A,FALSE,"SUMMARY REPORT"}</definedName>
    <definedName name="bhu" localSheetId="0" hidden="1">{#N/A,#N/A,FALSE,"SUMMARY REPORT"}</definedName>
    <definedName name="bhu" hidden="1">{#N/A,#N/A,FALSE,"SUMMARY REPORT"}</definedName>
    <definedName name="Blanking">#REF!</definedName>
    <definedName name="bnagg" localSheetId="0" hidden="1">{#N/A,#N/A,FALSE,"SUMMARY REPORT"}</definedName>
    <definedName name="bnagg" hidden="1">{#N/A,#N/A,FALSE,"SUMMARY REPORT"}</definedName>
    <definedName name="BNE_MESSAGES_HIDDEN" hidden="1">#REF!</definedName>
    <definedName name="BOM">#REF!</definedName>
    <definedName name="Bss" localSheetId="0" hidden="1">{#N/A,#N/A,FALSE,"Hoja10";#N/A,#N/A,FALSE,"Hoja9";#N/A,#N/A,FALSE,"Hoja8";#N/A,#N/A,FALSE,"Hoja7";#N/A,#N/A,FALSE,"Hoja6";#N/A,#N/A,FALSE,"Hoja5";#N/A,#N/A,FALSE,"Hoja4";#N/A,#N/A,FALSE,"Hoja2";#N/A,#N/A,FALSE,"Hoja3";#N/A,#N/A,FALSE,"HOJA1";#N/A,#N/A,FALSE,"CashFlow";#N/A,#N/A,FALSE,"FinStmts"}</definedName>
    <definedName name="Bss" hidden="1">{#N/A,#N/A,FALSE,"Hoja10";#N/A,#N/A,FALSE,"Hoja9";#N/A,#N/A,FALSE,"Hoja8";#N/A,#N/A,FALSE,"Hoja7";#N/A,#N/A,FALSE,"Hoja6";#N/A,#N/A,FALSE,"Hoja5";#N/A,#N/A,FALSE,"Hoja4";#N/A,#N/A,FALSE,"Hoja2";#N/A,#N/A,FALSE,"Hoja3";#N/A,#N/A,FALSE,"HOJA1";#N/A,#N/A,FALSE,"CashFlow";#N/A,#N/A,FALSE,"FinStmts"}</definedName>
    <definedName name="BURDEN_DETAIL">[13]StandardRates!$B$10:$AC$194</definedName>
    <definedName name="bus" localSheetId="0" hidden="1">{#N/A,#N/A,FALSE,"Hoja10";#N/A,#N/A,FALSE,"Hoja9";#N/A,#N/A,FALSE,"Hoja8";#N/A,#N/A,FALSE,"Hoja7";#N/A,#N/A,FALSE,"Hoja6";#N/A,#N/A,FALSE,"Hoja5";#N/A,#N/A,FALSE,"Hoja4";#N/A,#N/A,FALSE,"Hoja2";#N/A,#N/A,FALSE,"Hoja3";#N/A,#N/A,FALSE,"HOJA1";#N/A,#N/A,FALSE,"CashFlow";#N/A,#N/A,FALSE,"FinStmts"}</definedName>
    <definedName name="bus" hidden="1">{#N/A,#N/A,FALSE,"Hoja10";#N/A,#N/A,FALSE,"Hoja9";#N/A,#N/A,FALSE,"Hoja8";#N/A,#N/A,FALSE,"Hoja7";#N/A,#N/A,FALSE,"Hoja6";#N/A,#N/A,FALSE,"Hoja5";#N/A,#N/A,FALSE,"Hoja4";#N/A,#N/A,FALSE,"Hoja2";#N/A,#N/A,FALSE,"Hoja3";#N/A,#N/A,FALSE,"HOJA1";#N/A,#N/A,FALSE,"CashFlow";#N/A,#N/A,FALSE,"FinStmts"}</definedName>
    <definedName name="cab" localSheetId="0" hidden="1">{#N/A,#N/A,FALSE,"SUMMARY REPORT"}</definedName>
    <definedName name="cab" hidden="1">{#N/A,#N/A,FALSE,"SUMMARY REPORT"}</definedName>
    <definedName name="CASHEQUIV">[11]DataYTD!$B$30</definedName>
    <definedName name="CASTING_MC_NAME">[13]StandardRates!$B$124:$B$154</definedName>
    <definedName name="Categery" localSheetId="0">'Wire Harness_BOM'!#REF!</definedName>
    <definedName name="Categery">#REF!</definedName>
    <definedName name="Cavity_No">[14]Cylinder!$N$287:$N$296</definedName>
    <definedName name="ccc" localSheetId="0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ccc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cccc" localSheetId="0" hidden="1">{#N/A,#N/A,FALSE,"Hoja10";#N/A,#N/A,FALSE,"Hoja9";#N/A,#N/A,FALSE,"Hoja8";#N/A,#N/A,FALSE,"Hoja7";#N/A,#N/A,FALSE,"Hoja6";#N/A,#N/A,FALSE,"Hoja5";#N/A,#N/A,FALSE,"Hoja4";#N/A,#N/A,FALSE,"Hoja2";#N/A,#N/A,FALSE,"Hoja3";#N/A,#N/A,FALSE,"HOJA1";#N/A,#N/A,FALSE,"CashFlow";#N/A,#N/A,FALSE,"FinStmts"}</definedName>
    <definedName name="cccc" hidden="1">{#N/A,#N/A,FALSE,"Hoja10";#N/A,#N/A,FALSE,"Hoja9";#N/A,#N/A,FALSE,"Hoja8";#N/A,#N/A,FALSE,"Hoja7";#N/A,#N/A,FALSE,"Hoja6";#N/A,#N/A,FALSE,"Hoja5";#N/A,#N/A,FALSE,"Hoja4";#N/A,#N/A,FALSE,"Hoja2";#N/A,#N/A,FALSE,"Hoja3";#N/A,#N/A,FALSE,"HOJA1";#N/A,#N/A,FALSE,"CashFlow";#N/A,#N/A,FALSE,"FinStmts"}</definedName>
    <definedName name="cd" localSheetId="0" hidden="1">{#N/A,#N/A,FALSE,"SUMMARY REPORT"}</definedName>
    <definedName name="cd" hidden="1">{#N/A,#N/A,FALSE,"SUMMARY REPORT"}</definedName>
    <definedName name="cesar" localSheetId="0" hidden="1">{"Page1",#N/A,TRUE,"Sheet1";"Page2",#N/A,TRUE,"Sheet1"}</definedName>
    <definedName name="cesar" hidden="1">{"Page1",#N/A,TRUE,"Sheet1";"Page2",#N/A,TRUE,"Sheet1"}</definedName>
    <definedName name="cesar2" localSheetId="0" hidden="1">{"Page1",#N/A,TRUE,"Sheet1";"Page2",#N/A,TRUE,"Sheet1"}</definedName>
    <definedName name="cesar2" hidden="1">{"Page1",#N/A,TRUE,"Sheet1";"Page2",#N/A,TRUE,"Sheet1"}</definedName>
    <definedName name="cg" localSheetId="0" hidden="1">{#N/A,#N/A,FALSE,"SUMMARY REPORT"}</definedName>
    <definedName name="cg" hidden="1">{#N/A,#N/A,FALSE,"SUMMARY REPORT"}</definedName>
    <definedName name="ch" hidden="1">#REF!</definedName>
    <definedName name="chang" localSheetId="0" hidden="1">{#N/A,#N/A,FALSE,"을지 (4)";#N/A,#N/A,FALSE,"을지 (5)";#N/A,#N/A,FALSE,"을지 (6)"}</definedName>
    <definedName name="chang" hidden="1">{#N/A,#N/A,FALSE,"을지 (4)";#N/A,#N/A,FALSE,"을지 (5)";#N/A,#N/A,FALSE,"을지 (6)"}</definedName>
    <definedName name="Class" localSheetId="0">'Wire Harness_BOM'!#REF!</definedName>
    <definedName name="Class">#REF!</definedName>
    <definedName name="Cleaning\Washing">#REF!</definedName>
    <definedName name="Cleaniong\washing">#REF!</definedName>
    <definedName name="clip" localSheetId="0" hidden="1">{#N/A,#N/A,FALSE,"SUMMARY REPORT"}</definedName>
    <definedName name="clip" hidden="1">{#N/A,#N/A,FALSE,"SUMMARY REPORT"}</definedName>
    <definedName name="Code" hidden="1">#REF!</definedName>
    <definedName name="CommentLine">[15]Notes!$C$8</definedName>
    <definedName name="COMMODITY">#REF!</definedName>
    <definedName name="Connector" hidden="1">#REF!</definedName>
    <definedName name="consumption" localSheetId="0" hidden="1">{#N/A,#N/A,FALSE,"SUMMARY REPORT"}</definedName>
    <definedName name="consumption" hidden="1">{#N/A,#N/A,FALSE,"SUMMARY REPORT"}</definedName>
    <definedName name="contents" localSheetId="0" hidden="1">{#N/A,#N/A,FALSE,"A장";#N/A,#N/A,FALSE,"B장"}</definedName>
    <definedName name="contents" hidden="1">{#N/A,#N/A,FALSE,"A장";#N/A,#N/A,FALSE,"B장"}</definedName>
    <definedName name="copy" localSheetId="0" hidden="1">{#N/A,#N/A,FALSE,"Sales"}</definedName>
    <definedName name="copy" hidden="1">{#N/A,#N/A,FALSE,"Sales"}</definedName>
    <definedName name="Cost_Engineers" localSheetId="1">OFFSET(#REF!,1,0,COUNTA(#REF!)-1,)</definedName>
    <definedName name="Cost_Engineers">OFFSET(#REF!,1,0,COUNTA(#REF!)-1,)</definedName>
    <definedName name="Cost_Managers" localSheetId="1">OFFSET(#REF!,1,0,COUNTA(#REF!)-1,)</definedName>
    <definedName name="Cost_Managers">OFFSET(#REF!,1,0,COUNTA(#REF!)-1,)</definedName>
    <definedName name="Cowl.lh" localSheetId="0" hidden="1">{#N/A,#N/A,FALSE,"196126-0690";#N/A,#N/A,FALSE,"196126-0690";#N/A,#N/A,FALSE,"1961165-0201"}</definedName>
    <definedName name="Cowl.lh" hidden="1">{#N/A,#N/A,FALSE,"196126-0690";#N/A,#N/A,FALSE,"196126-0690";#N/A,#N/A,FALSE,"1961165-0201"}</definedName>
    <definedName name="csd" hidden="1">#N/A</definedName>
    <definedName name="cvf" localSheetId="0" hidden="1">{#N/A,#N/A,FALSE,"SUMMARY REPORT"}</definedName>
    <definedName name="cvf" hidden="1">{#N/A,#N/A,FALSE,"SUMMARY REPORT"}</definedName>
    <definedName name="cvj" localSheetId="0" hidden="1">{#N/A,#N/A,FALSE,"KMC최종회의(7월) 자료"}</definedName>
    <definedName name="cvj" hidden="1">{#N/A,#N/A,FALSE,"KMC최종회의(7월) 자료"}</definedName>
    <definedName name="dad" localSheetId="0" hidden="1">{"Annual",#N/A,FALSE,"Sales &amp; Market";"Quarterly",#N/A,FALSE,"Sales &amp; Market"}</definedName>
    <definedName name="dad" hidden="1">{"Annual",#N/A,FALSE,"Sales &amp; Market";"Quarterly",#N/A,FALSE,"Sales &amp; Market"}</definedName>
    <definedName name="daily" localSheetId="0" hidden="1">{#N/A,#N/A,FALSE,"SUMMARY REPORT"}</definedName>
    <definedName name="daily" hidden="1">{#N/A,#N/A,FALSE,"SUMMARY REPORT"}</definedName>
    <definedName name="DATA_08" hidden="1">'[16]Intang Amortization by Qtr'!#REF!</definedName>
    <definedName name="data2" hidden="1">#REF!</definedName>
    <definedName name="data3" hidden="1">#REF!</definedName>
    <definedName name="DBTACCTSADV">[11]DataYTD!$B$54</definedName>
    <definedName name="dddd" localSheetId="0" hidden="1">{#N/A,#N/A,FALSE,"Cover";#N/A,#N/A,FALSE,"Cover (2)";#N/A,#N/A,FALSE,"P&amp;LSUM";#N/A,#N/A,FALSE,"P&amp;L BY SEG.";#N/A,#N/A,FALSE,"ProdLine95LE";#N/A,#N/A,FALSE,"ACT_GROSSMARGIN";#N/A,#N/A,FALSE,"SG&amp;A $";#N/A,#N/A,FALSE,"OID";#N/A,#N/A,FALSE,"ROADMAP (2)";#N/A,#N/A,FALSE,"WCPERFORM";#N/A,#N/A,FALSE,"WCPERFORM (3)";#N/A,#N/A,FALSE,"CORPCASHFLOW";#N/A,#N/A,FALSE,"CASHFLOWFWC";#N/A,#N/A,FALSE,"CAPITAL EXPENDITURES";#N/A,#N/A,FALSE,"96RISKS&amp;OPP";#N/A,#N/A,FALSE,"KeyActions";#N/A,#N/A,FALSE,"Cover (3)";#N/A,#N/A,FALSE,"GROWTH";#N/A,#N/A,FALSE,"HVACMARASSUM";#N/A,#N/A,FALSE,"MARKETANA95";#N/A,#N/A,FALSE,"MARKETANA96F";#N/A,#N/A,FALSE,"MARKETANA97P";#N/A,#N/A,FALSE,"SRVMARKETASSUM";#N/A,#N/A,FALSE,"95COMPETSOM%";#N/A,#N/A,FALSE,"96COMPETSOM% ";#N/A,#N/A,FALSE,"97COMPETSOM%";#N/A,#N/A,FALSE,"SOM%COMPARE";#N/A,#N/A,FALSE,"MARKETEVOL";#N/A,#N/A,FALSE,"COMPMKTACTION";#N/A,#N/A,FALSE,"SECTION 2";#N/A,#N/A,FALSE,"MACROECONOMIC";#N/A,#N/A,FALSE,"ROADMAP";#N/A,#N/A,FALSE,"HVACSALESEXT";#N/A,#N/A,FALSE,"EXTPRICINGASSUM";#N/A,#N/A,FALSE,"HVACSALESINT";#N/A,#N/A,FALSE,"INTPRICINGASSUM";#N/A,#N/A,FALSE,"EXTHVACSTDGROS";#N/A,#N/A,FALSE,"INTHVACSTDGROS";#N/A,#N/A,FALSE,"EXTHVACSTDGROS($)";#N/A,#N/A,FALSE,"INTHVACSTDGROS($)";#N/A,#N/A,FALSE,"MANUFACTURING EXPENSES";#N/A,#N/A,FALSE,"ACTGROSMAGANA(2)";#N/A,#N/A,FALSE,"SG&amp;A $ (2)";#N/A,#N/A,FALSE,"R&amp;DPROJECTS";#N/A,#N/A,FALSE,"OID (2)";#N/A,#N/A,FALSE,"P&amp;LSUM (3)";#N/A,#N/A,FALSE,"P&amp;L BY SEG. (2)";#N/A,#N/A,FALSE,"ProdLine97P ";#N/A,#N/A,FALSE,"HEADCOUNT-YTD";#N/A,#N/A,FALSE,"HEADCOUNT-BOY";#N/A,#N/A,FALSE,"HEADCOUNT-PLAN";#N/A,#N/A,FALSE,"WCPERFORM (2)";#N/A,#N/A,FALSE,"WCPERFORM (4)";#N/A,#N/A,FALSE,"PLANCORPCASHFLOW";#N/A,#N/A,FALSE,"CASHFLOW BY QTR";#N/A,#N/A,FALSE,"CASHFLOWW_C (2)";#N/A,#N/A,FALSE,"CF_W_C BY QTR";#N/A,#N/A,FALSE,"CAPITAL EXPENDITURES (2)";#N/A,#N/A,FALSE,"BALANCE SHEET";#N/A,#N/A,FALSE,"97RISKS&amp;OPP (3)";#N/A,#N/A,FALSE,"KeyActions (2)";#N/A,#N/A,FALSE,"Cover (5)";#N/A,#N/A,FALSE,"RDMAP FCST VOL";#N/A,#N/A,FALSE,"Cover (4)";#N/A,#N/A,FALSE,"RDMAPVOLUME";#N/A,#N/A,FALSE,"RDMAPPRICEMIX";#N/A,#N/A,FALSE,"RDMAPMGNRECON";#N/A,#N/A,FALSE,"RDMAPPRODUC";#N/A,#N/A,FALSE,"RDMAPFXPARITY";#N/A,#N/A,FALSE,"RDMAPINFLM";#N/A,#N/A,FALSE,"RDMAPINFLP";#N/A,#N/A,FALSE,"RDMAPOTHER"}</definedName>
    <definedName name="dddd" hidden="1">{#N/A,#N/A,FALSE,"Cover";#N/A,#N/A,FALSE,"Cover (2)";#N/A,#N/A,FALSE,"P&amp;LSUM";#N/A,#N/A,FALSE,"P&amp;L BY SEG.";#N/A,#N/A,FALSE,"ProdLine95LE";#N/A,#N/A,FALSE,"ACT_GROSSMARGIN";#N/A,#N/A,FALSE,"SG&amp;A $";#N/A,#N/A,FALSE,"OID";#N/A,#N/A,FALSE,"ROADMAP (2)";#N/A,#N/A,FALSE,"WCPERFORM";#N/A,#N/A,FALSE,"WCPERFORM (3)";#N/A,#N/A,FALSE,"CORPCASHFLOW";#N/A,#N/A,FALSE,"CASHFLOWFWC";#N/A,#N/A,FALSE,"CAPITAL EXPENDITURES";#N/A,#N/A,FALSE,"96RISKS&amp;OPP";#N/A,#N/A,FALSE,"KeyActions";#N/A,#N/A,FALSE,"Cover (3)";#N/A,#N/A,FALSE,"GROWTH";#N/A,#N/A,FALSE,"HVACMARASSUM";#N/A,#N/A,FALSE,"MARKETANA95";#N/A,#N/A,FALSE,"MARKETANA96F";#N/A,#N/A,FALSE,"MARKETANA97P";#N/A,#N/A,FALSE,"SRVMARKETASSUM";#N/A,#N/A,FALSE,"95COMPETSOM%";#N/A,#N/A,FALSE,"96COMPETSOM% ";#N/A,#N/A,FALSE,"97COMPETSOM%";#N/A,#N/A,FALSE,"SOM%COMPARE";#N/A,#N/A,FALSE,"MARKETEVOL";#N/A,#N/A,FALSE,"COMPMKTACTION";#N/A,#N/A,FALSE,"SECTION 2";#N/A,#N/A,FALSE,"MACROECONOMIC";#N/A,#N/A,FALSE,"ROADMAP";#N/A,#N/A,FALSE,"HVACSALESEXT";#N/A,#N/A,FALSE,"EXTPRICINGASSUM";#N/A,#N/A,FALSE,"HVACSALESINT";#N/A,#N/A,FALSE,"INTPRICINGASSUM";#N/A,#N/A,FALSE,"EXTHVACSTDGROS";#N/A,#N/A,FALSE,"INTHVACSTDGROS";#N/A,#N/A,FALSE,"EXTHVACSTDGROS($)";#N/A,#N/A,FALSE,"INTHVACSTDGROS($)";#N/A,#N/A,FALSE,"MANUFACTURING EXPENSES";#N/A,#N/A,FALSE,"ACTGROSMAGANA(2)";#N/A,#N/A,FALSE,"SG&amp;A $ (2)";#N/A,#N/A,FALSE,"R&amp;DPROJECTS";#N/A,#N/A,FALSE,"OID (2)";#N/A,#N/A,FALSE,"P&amp;LSUM (3)";#N/A,#N/A,FALSE,"P&amp;L BY SEG. (2)";#N/A,#N/A,FALSE,"ProdLine97P ";#N/A,#N/A,FALSE,"HEADCOUNT-YTD";#N/A,#N/A,FALSE,"HEADCOUNT-BOY";#N/A,#N/A,FALSE,"HEADCOUNT-PLAN";#N/A,#N/A,FALSE,"WCPERFORM (2)";#N/A,#N/A,FALSE,"WCPERFORM (4)";#N/A,#N/A,FALSE,"PLANCORPCASHFLOW";#N/A,#N/A,FALSE,"CASHFLOW BY QTR";#N/A,#N/A,FALSE,"CASHFLOWW_C (2)";#N/A,#N/A,FALSE,"CF_W_C BY QTR";#N/A,#N/A,FALSE,"CAPITAL EXPENDITURES (2)";#N/A,#N/A,FALSE,"BALANCE SHEET";#N/A,#N/A,FALSE,"97RISKS&amp;OPP (3)";#N/A,#N/A,FALSE,"KeyActions (2)";#N/A,#N/A,FALSE,"Cover (5)";#N/A,#N/A,FALSE,"RDMAP FCST VOL";#N/A,#N/A,FALSE,"Cover (4)";#N/A,#N/A,FALSE,"RDMAPVOLUME";#N/A,#N/A,FALSE,"RDMAPPRICEMIX";#N/A,#N/A,FALSE,"RDMAPMGNRECON";#N/A,#N/A,FALSE,"RDMAPPRODUC";#N/A,#N/A,FALSE,"RDMAPFXPARITY";#N/A,#N/A,FALSE,"RDMAPINFLM";#N/A,#N/A,FALSE,"RDMAPINFLP";#N/A,#N/A,FALSE,"RDMAPOTHER"}</definedName>
    <definedName name="dddf">#REF!</definedName>
    <definedName name="DDS" localSheetId="0" hidden="1">{#N/A,#N/A,FALSE,"을지 (4)";#N/A,#N/A,FALSE,"을지 (5)";#N/A,#N/A,FALSE,"을지 (6)"}</definedName>
    <definedName name="DDS" hidden="1">{#N/A,#N/A,FALSE,"을지 (4)";#N/A,#N/A,FALSE,"을지 (5)";#N/A,#N/A,FALSE,"을지 (6)"}</definedName>
    <definedName name="DDSDS" localSheetId="0" hidden="1">{#N/A,#N/A,FALSE,"UNIT";#N/A,#N/A,FALSE,"UNIT";#N/A,#N/A,FALSE,"계정"}</definedName>
    <definedName name="DDSDS" hidden="1">{#N/A,#N/A,FALSE,"UNIT";#N/A,#N/A,FALSE,"UNIT";#N/A,#N/A,FALSE,"계정"}</definedName>
    <definedName name="de" localSheetId="0" hidden="1">{#N/A,#N/A,FALSE,"SUMMARY REPORT"}</definedName>
    <definedName name="de" hidden="1">{#N/A,#N/A,FALSE,"SUMMARY REPORT"}</definedName>
    <definedName name="dede" localSheetId="0" hidden="1">{#N/A,#N/A,FALSE,"Hoja10";#N/A,#N/A,FALSE,"Hoja9";#N/A,#N/A,FALSE,"Hoja8";#N/A,#N/A,FALSE,"Hoja7";#N/A,#N/A,FALSE,"Hoja6";#N/A,#N/A,FALSE,"Hoja5";#N/A,#N/A,FALSE,"Hoja4";#N/A,#N/A,FALSE,"Hoja2";#N/A,#N/A,FALSE,"Hoja3";#N/A,#N/A,FALSE,"HOJA1";#N/A,#N/A,FALSE,"CashFlow";#N/A,#N/A,FALSE,"FinStmts"}</definedName>
    <definedName name="dede" hidden="1">{#N/A,#N/A,FALSE,"Hoja10";#N/A,#N/A,FALSE,"Hoja9";#N/A,#N/A,FALSE,"Hoja8";#N/A,#N/A,FALSE,"Hoja7";#N/A,#N/A,FALSE,"Hoja6";#N/A,#N/A,FALSE,"Hoja5";#N/A,#N/A,FALSE,"Hoja4";#N/A,#N/A,FALSE,"Hoja2";#N/A,#N/A,FALSE,"Hoja3";#N/A,#N/A,FALSE,"HOJA1";#N/A,#N/A,FALSE,"CashFlow";#N/A,#N/A,FALSE,"FinStmts"}</definedName>
    <definedName name="def" localSheetId="0" hidden="1">{#N/A,#N/A,FALSE,"SUMMARY REPORT"}</definedName>
    <definedName name="def" hidden="1">{#N/A,#N/A,FALSE,"SUMMARY REPORT"}</definedName>
    <definedName name="DEFREV">[11]DataYTD!$B$356</definedName>
    <definedName name="DEFRVLT">[11]DataYTD!$B$365</definedName>
    <definedName name="del" localSheetId="0" hidden="1">{#N/A,#N/A,FALSE,"196126-0690";#N/A,#N/A,FALSE,"196126-0690";#N/A,#N/A,FALSE,"1961165-0201"}</definedName>
    <definedName name="del" hidden="1">{#N/A,#N/A,FALSE,"196126-0690";#N/A,#N/A,FALSE,"196126-0690";#N/A,#N/A,FALSE,"1961165-0201"}</definedName>
    <definedName name="DESIGN1">#REF!</definedName>
    <definedName name="DESIGN2">#REF!</definedName>
    <definedName name="DESIGNERS">#REF!</definedName>
    <definedName name="dew" localSheetId="0" hidden="1">{#N/A,#N/A,FALSE,"SUMMARY REPORT"}</definedName>
    <definedName name="dew" hidden="1">{#N/A,#N/A,FALSE,"SUMMARY REPORT"}</definedName>
    <definedName name="DF" localSheetId="0" hidden="1">{#N/A,#N/A,FALSE,"196126-0690";#N/A,#N/A,FALSE,"196126-0690";#N/A,#N/A,FALSE,"1961165-0201"}</definedName>
    <definedName name="DF" hidden="1">{#N/A,#N/A,FALSE,"196126-0690";#N/A,#N/A,FALSE,"196126-0690";#N/A,#N/A,FALSE,"1961165-0201"}</definedName>
    <definedName name="DFADF" localSheetId="0" hidden="1">{"Exhibit 1",#N/A,FALSE,"Rev Exp to 6";"Exhibit 2",#N/A,FALSE,"Rev Exp to 6";#N/A,#N/A,FALSE,"DCF Rev Exp to 6";#N/A,#N/A,FALSE,"Taxdepr rev exp to 6";"Exhibit 1",#N/A,FALSE,"Rev Exp flat 5";"Exhibit 2",#N/A,FALSE,"Rev Exp flat 5";#N/A,#N/A,FALSE,"DCF Rev Exp flat 5";#N/A,#N/A,FALSE,"Taxdepr rev exp flat 5";"Exhibit 1",#N/A,FALSE,"Base to 6";"Exhibit 2",#N/A,FALSE,"Base to 6";#N/A,#N/A,FALSE,"DCF Base to 6";#N/A,#N/A,FALSE,"Taxdepr base to 6";"Exhibit 1",#N/A,FALSE,"Base flat 5";"Exhibit 2",#N/A,FALSE,"Base flat 5";#N/A,#N/A,FALSE,"DCF Base flat 5";#N/A,#N/A,FALSE,"Taxdepr base flat 5";#N/A,#N/A,FALSE,"TM margins"}</definedName>
    <definedName name="DFADF" hidden="1">{"Exhibit 1",#N/A,FALSE,"Rev Exp to 6";"Exhibit 2",#N/A,FALSE,"Rev Exp to 6";#N/A,#N/A,FALSE,"DCF Rev Exp to 6";#N/A,#N/A,FALSE,"Taxdepr rev exp to 6";"Exhibit 1",#N/A,FALSE,"Rev Exp flat 5";"Exhibit 2",#N/A,FALSE,"Rev Exp flat 5";#N/A,#N/A,FALSE,"DCF Rev Exp flat 5";#N/A,#N/A,FALSE,"Taxdepr rev exp flat 5";"Exhibit 1",#N/A,FALSE,"Base to 6";"Exhibit 2",#N/A,FALSE,"Base to 6";#N/A,#N/A,FALSE,"DCF Base to 6";#N/A,#N/A,FALSE,"Taxdepr base to 6";"Exhibit 1",#N/A,FALSE,"Base flat 5";"Exhibit 2",#N/A,FALSE,"Base flat 5";#N/A,#N/A,FALSE,"DCF Base flat 5";#N/A,#N/A,FALSE,"Taxdepr base flat 5";#N/A,#N/A,FALSE,"TM margins"}</definedName>
    <definedName name="dfdfdfdf" localSheetId="0" hidden="1">{#N/A,#N/A,FALSE,"Cover";#N/A,#N/A,FALSE,"Cover (2)";#N/A,#N/A,FALSE,"P&amp;LSUM";#N/A,#N/A,FALSE,"P&amp;L BY SEG.";#N/A,#N/A,FALSE,"ProdLine95LE";#N/A,#N/A,FALSE,"ACT_GROSSMARGIN";#N/A,#N/A,FALSE,"SG&amp;A $";#N/A,#N/A,FALSE,"OID";#N/A,#N/A,FALSE,"ROADMAP (2)";#N/A,#N/A,FALSE,"WCPERFORM";#N/A,#N/A,FALSE,"WCPERFORM (3)";#N/A,#N/A,FALSE,"CORPCASHFLOW";#N/A,#N/A,FALSE,"CASHFLOWFWC";#N/A,#N/A,FALSE,"CAPITAL EXPENDITURES";#N/A,#N/A,FALSE,"96RISKS&amp;OPP";#N/A,#N/A,FALSE,"KeyActions";#N/A,#N/A,FALSE,"Cover (3)";#N/A,#N/A,FALSE,"GROWTH";#N/A,#N/A,FALSE,"HVACMARASSUM";#N/A,#N/A,FALSE,"MARKETANA95";#N/A,#N/A,FALSE,"MARKETANA96F";#N/A,#N/A,FALSE,"MARKETANA97P";#N/A,#N/A,FALSE,"SRVMARKETASSUM";#N/A,#N/A,FALSE,"95COMPETSOM%";#N/A,#N/A,FALSE,"96COMPETSOM% ";#N/A,#N/A,FALSE,"97COMPETSOM%";#N/A,#N/A,FALSE,"SOM%COMPARE";#N/A,#N/A,FALSE,"MARKETEVOL";#N/A,#N/A,FALSE,"COMPMKTACTION";#N/A,#N/A,FALSE,"SECTION 2";#N/A,#N/A,FALSE,"MACROECONOMIC";#N/A,#N/A,FALSE,"ROADMAP";#N/A,#N/A,FALSE,"HVACSALESEXT";#N/A,#N/A,FALSE,"EXTPRICINGASSUM";#N/A,#N/A,FALSE,"HVACSALESINT";#N/A,#N/A,FALSE,"INTPRICINGASSUM";#N/A,#N/A,FALSE,"EXTHVACSTDGROS";#N/A,#N/A,FALSE,"INTHVACSTDGROS";#N/A,#N/A,FALSE,"EXTHVACSTDGROS($)";#N/A,#N/A,FALSE,"INTHVACSTDGROS($)";#N/A,#N/A,FALSE,"MANUFACTURING EXPENSES";#N/A,#N/A,FALSE,"ACTGROSMAGANA(2)";#N/A,#N/A,FALSE,"SG&amp;A $ (2)";#N/A,#N/A,FALSE,"R&amp;DPROJECTS";#N/A,#N/A,FALSE,"OID (2)";#N/A,#N/A,FALSE,"P&amp;LSUM (3)";#N/A,#N/A,FALSE,"P&amp;L BY SEG. (2)";#N/A,#N/A,FALSE,"ProdLine97P ";#N/A,#N/A,FALSE,"HEADCOUNT-YTD";#N/A,#N/A,FALSE,"HEADCOUNT-BOY";#N/A,#N/A,FALSE,"HEADCOUNT-PLAN";#N/A,#N/A,FALSE,"WCPERFORM (2)";#N/A,#N/A,FALSE,"WCPERFORM (4)";#N/A,#N/A,FALSE,"PLANCORPCASHFLOW";#N/A,#N/A,FALSE,"CASHFLOW BY QTR";#N/A,#N/A,FALSE,"CASHFLOWW_C (2)";#N/A,#N/A,FALSE,"CF_W_C BY QTR";#N/A,#N/A,FALSE,"CAPITAL EXPENDITURES (2)";#N/A,#N/A,FALSE,"BALANCE SHEET";#N/A,#N/A,FALSE,"97RISKS&amp;OPP (3)";#N/A,#N/A,FALSE,"KeyActions (2)";#N/A,#N/A,FALSE,"Cover (5)";#N/A,#N/A,FALSE,"RDMAP FCST VOL";#N/A,#N/A,FALSE,"Cover (4)";#N/A,#N/A,FALSE,"RDMAPVOLUME";#N/A,#N/A,FALSE,"RDMAPPRICEMIX";#N/A,#N/A,FALSE,"RDMAPMGNRECON";#N/A,#N/A,FALSE,"RDMAPPRODUC";#N/A,#N/A,FALSE,"RDMAPFXPARITY";#N/A,#N/A,FALSE,"RDMAPINFLM";#N/A,#N/A,FALSE,"RDMAPINFLP";#N/A,#N/A,FALSE,"RDMAPOTHER"}</definedName>
    <definedName name="dfdfdfdf" hidden="1">{#N/A,#N/A,FALSE,"Cover";#N/A,#N/A,FALSE,"Cover (2)";#N/A,#N/A,FALSE,"P&amp;LSUM";#N/A,#N/A,FALSE,"P&amp;L BY SEG.";#N/A,#N/A,FALSE,"ProdLine95LE";#N/A,#N/A,FALSE,"ACT_GROSSMARGIN";#N/A,#N/A,FALSE,"SG&amp;A $";#N/A,#N/A,FALSE,"OID";#N/A,#N/A,FALSE,"ROADMAP (2)";#N/A,#N/A,FALSE,"WCPERFORM";#N/A,#N/A,FALSE,"WCPERFORM (3)";#N/A,#N/A,FALSE,"CORPCASHFLOW";#N/A,#N/A,FALSE,"CASHFLOWFWC";#N/A,#N/A,FALSE,"CAPITAL EXPENDITURES";#N/A,#N/A,FALSE,"96RISKS&amp;OPP";#N/A,#N/A,FALSE,"KeyActions";#N/A,#N/A,FALSE,"Cover (3)";#N/A,#N/A,FALSE,"GROWTH";#N/A,#N/A,FALSE,"HVACMARASSUM";#N/A,#N/A,FALSE,"MARKETANA95";#N/A,#N/A,FALSE,"MARKETANA96F";#N/A,#N/A,FALSE,"MARKETANA97P";#N/A,#N/A,FALSE,"SRVMARKETASSUM";#N/A,#N/A,FALSE,"95COMPETSOM%";#N/A,#N/A,FALSE,"96COMPETSOM% ";#N/A,#N/A,FALSE,"97COMPETSOM%";#N/A,#N/A,FALSE,"SOM%COMPARE";#N/A,#N/A,FALSE,"MARKETEVOL";#N/A,#N/A,FALSE,"COMPMKTACTION";#N/A,#N/A,FALSE,"SECTION 2";#N/A,#N/A,FALSE,"MACROECONOMIC";#N/A,#N/A,FALSE,"ROADMAP";#N/A,#N/A,FALSE,"HVACSALESEXT";#N/A,#N/A,FALSE,"EXTPRICINGASSUM";#N/A,#N/A,FALSE,"HVACSALESINT";#N/A,#N/A,FALSE,"INTPRICINGASSUM";#N/A,#N/A,FALSE,"EXTHVACSTDGROS";#N/A,#N/A,FALSE,"INTHVACSTDGROS";#N/A,#N/A,FALSE,"EXTHVACSTDGROS($)";#N/A,#N/A,FALSE,"INTHVACSTDGROS($)";#N/A,#N/A,FALSE,"MANUFACTURING EXPENSES";#N/A,#N/A,FALSE,"ACTGROSMAGANA(2)";#N/A,#N/A,FALSE,"SG&amp;A $ (2)";#N/A,#N/A,FALSE,"R&amp;DPROJECTS";#N/A,#N/A,FALSE,"OID (2)";#N/A,#N/A,FALSE,"P&amp;LSUM (3)";#N/A,#N/A,FALSE,"P&amp;L BY SEG. (2)";#N/A,#N/A,FALSE,"ProdLine97P ";#N/A,#N/A,FALSE,"HEADCOUNT-YTD";#N/A,#N/A,FALSE,"HEADCOUNT-BOY";#N/A,#N/A,FALSE,"HEADCOUNT-PLAN";#N/A,#N/A,FALSE,"WCPERFORM (2)";#N/A,#N/A,FALSE,"WCPERFORM (4)";#N/A,#N/A,FALSE,"PLANCORPCASHFLOW";#N/A,#N/A,FALSE,"CASHFLOW BY QTR";#N/A,#N/A,FALSE,"CASHFLOWW_C (2)";#N/A,#N/A,FALSE,"CF_W_C BY QTR";#N/A,#N/A,FALSE,"CAPITAL EXPENDITURES (2)";#N/A,#N/A,FALSE,"BALANCE SHEET";#N/A,#N/A,FALSE,"97RISKS&amp;OPP (3)";#N/A,#N/A,FALSE,"KeyActions (2)";#N/A,#N/A,FALSE,"Cover (5)";#N/A,#N/A,FALSE,"RDMAP FCST VOL";#N/A,#N/A,FALSE,"Cover (4)";#N/A,#N/A,FALSE,"RDMAPVOLUME";#N/A,#N/A,FALSE,"RDMAPPRICEMIX";#N/A,#N/A,FALSE,"RDMAPMGNRECON";#N/A,#N/A,FALSE,"RDMAPPRODUC";#N/A,#N/A,FALSE,"RDMAPFXPARITY";#N/A,#N/A,FALSE,"RDMAPINFLM";#N/A,#N/A,FALSE,"RDMAPINFLP";#N/A,#N/A,FALSE,"RDMAPOTHER"}</definedName>
    <definedName name="DFFDS" localSheetId="0" hidden="1">{#N/A,#N/A,FALSE,"UNIT";#N/A,#N/A,FALSE,"UNIT";#N/A,#N/A,FALSE,"계정"}</definedName>
    <definedName name="DFFDS" hidden="1">{#N/A,#N/A,FALSE,"UNIT";#N/A,#N/A,FALSE,"UNIT";#N/A,#N/A,FALSE,"계정"}</definedName>
    <definedName name="dfgh" localSheetId="0" hidden="1">{#N/A,#N/A,FALSE,"196126-0690";#N/A,#N/A,FALSE,"196126-0690";#N/A,#N/A,FALSE,"1961165-0201"}</definedName>
    <definedName name="dfgh" hidden="1">{#N/A,#N/A,FALSE,"196126-0690";#N/A,#N/A,FALSE,"196126-0690";#N/A,#N/A,FALSE,"1961165-0201"}</definedName>
    <definedName name="dfsd" localSheetId="0" hidden="1">{#N/A,#N/A,FALSE,"Cover";#N/A,#N/A,FALSE,"Cover (2)";#N/A,#N/A,FALSE,"P&amp;LSUM";#N/A,#N/A,FALSE,"P&amp;L BY SEG.";#N/A,#N/A,FALSE,"ProdLine95LE";#N/A,#N/A,FALSE,"ACT_GROSSMARGIN";#N/A,#N/A,FALSE,"SG&amp;A $";#N/A,#N/A,FALSE,"OID";#N/A,#N/A,FALSE,"ROADMAP (2)";#N/A,#N/A,FALSE,"WCPERFORM";#N/A,#N/A,FALSE,"WCPERFORM (3)";#N/A,#N/A,FALSE,"CORPCASHFLOW";#N/A,#N/A,FALSE,"CASHFLOWFWC";#N/A,#N/A,FALSE,"CAPITAL EXPENDITURES";#N/A,#N/A,FALSE,"96RISKS&amp;OPP";#N/A,#N/A,FALSE,"KeyActions";#N/A,#N/A,FALSE,"Cover (3)";#N/A,#N/A,FALSE,"GROWTH";#N/A,#N/A,FALSE,"HVACMARASSUM";#N/A,#N/A,FALSE,"MARKETANA95";#N/A,#N/A,FALSE,"MARKETANA96F";#N/A,#N/A,FALSE,"MARKETANA97P";#N/A,#N/A,FALSE,"SRVMARKETASSUM";#N/A,#N/A,FALSE,"95COMPETSOM%";#N/A,#N/A,FALSE,"96COMPETSOM% ";#N/A,#N/A,FALSE,"97COMPETSOM%";#N/A,#N/A,FALSE,"SOM%COMPARE";#N/A,#N/A,FALSE,"MARKETEVOL";#N/A,#N/A,FALSE,"COMPMKTACTION";#N/A,#N/A,FALSE,"SECTION 2";#N/A,#N/A,FALSE,"MACROECONOMIC";#N/A,#N/A,FALSE,"ROADMAP";#N/A,#N/A,FALSE,"HVACSALESEXT";#N/A,#N/A,FALSE,"EXTPRICINGASSUM";#N/A,#N/A,FALSE,"HVACSALESINT";#N/A,#N/A,FALSE,"INTPRICINGASSUM";#N/A,#N/A,FALSE,"EXTHVACSTDGROS";#N/A,#N/A,FALSE,"INTHVACSTDGROS";#N/A,#N/A,FALSE,"EXTHVACSTDGROS($)";#N/A,#N/A,FALSE,"INTHVACSTDGROS($)";#N/A,#N/A,FALSE,"MANUFACTURING EXPENSES";#N/A,#N/A,FALSE,"ACTGROSMAGANA(2)";#N/A,#N/A,FALSE,"SG&amp;A $ (2)";#N/A,#N/A,FALSE,"R&amp;DPROJECTS";#N/A,#N/A,FALSE,"OID (2)";#N/A,#N/A,FALSE,"P&amp;LSUM (3)";#N/A,#N/A,FALSE,"P&amp;L BY SEG. (2)";#N/A,#N/A,FALSE,"ProdLine97P ";#N/A,#N/A,FALSE,"HEADCOUNT-YTD";#N/A,#N/A,FALSE,"HEADCOUNT-BOY";#N/A,#N/A,FALSE,"HEADCOUNT-PLAN";#N/A,#N/A,FALSE,"WCPERFORM (2)";#N/A,#N/A,FALSE,"WCPERFORM (4)";#N/A,#N/A,FALSE,"PLANCORPCASHFLOW";#N/A,#N/A,FALSE,"CASHFLOW BY QTR";#N/A,#N/A,FALSE,"CASHFLOWW_C (2)";#N/A,#N/A,FALSE,"CF_W_C BY QTR";#N/A,#N/A,FALSE,"CAPITAL EXPENDITURES (2)";#N/A,#N/A,FALSE,"BALANCE SHEET";#N/A,#N/A,FALSE,"97RISKS&amp;OPP (3)";#N/A,#N/A,FALSE,"KeyActions (2)";#N/A,#N/A,FALSE,"Cover (5)";#N/A,#N/A,FALSE,"RDMAP FCST VOL";#N/A,#N/A,FALSE,"Cover (4)";#N/A,#N/A,FALSE,"RDMAPVOLUME";#N/A,#N/A,FALSE,"RDMAPPRICEMIX";#N/A,#N/A,FALSE,"RDMAPMGNRECON";#N/A,#N/A,FALSE,"RDMAPPRODUC";#N/A,#N/A,FALSE,"RDMAPFXPARITY";#N/A,#N/A,FALSE,"RDMAPINFLM";#N/A,#N/A,FALSE,"RDMAPINFLP";#N/A,#N/A,FALSE,"RDMAPOTHER"}</definedName>
    <definedName name="dfsd" hidden="1">{#N/A,#N/A,FALSE,"Cover";#N/A,#N/A,FALSE,"Cover (2)";#N/A,#N/A,FALSE,"P&amp;LSUM";#N/A,#N/A,FALSE,"P&amp;L BY SEG.";#N/A,#N/A,FALSE,"ProdLine95LE";#N/A,#N/A,FALSE,"ACT_GROSSMARGIN";#N/A,#N/A,FALSE,"SG&amp;A $";#N/A,#N/A,FALSE,"OID";#N/A,#N/A,FALSE,"ROADMAP (2)";#N/A,#N/A,FALSE,"WCPERFORM";#N/A,#N/A,FALSE,"WCPERFORM (3)";#N/A,#N/A,FALSE,"CORPCASHFLOW";#N/A,#N/A,FALSE,"CASHFLOWFWC";#N/A,#N/A,FALSE,"CAPITAL EXPENDITURES";#N/A,#N/A,FALSE,"96RISKS&amp;OPP";#N/A,#N/A,FALSE,"KeyActions";#N/A,#N/A,FALSE,"Cover (3)";#N/A,#N/A,FALSE,"GROWTH";#N/A,#N/A,FALSE,"HVACMARASSUM";#N/A,#N/A,FALSE,"MARKETANA95";#N/A,#N/A,FALSE,"MARKETANA96F";#N/A,#N/A,FALSE,"MARKETANA97P";#N/A,#N/A,FALSE,"SRVMARKETASSUM";#N/A,#N/A,FALSE,"95COMPETSOM%";#N/A,#N/A,FALSE,"96COMPETSOM% ";#N/A,#N/A,FALSE,"97COMPETSOM%";#N/A,#N/A,FALSE,"SOM%COMPARE";#N/A,#N/A,FALSE,"MARKETEVOL";#N/A,#N/A,FALSE,"COMPMKTACTION";#N/A,#N/A,FALSE,"SECTION 2";#N/A,#N/A,FALSE,"MACROECONOMIC";#N/A,#N/A,FALSE,"ROADMAP";#N/A,#N/A,FALSE,"HVACSALESEXT";#N/A,#N/A,FALSE,"EXTPRICINGASSUM";#N/A,#N/A,FALSE,"HVACSALESINT";#N/A,#N/A,FALSE,"INTPRICINGASSUM";#N/A,#N/A,FALSE,"EXTHVACSTDGROS";#N/A,#N/A,FALSE,"INTHVACSTDGROS";#N/A,#N/A,FALSE,"EXTHVACSTDGROS($)";#N/A,#N/A,FALSE,"INTHVACSTDGROS($)";#N/A,#N/A,FALSE,"MANUFACTURING EXPENSES";#N/A,#N/A,FALSE,"ACTGROSMAGANA(2)";#N/A,#N/A,FALSE,"SG&amp;A $ (2)";#N/A,#N/A,FALSE,"R&amp;DPROJECTS";#N/A,#N/A,FALSE,"OID (2)";#N/A,#N/A,FALSE,"P&amp;LSUM (3)";#N/A,#N/A,FALSE,"P&amp;L BY SEG. (2)";#N/A,#N/A,FALSE,"ProdLine97P ";#N/A,#N/A,FALSE,"HEADCOUNT-YTD";#N/A,#N/A,FALSE,"HEADCOUNT-BOY";#N/A,#N/A,FALSE,"HEADCOUNT-PLAN";#N/A,#N/A,FALSE,"WCPERFORM (2)";#N/A,#N/A,FALSE,"WCPERFORM (4)";#N/A,#N/A,FALSE,"PLANCORPCASHFLOW";#N/A,#N/A,FALSE,"CASHFLOW BY QTR";#N/A,#N/A,FALSE,"CASHFLOWW_C (2)";#N/A,#N/A,FALSE,"CF_W_C BY QTR";#N/A,#N/A,FALSE,"CAPITAL EXPENDITURES (2)";#N/A,#N/A,FALSE,"BALANCE SHEET";#N/A,#N/A,FALSE,"97RISKS&amp;OPP (3)";#N/A,#N/A,FALSE,"KeyActions (2)";#N/A,#N/A,FALSE,"Cover (5)";#N/A,#N/A,FALSE,"RDMAP FCST VOL";#N/A,#N/A,FALSE,"Cover (4)";#N/A,#N/A,FALSE,"RDMAPVOLUME";#N/A,#N/A,FALSE,"RDMAPPRICEMIX";#N/A,#N/A,FALSE,"RDMAPMGNRECON";#N/A,#N/A,FALSE,"RDMAPPRODUC";#N/A,#N/A,FALSE,"RDMAPFXPARITY";#N/A,#N/A,FALSE,"RDMAPINFLM";#N/A,#N/A,FALSE,"RDMAPINFLP";#N/A,#N/A,FALSE,"RDMAPOTHER"}</definedName>
    <definedName name="DFSDFS" hidden="1">'[1]CD-실적'!#REF!</definedName>
    <definedName name="dgfds" localSheetId="0" hidden="1">{#N/A,#N/A,FALSE,"Hoja10";#N/A,#N/A,FALSE,"Hoja9";#N/A,#N/A,FALSE,"Hoja8";#N/A,#N/A,FALSE,"Hoja7";#N/A,#N/A,FALSE,"Hoja6";#N/A,#N/A,FALSE,"Hoja5";#N/A,#N/A,FALSE,"Hoja4";#N/A,#N/A,FALSE,"Hoja2";#N/A,#N/A,FALSE,"Hoja3";#N/A,#N/A,FALSE,"HOJA1";#N/A,#N/A,FALSE,"CashFlow";#N/A,#N/A,FALSE,"FinStmts"}</definedName>
    <definedName name="dgfds" hidden="1">{#N/A,#N/A,FALSE,"Hoja10";#N/A,#N/A,FALSE,"Hoja9";#N/A,#N/A,FALSE,"Hoja8";#N/A,#N/A,FALSE,"Hoja7";#N/A,#N/A,FALSE,"Hoja6";#N/A,#N/A,FALSE,"Hoja5";#N/A,#N/A,FALSE,"Hoja4";#N/A,#N/A,FALSE,"Hoja2";#N/A,#N/A,FALSE,"Hoja3";#N/A,#N/A,FALSE,"HOJA1";#N/A,#N/A,FALSE,"CashFlow";#N/A,#N/A,FALSE,"FinStmts"}</definedName>
    <definedName name="DGHK" localSheetId="0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DGHK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Discount" hidden="1">#REF!</definedName>
    <definedName name="display_area_2" hidden="1">#REF!</definedName>
    <definedName name="DJ" hidden="1">#REF!</definedName>
    <definedName name="DLRHD" localSheetId="0" hidden="1">{#N/A,#N/A,FALSE,"KMC최종회의(7월) 자료"}</definedName>
    <definedName name="DLRHD" hidden="1">{#N/A,#N/A,FALSE,"KMC최종회의(7월) 자료"}</definedName>
    <definedName name="drt" localSheetId="0" hidden="1">{#N/A,#N/A,FALSE,"SUMMARY REPORT"}</definedName>
    <definedName name="drt" hidden="1">{#N/A,#N/A,FALSE,"SUMMARY REPORT"}</definedName>
    <definedName name="dry" localSheetId="0" hidden="1">{#N/A,#N/A,FALSE,"SUMMARY REPORT"}</definedName>
    <definedName name="dry" hidden="1">{#N/A,#N/A,FALSE,"SUMMARY REPORT"}</definedName>
    <definedName name="DS" localSheetId="0" hidden="1">{#N/A,#N/A,FALSE,"초도품";#N/A,#N/A,FALSE,"초도품 (2)";#N/A,#N/A,FALSE,"초도품 (3)";#N/A,#N/A,FALSE,"초도품 (4)";#N/A,#N/A,FALSE,"초도품 (5)";#N/A,#N/A,FALSE,"초도품 (6)"}</definedName>
    <definedName name="DS" hidden="1">{#N/A,#N/A,FALSE,"초도품";#N/A,#N/A,FALSE,"초도품 (2)";#N/A,#N/A,FALSE,"초도품 (3)";#N/A,#N/A,FALSE,"초도품 (4)";#N/A,#N/A,FALSE,"초도품 (5)";#N/A,#N/A,FALSE,"초도품 (6)"}</definedName>
    <definedName name="DSA" localSheetId="0" hidden="1">{#N/A,#N/A,FALSE,"을지 (4)";#N/A,#N/A,FALSE,"을지 (5)";#N/A,#N/A,FALSE,"을지 (6)"}</definedName>
    <definedName name="DSA" hidden="1">{#N/A,#N/A,FALSE,"을지 (4)";#N/A,#N/A,FALSE,"을지 (5)";#N/A,#N/A,FALSE,"을지 (6)"}</definedName>
    <definedName name="DSDF" localSheetId="0" hidden="1">{#N/A,#N/A,FALSE,"UNIT";#N/A,#N/A,FALSE,"UNIT";#N/A,#N/A,FALSE,"계정"}</definedName>
    <definedName name="DSDF" hidden="1">{#N/A,#N/A,FALSE,"UNIT";#N/A,#N/A,FALSE,"UNIT";#N/A,#N/A,FALSE,"계정"}</definedName>
    <definedName name="dsds" localSheetId="0" hidden="1">{#N/A,#N/A,FALSE,"Hoja10";#N/A,#N/A,FALSE,"Hoja9";#N/A,#N/A,FALSE,"Hoja8";#N/A,#N/A,FALSE,"Hoja7";#N/A,#N/A,FALSE,"Hoja6";#N/A,#N/A,FALSE,"Hoja5";#N/A,#N/A,FALSE,"Hoja4";#N/A,#N/A,FALSE,"Hoja2";#N/A,#N/A,FALSE,"Hoja3";#N/A,#N/A,FALSE,"HOJA1";#N/A,#N/A,FALSE,"CashFlow";#N/A,#N/A,FALSE,"FinStmts"}</definedName>
    <definedName name="dsds" hidden="1">{#N/A,#N/A,FALSE,"Hoja10";#N/A,#N/A,FALSE,"Hoja9";#N/A,#N/A,FALSE,"Hoja8";#N/A,#N/A,FALSE,"Hoja7";#N/A,#N/A,FALSE,"Hoja6";#N/A,#N/A,FALSE,"Hoja5";#N/A,#N/A,FALSE,"Hoja4";#N/A,#N/A,FALSE,"Hoja2";#N/A,#N/A,FALSE,"Hoja3";#N/A,#N/A,FALSE,"HOJA1";#N/A,#N/A,FALSE,"CashFlow";#N/A,#N/A,FALSE,"FinStmts"}</definedName>
    <definedName name="DSFSDF" localSheetId="0" hidden="1">{#N/A,#N/A,FALSE,"UNIT";#N/A,#N/A,FALSE,"UNIT";#N/A,#N/A,FALSE,"계정"}</definedName>
    <definedName name="DSFSDF" hidden="1">{#N/A,#N/A,FALSE,"UNIT";#N/A,#N/A,FALSE,"UNIT";#N/A,#N/A,FALSE,"계정"}</definedName>
    <definedName name="dsg" localSheetId="0" hidden="1">{#N/A,#N/A,FALSE,"SUMMARY REPORT"}</definedName>
    <definedName name="dsg" hidden="1">{#N/A,#N/A,FALSE,"SUMMARY REPORT"}</definedName>
    <definedName name="dwe" localSheetId="0" hidden="1">{#N/A,#N/A,FALSE,"SUMMARY REPORT"}</definedName>
    <definedName name="dwe" hidden="1">{#N/A,#N/A,FALSE,"SUMMARY REPORT"}</definedName>
    <definedName name="dxd" localSheetId="0" hidden="1">{#N/A,#N/A,FALSE,"SUMMARY REPORT"}</definedName>
    <definedName name="dxd" hidden="1">{#N/A,#N/A,FALSE,"SUMMARY REPORT"}</definedName>
    <definedName name="e" localSheetId="0" hidden="1">{#N/A,#N/A,FALSE,"SUMMARY REPORT"}</definedName>
    <definedName name="e" hidden="1">{#N/A,#N/A,FALSE,"SUMMARY REPORT"}</definedName>
    <definedName name="eeee" localSheetId="0" hidden="1">{#N/A,#N/A,FALSE,"Hoja10";#N/A,#N/A,FALSE,"Hoja9";#N/A,#N/A,FALSE,"Hoja8";#N/A,#N/A,FALSE,"Hoja7";#N/A,#N/A,FALSE,"Hoja6";#N/A,#N/A,FALSE,"Hoja5";#N/A,#N/A,FALSE,"Hoja4";#N/A,#N/A,FALSE,"Hoja2";#N/A,#N/A,FALSE,"Hoja3";#N/A,#N/A,FALSE,"HOJA1";#N/A,#N/A,FALSE,"CashFlow";#N/A,#N/A,FALSE,"FinStmts"}</definedName>
    <definedName name="eeee" hidden="1">{#N/A,#N/A,FALSE,"Hoja10";#N/A,#N/A,FALSE,"Hoja9";#N/A,#N/A,FALSE,"Hoja8";#N/A,#N/A,FALSE,"Hoja7";#N/A,#N/A,FALSE,"Hoja6";#N/A,#N/A,FALSE,"Hoja5";#N/A,#N/A,FALSE,"Hoja4";#N/A,#N/A,FALSE,"Hoja2";#N/A,#N/A,FALSE,"Hoja3";#N/A,#N/A,FALSE,"HOJA1";#N/A,#N/A,FALSE,"CashFlow";#N/A,#N/A,FALSE,"FinStmts"}</definedName>
    <definedName name="EERECV">[11]DataYTD!$B$92</definedName>
    <definedName name="EEWITH">[11]DataYTD!$B$242</definedName>
    <definedName name="ElecProLine" localSheetId="1">OFFSET(#REF!,1,0,COUNTA(#REF!),1)</definedName>
    <definedName name="ElecProLine">OFFSET(#REF!,1,0,COUNTA(#REF!),1)</definedName>
    <definedName name="eq" localSheetId="0" hidden="1">{#N/A,#N/A,FALSE,"SUMMARY REPORT"}</definedName>
    <definedName name="eq" hidden="1">{#N/A,#N/A,FALSE,"SUMMARY REPORT"}</definedName>
    <definedName name="erer" localSheetId="0" hidden="1">{#N/A,#N/A,FALSE,"Hoja10";#N/A,#N/A,FALSE,"Hoja9";#N/A,#N/A,FALSE,"Hoja8";#N/A,#N/A,FALSE,"Hoja7";#N/A,#N/A,FALSE,"Hoja6";#N/A,#N/A,FALSE,"Hoja5";#N/A,#N/A,FALSE,"Hoja4";#N/A,#N/A,FALSE,"Hoja2";#N/A,#N/A,FALSE,"Hoja3";#N/A,#N/A,FALSE,"HOJA1";#N/A,#N/A,FALSE,"CashFlow";#N/A,#N/A,FALSE,"FinStmts"}</definedName>
    <definedName name="erer" hidden="1">{#N/A,#N/A,FALSE,"Hoja10";#N/A,#N/A,FALSE,"Hoja9";#N/A,#N/A,FALSE,"Hoja8";#N/A,#N/A,FALSE,"Hoja7";#N/A,#N/A,FALSE,"Hoja6";#N/A,#N/A,FALSE,"Hoja5";#N/A,#N/A,FALSE,"Hoja4";#N/A,#N/A,FALSE,"Hoja2";#N/A,#N/A,FALSE,"Hoja3";#N/A,#N/A,FALSE,"HOJA1";#N/A,#N/A,FALSE,"CashFlow";#N/A,#N/A,FALSE,"FinStmts"}</definedName>
    <definedName name="erererer" localSheetId="0" hidden="1">{#N/A,#N/A,FALSE,"Cover";#N/A,#N/A,FALSE,"Cover (2)";#N/A,#N/A,FALSE,"P&amp;LSUM";#N/A,#N/A,FALSE,"P&amp;L BY SEG.";#N/A,#N/A,FALSE,"ProdLine95LE";#N/A,#N/A,FALSE,"ACT_GROSSMARGIN";#N/A,#N/A,FALSE,"SG&amp;A $";#N/A,#N/A,FALSE,"OID";#N/A,#N/A,FALSE,"ROADMAP (2)";#N/A,#N/A,FALSE,"WCPERFORM";#N/A,#N/A,FALSE,"WCPERFORM (3)";#N/A,#N/A,FALSE,"CORPCASHFLOW";#N/A,#N/A,FALSE,"CASHFLOWFWC";#N/A,#N/A,FALSE,"CAPITAL EXPENDITURES";#N/A,#N/A,FALSE,"96RISKS&amp;OPP";#N/A,#N/A,FALSE,"KeyActions";#N/A,#N/A,FALSE,"Cover (3)";#N/A,#N/A,FALSE,"GROWTH";#N/A,#N/A,FALSE,"HVACMARASSUM";#N/A,#N/A,FALSE,"MARKETANA95";#N/A,#N/A,FALSE,"MARKETANA96F";#N/A,#N/A,FALSE,"MARKETANA97P";#N/A,#N/A,FALSE,"SRVMARKETASSUM";#N/A,#N/A,FALSE,"95COMPETSOM%";#N/A,#N/A,FALSE,"96COMPETSOM% ";#N/A,#N/A,FALSE,"97COMPETSOM%";#N/A,#N/A,FALSE,"SOM%COMPARE";#N/A,#N/A,FALSE,"MARKETEVOL";#N/A,#N/A,FALSE,"COMPMKTACTION";#N/A,#N/A,FALSE,"SECTION 2";#N/A,#N/A,FALSE,"MACROECONOMIC";#N/A,#N/A,FALSE,"ROADMAP";#N/A,#N/A,FALSE,"HVACSALESEXT";#N/A,#N/A,FALSE,"EXTPRICINGASSUM";#N/A,#N/A,FALSE,"HVACSALESINT";#N/A,#N/A,FALSE,"INTPRICINGASSUM";#N/A,#N/A,FALSE,"EXTHVACSTDGROS";#N/A,#N/A,FALSE,"INTHVACSTDGROS";#N/A,#N/A,FALSE,"EXTHVACSTDGROS($)";#N/A,#N/A,FALSE,"INTHVACSTDGROS($)";#N/A,#N/A,FALSE,"MANUFACTURING EXPENSES";#N/A,#N/A,FALSE,"ACTGROSMAGANA(2)";#N/A,#N/A,FALSE,"SG&amp;A $ (2)";#N/A,#N/A,FALSE,"R&amp;DPROJECTS";#N/A,#N/A,FALSE,"OID (2)";#N/A,#N/A,FALSE,"P&amp;LSUM (3)";#N/A,#N/A,FALSE,"P&amp;L BY SEG. (2)";#N/A,#N/A,FALSE,"ProdLine97P ";#N/A,#N/A,FALSE,"HEADCOUNT-YTD";#N/A,#N/A,FALSE,"HEADCOUNT-BOY";#N/A,#N/A,FALSE,"HEADCOUNT-PLAN";#N/A,#N/A,FALSE,"WCPERFORM (2)";#N/A,#N/A,FALSE,"WCPERFORM (4)";#N/A,#N/A,FALSE,"PLANCORPCASHFLOW";#N/A,#N/A,FALSE,"CASHFLOW BY QTR";#N/A,#N/A,FALSE,"CASHFLOWW_C (2)";#N/A,#N/A,FALSE,"CF_W_C BY QTR";#N/A,#N/A,FALSE,"CAPITAL EXPENDITURES (2)";#N/A,#N/A,FALSE,"BALANCE SHEET";#N/A,#N/A,FALSE,"97RISKS&amp;OPP (3)";#N/A,#N/A,FALSE,"KeyActions (2)";#N/A,#N/A,FALSE,"Cover (5)";#N/A,#N/A,FALSE,"RDMAP FCST VOL";#N/A,#N/A,FALSE,"Cover (4)";#N/A,#N/A,FALSE,"RDMAPVOLUME";#N/A,#N/A,FALSE,"RDMAPPRICEMIX";#N/A,#N/A,FALSE,"RDMAPMGNRECON";#N/A,#N/A,FALSE,"RDMAPPRODUC";#N/A,#N/A,FALSE,"RDMAPFXPARITY";#N/A,#N/A,FALSE,"RDMAPINFLM";#N/A,#N/A,FALSE,"RDMAPINFLP";#N/A,#N/A,FALSE,"RDMAPOTHER"}</definedName>
    <definedName name="erererer" hidden="1">{#N/A,#N/A,FALSE,"Cover";#N/A,#N/A,FALSE,"Cover (2)";#N/A,#N/A,FALSE,"P&amp;LSUM";#N/A,#N/A,FALSE,"P&amp;L BY SEG.";#N/A,#N/A,FALSE,"ProdLine95LE";#N/A,#N/A,FALSE,"ACT_GROSSMARGIN";#N/A,#N/A,FALSE,"SG&amp;A $";#N/A,#N/A,FALSE,"OID";#N/A,#N/A,FALSE,"ROADMAP (2)";#N/A,#N/A,FALSE,"WCPERFORM";#N/A,#N/A,FALSE,"WCPERFORM (3)";#N/A,#N/A,FALSE,"CORPCASHFLOW";#N/A,#N/A,FALSE,"CASHFLOWFWC";#N/A,#N/A,FALSE,"CAPITAL EXPENDITURES";#N/A,#N/A,FALSE,"96RISKS&amp;OPP";#N/A,#N/A,FALSE,"KeyActions";#N/A,#N/A,FALSE,"Cover (3)";#N/A,#N/A,FALSE,"GROWTH";#N/A,#N/A,FALSE,"HVACMARASSUM";#N/A,#N/A,FALSE,"MARKETANA95";#N/A,#N/A,FALSE,"MARKETANA96F";#N/A,#N/A,FALSE,"MARKETANA97P";#N/A,#N/A,FALSE,"SRVMARKETASSUM";#N/A,#N/A,FALSE,"95COMPETSOM%";#N/A,#N/A,FALSE,"96COMPETSOM% ";#N/A,#N/A,FALSE,"97COMPETSOM%";#N/A,#N/A,FALSE,"SOM%COMPARE";#N/A,#N/A,FALSE,"MARKETEVOL";#N/A,#N/A,FALSE,"COMPMKTACTION";#N/A,#N/A,FALSE,"SECTION 2";#N/A,#N/A,FALSE,"MACROECONOMIC";#N/A,#N/A,FALSE,"ROADMAP";#N/A,#N/A,FALSE,"HVACSALESEXT";#N/A,#N/A,FALSE,"EXTPRICINGASSUM";#N/A,#N/A,FALSE,"HVACSALESINT";#N/A,#N/A,FALSE,"INTPRICINGASSUM";#N/A,#N/A,FALSE,"EXTHVACSTDGROS";#N/A,#N/A,FALSE,"INTHVACSTDGROS";#N/A,#N/A,FALSE,"EXTHVACSTDGROS($)";#N/A,#N/A,FALSE,"INTHVACSTDGROS($)";#N/A,#N/A,FALSE,"MANUFACTURING EXPENSES";#N/A,#N/A,FALSE,"ACTGROSMAGANA(2)";#N/A,#N/A,FALSE,"SG&amp;A $ (2)";#N/A,#N/A,FALSE,"R&amp;DPROJECTS";#N/A,#N/A,FALSE,"OID (2)";#N/A,#N/A,FALSE,"P&amp;LSUM (3)";#N/A,#N/A,FALSE,"P&amp;L BY SEG. (2)";#N/A,#N/A,FALSE,"ProdLine97P ";#N/A,#N/A,FALSE,"HEADCOUNT-YTD";#N/A,#N/A,FALSE,"HEADCOUNT-BOY";#N/A,#N/A,FALSE,"HEADCOUNT-PLAN";#N/A,#N/A,FALSE,"WCPERFORM (2)";#N/A,#N/A,FALSE,"WCPERFORM (4)";#N/A,#N/A,FALSE,"PLANCORPCASHFLOW";#N/A,#N/A,FALSE,"CASHFLOW BY QTR";#N/A,#N/A,FALSE,"CASHFLOWW_C (2)";#N/A,#N/A,FALSE,"CF_W_C BY QTR";#N/A,#N/A,FALSE,"CAPITAL EXPENDITURES (2)";#N/A,#N/A,FALSE,"BALANCE SHEET";#N/A,#N/A,FALSE,"97RISKS&amp;OPP (3)";#N/A,#N/A,FALSE,"KeyActions (2)";#N/A,#N/A,FALSE,"Cover (5)";#N/A,#N/A,FALSE,"RDMAP FCST VOL";#N/A,#N/A,FALSE,"Cover (4)";#N/A,#N/A,FALSE,"RDMAPVOLUME";#N/A,#N/A,FALSE,"RDMAPPRICEMIX";#N/A,#N/A,FALSE,"RDMAPMGNRECON";#N/A,#N/A,FALSE,"RDMAPPRODUC";#N/A,#N/A,FALSE,"RDMAPFXPARITY";#N/A,#N/A,FALSE,"RDMAPINFLM";#N/A,#N/A,FALSE,"RDMAPINFLP";#N/A,#N/A,FALSE,"RDMAPOTHER"}</definedName>
    <definedName name="ert" localSheetId="0" hidden="1">{#N/A,#N/A,FALSE,"을지 (4)";#N/A,#N/A,FALSE,"을지 (5)";#N/A,#N/A,FALSE,"을지 (6)"}</definedName>
    <definedName name="ert" hidden="1">{#N/A,#N/A,FALSE,"을지 (4)";#N/A,#N/A,FALSE,"을지 (5)";#N/A,#N/A,FALSE,"을지 (6)"}</definedName>
    <definedName name="erwweqr" hidden="1">'[17]Cost Reduction'!#REF!</definedName>
    <definedName name="ery" localSheetId="0" hidden="1">{#N/A,#N/A,FALSE,"SUMMARY REPORT"}</definedName>
    <definedName name="ery" hidden="1">{#N/A,#N/A,FALSE,"SUMMARY REPORT"}</definedName>
    <definedName name="EWA" localSheetId="0" hidden="1">{#N/A,#N/A,FALSE,"초도품";#N/A,#N/A,FALSE,"초도품 (2)";#N/A,#N/A,FALSE,"초도품 (3)";#N/A,#N/A,FALSE,"초도품 (4)";#N/A,#N/A,FALSE,"초도품 (5)";#N/A,#N/A,FALSE,"초도품 (6)"}</definedName>
    <definedName name="EWA" hidden="1">{#N/A,#N/A,FALSE,"초도품";#N/A,#N/A,FALSE,"초도품 (2)";#N/A,#N/A,FALSE,"초도품 (3)";#N/A,#N/A,FALSE,"초도품 (4)";#N/A,#N/A,FALSE,"초도품 (5)";#N/A,#N/A,FALSE,"초도품 (6)"}</definedName>
    <definedName name="ewd" localSheetId="0" hidden="1">{#N/A,#N/A,FALSE,"SUMMARY REPORT"}</definedName>
    <definedName name="ewd" hidden="1">{#N/A,#N/A,FALSE,"SUMMARY REPORT"}</definedName>
    <definedName name="ewew" localSheetId="0" hidden="1">{#N/A,#N/A,FALSE,"Hoja10";#N/A,#N/A,FALSE,"Hoja9";#N/A,#N/A,FALSE,"Hoja8";#N/A,#N/A,FALSE,"Hoja7";#N/A,#N/A,FALSE,"Hoja6";#N/A,#N/A,FALSE,"Hoja5";#N/A,#N/A,FALSE,"Hoja4";#N/A,#N/A,FALSE,"Hoja2";#N/A,#N/A,FALSE,"Hoja3";#N/A,#N/A,FALSE,"HOJA1";#N/A,#N/A,FALSE,"CashFlow";#N/A,#N/A,FALSE,"FinStmts"}</definedName>
    <definedName name="ewew" hidden="1">{#N/A,#N/A,FALSE,"Hoja10";#N/A,#N/A,FALSE,"Hoja9";#N/A,#N/A,FALSE,"Hoja8";#N/A,#N/A,FALSE,"Hoja7";#N/A,#N/A,FALSE,"Hoja6";#N/A,#N/A,FALSE,"Hoja5";#N/A,#N/A,FALSE,"Hoja4";#N/A,#N/A,FALSE,"Hoja2";#N/A,#N/A,FALSE,"Hoja3";#N/A,#N/A,FALSE,"HOJA1";#N/A,#N/A,FALSE,"CashFlow";#N/A,#N/A,FALSE,"FinStmts"}</definedName>
    <definedName name="ewewqr" localSheetId="0" hidden="1">{#N/A,#N/A,FALSE,"196126-0690";#N/A,#N/A,FALSE,"196126-0690";#N/A,#N/A,FALSE,"1961165-0201"}</definedName>
    <definedName name="ewewqr" hidden="1">{#N/A,#N/A,FALSE,"196126-0690";#N/A,#N/A,FALSE,"196126-0690";#N/A,#N/A,FALSE,"1961165-0201"}</definedName>
    <definedName name="ewq" localSheetId="0" hidden="1">{#N/A,#N/A,FALSE,"SUMMARY REPORT"}</definedName>
    <definedName name="ewq" hidden="1">{#N/A,#N/A,FALSE,"SUMMARY REPORT"}</definedName>
    <definedName name="Exchange_rate">#REF!</definedName>
    <definedName name="ext" localSheetId="0" hidden="1">{#N/A,#N/A,FALSE,"196126-0690";#N/A,#N/A,FALSE,"196126-0690";#N/A,#N/A,FALSE,"1961165-0201"}</definedName>
    <definedName name="ext" hidden="1">{#N/A,#N/A,FALSE,"196126-0690";#N/A,#N/A,FALSE,"196126-0690";#N/A,#N/A,FALSE,"1961165-0201"}</definedName>
    <definedName name="extra" localSheetId="0" hidden="1">{#N/A,#N/A,FALSE,"196126-0690";#N/A,#N/A,FALSE,"196126-0690";#N/A,#N/A,FALSE,"1961165-0201"}</definedName>
    <definedName name="extra" hidden="1">{#N/A,#N/A,FALSE,"196126-0690";#N/A,#N/A,FALSE,"196126-0690";#N/A,#N/A,FALSE,"1961165-0201"}</definedName>
    <definedName name="ExtraCredit">#REF!</definedName>
    <definedName name="Extrusion_MC_Name">[13]StandardRates!$B$87:$B$99</definedName>
    <definedName name="f" localSheetId="0" hidden="1">{#N/A,#N/A,FALSE,"을지 (4)";#N/A,#N/A,FALSE,"을지 (5)";#N/A,#N/A,FALSE,"을지 (6)"}</definedName>
    <definedName name="f" hidden="1">{#N/A,#N/A,FALSE,"을지 (4)";#N/A,#N/A,FALSE,"을지 (5)";#N/A,#N/A,FALSE,"을지 (6)"}</definedName>
    <definedName name="F.CHART" localSheetId="0" hidden="1">{#N/A,#N/A,FALSE,"KMC최종회의(7월) 자료"}</definedName>
    <definedName name="F.CHART" hidden="1">{#N/A,#N/A,FALSE,"KMC최종회의(7월) 자료"}</definedName>
    <definedName name="fa" localSheetId="0" hidden="1">{#N/A,#N/A,FALSE,"AIRCO"}</definedName>
    <definedName name="fa" hidden="1">{#N/A,#N/A,FALSE,"AIRCO"}</definedName>
    <definedName name="FBT" localSheetId="0" hidden="1">{#N/A,#N/A,FALSE,"SUMMARY REPORT"}</definedName>
    <definedName name="FBT" hidden="1">{#N/A,#N/A,FALSE,"SUMMARY REPORT"}</definedName>
    <definedName name="FCode" hidden="1">#REF!</definedName>
    <definedName name="FDFD" localSheetId="0" hidden="1">{#N/A,#N/A,FALSE,"Sales"}</definedName>
    <definedName name="FDFD" hidden="1">{#N/A,#N/A,FALSE,"Sales"}</definedName>
    <definedName name="FDFDF" localSheetId="0" hidden="1">{#N/A,#N/A,FALSE,"Sales"}</definedName>
    <definedName name="FDFDF" hidden="1">{#N/A,#N/A,FALSE,"Sales"}</definedName>
    <definedName name="FDFDFDF" localSheetId="0" hidden="1">{"'B-S Accounts Translation'!$A$1:$G$190"}</definedName>
    <definedName name="FDFDFDF" hidden="1">{"'B-S Accounts Translation'!$A$1:$G$190"}</definedName>
    <definedName name="fds" localSheetId="0" hidden="1">{#N/A,#N/A,FALSE,"SUMMARY REPORT"}</definedName>
    <definedName name="fds" hidden="1">{#N/A,#N/A,FALSE,"SUMMARY REPORT"}</definedName>
    <definedName name="fdsfdgfdh" hidden="1">'[12]PEB list 2006'!#REF!</definedName>
    <definedName name="FF" localSheetId="0" hidden="1">{#N/A,#N/A,FALSE,"UNIT";#N/A,#N/A,FALSE,"UNIT";#N/A,#N/A,FALSE,"계정"}</definedName>
    <definedName name="FF" hidden="1">{#N/A,#N/A,FALSE,"UNIT";#N/A,#N/A,FALSE,"UNIT";#N/A,#N/A,FALSE,"계정"}</definedName>
    <definedName name="FFF" localSheetId="0" hidden="1">{#N/A,#N/A,FALSE,"UNIT";#N/A,#N/A,FALSE,"UNIT";#N/A,#N/A,FALSE,"계정"}</definedName>
    <definedName name="FFF" hidden="1">{#N/A,#N/A,FALSE,"UNIT";#N/A,#N/A,FALSE,"UNIT";#N/A,#N/A,FALSE,"계정"}</definedName>
    <definedName name="FFFF" localSheetId="0" hidden="1">{#N/A,#N/A,FALSE,"UNIT";#N/A,#N/A,FALSE,"UNIT";#N/A,#N/A,FALSE,"계정"}</definedName>
    <definedName name="FFFF" hidden="1">{#N/A,#N/A,FALSE,"UNIT";#N/A,#N/A,FALSE,"UNIT";#N/A,#N/A,FALSE,"계정"}</definedName>
    <definedName name="FG" localSheetId="0" hidden="1">{#N/A,#N/A,FALSE,"196126-0690";#N/A,#N/A,FALSE,"196126-0690";#N/A,#N/A,FALSE,"1961165-0201"}</definedName>
    <definedName name="FG" hidden="1">{#N/A,#N/A,FALSE,"196126-0690";#N/A,#N/A,FALSE,"196126-0690";#N/A,#N/A,FALSE,"1961165-0201"}</definedName>
    <definedName name="fgfg" localSheetId="0" hidden="1">{#N/A,#N/A,FALSE,"Hoja10";#N/A,#N/A,FALSE,"Hoja9";#N/A,#N/A,FALSE,"Hoja8";#N/A,#N/A,FALSE,"Hoja7";#N/A,#N/A,FALSE,"Hoja6";#N/A,#N/A,FALSE,"Hoja5";#N/A,#N/A,FALSE,"Hoja4";#N/A,#N/A,FALSE,"Hoja2";#N/A,#N/A,FALSE,"Hoja3";#N/A,#N/A,FALSE,"HOJA1";#N/A,#N/A,FALSE,"CashFlow";#N/A,#N/A,FALSE,"FinStmts"}</definedName>
    <definedName name="fgfg" hidden="1">{#N/A,#N/A,FALSE,"Hoja10";#N/A,#N/A,FALSE,"Hoja9";#N/A,#N/A,FALSE,"Hoja8";#N/A,#N/A,FALSE,"Hoja7";#N/A,#N/A,FALSE,"Hoja6";#N/A,#N/A,FALSE,"Hoja5";#N/A,#N/A,FALSE,"Hoja4";#N/A,#N/A,FALSE,"Hoja2";#N/A,#N/A,FALSE,"Hoja3";#N/A,#N/A,FALSE,"HOJA1";#N/A,#N/A,FALSE,"CashFlow";#N/A,#N/A,FALSE,"FinStmts"}</definedName>
    <definedName name="fggg" hidden="1">'[18]2-asi-00'!#REF!</definedName>
    <definedName name="fgsdhfj" hidden="1">#REF!</definedName>
    <definedName name="FHJHD" localSheetId="0" hidden="1">{#N/A,#N/A,FALSE,"UNIT";#N/A,#N/A,FALSE,"UNIT";#N/A,#N/A,FALSE,"계정"}</definedName>
    <definedName name="FHJHD" hidden="1">{#N/A,#N/A,FALSE,"UNIT";#N/A,#N/A,FALSE,"UNIT";#N/A,#N/A,FALSE,"계정"}</definedName>
    <definedName name="fill" hidden="1">#REF!</definedName>
    <definedName name="fjalaslaslfasllaa" localSheetId="0" hidden="1">{#N/A,#N/A,FALSE,"을지 (4)";#N/A,#N/A,FALSE,"을지 (5)";#N/A,#N/A,FALSE,"을지 (6)"}</definedName>
    <definedName name="fjalaslaslfasllaa" hidden="1">{#N/A,#N/A,FALSE,"을지 (4)";#N/A,#N/A,FALSE,"을지 (5)";#N/A,#N/A,FALSE,"을지 (6)"}</definedName>
    <definedName name="fjdf" localSheetId="0" hidden="1">{#N/A,#N/A,FALSE,"Hoja10";#N/A,#N/A,FALSE,"Hoja9";#N/A,#N/A,FALSE,"Hoja8";#N/A,#N/A,FALSE,"Hoja7";#N/A,#N/A,FALSE,"Hoja6";#N/A,#N/A,FALSE,"Hoja5";#N/A,#N/A,FALSE,"Hoja4";#N/A,#N/A,FALSE,"Hoja2";#N/A,#N/A,FALSE,"Hoja3";#N/A,#N/A,FALSE,"HOJA1";#N/A,#N/A,FALSE,"CashFlow";#N/A,#N/A,FALSE,"FinStmts"}</definedName>
    <definedName name="fjdf" hidden="1">{#N/A,#N/A,FALSE,"Hoja10";#N/A,#N/A,FALSE,"Hoja9";#N/A,#N/A,FALSE,"Hoja8";#N/A,#N/A,FALSE,"Hoja7";#N/A,#N/A,FALSE,"Hoja6";#N/A,#N/A,FALSE,"Hoja5";#N/A,#N/A,FALSE,"Hoja4";#N/A,#N/A,FALSE,"Hoja2";#N/A,#N/A,FALSE,"Hoja3";#N/A,#N/A,FALSE,"HOJA1";#N/A,#N/A,FALSE,"CashFlow";#N/A,#N/A,FALSE,"FinStmts"}</definedName>
    <definedName name="fkf" localSheetId="0" hidden="1">{#N/A,#N/A,FALSE,"Hoja10";#N/A,#N/A,FALSE,"Hoja9";#N/A,#N/A,FALSE,"Hoja8";#N/A,#N/A,FALSE,"Hoja7";#N/A,#N/A,FALSE,"Hoja6";#N/A,#N/A,FALSE,"Hoja5";#N/A,#N/A,FALSE,"Hoja4";#N/A,#N/A,FALSE,"Hoja2";#N/A,#N/A,FALSE,"Hoja3";#N/A,#N/A,FALSE,"HOJA1";#N/A,#N/A,FALSE,"CashFlow";#N/A,#N/A,FALSE,"FinStmts"}</definedName>
    <definedName name="fkf" hidden="1">{#N/A,#N/A,FALSE,"Hoja10";#N/A,#N/A,FALSE,"Hoja9";#N/A,#N/A,FALSE,"Hoja8";#N/A,#N/A,FALSE,"Hoja7";#N/A,#N/A,FALSE,"Hoja6";#N/A,#N/A,FALSE,"Hoja5";#N/A,#N/A,FALSE,"Hoja4";#N/A,#N/A,FALSE,"Hoja2";#N/A,#N/A,FALSE,"Hoja3";#N/A,#N/A,FALSE,"HOJA1";#N/A,#N/A,FALSE,"CashFlow";#N/A,#N/A,FALSE,"FinStmts"}</definedName>
    <definedName name="FKS" localSheetId="0" hidden="1">{#N/A,#N/A,FALSE,"Hoja10";#N/A,#N/A,FALSE,"Hoja9";#N/A,#N/A,FALSE,"Hoja8";#N/A,#N/A,FALSE,"Hoja7";#N/A,#N/A,FALSE,"Hoja6";#N/A,#N/A,FALSE,"Hoja5";#N/A,#N/A,FALSE,"Hoja4";#N/A,#N/A,FALSE,"Hoja2";#N/A,#N/A,FALSE,"Hoja3";#N/A,#N/A,FALSE,"HOJA1";#N/A,#N/A,FALSE,"CashFlow";#N/A,#N/A,FALSE,"FinStmts"}</definedName>
    <definedName name="FKS" hidden="1">{#N/A,#N/A,FALSE,"Hoja10";#N/A,#N/A,FALSE,"Hoja9";#N/A,#N/A,FALSE,"Hoja8";#N/A,#N/A,FALSE,"Hoja7";#N/A,#N/A,FALSE,"Hoja6";#N/A,#N/A,FALSE,"Hoja5";#N/A,#N/A,FALSE,"Hoja4";#N/A,#N/A,FALSE,"Hoja2";#N/A,#N/A,FALSE,"Hoja3";#N/A,#N/A,FALSE,"HOJA1";#N/A,#N/A,FALSE,"CashFlow";#N/A,#N/A,FALSE,"FinStmts"}</definedName>
    <definedName name="FLOW" localSheetId="0" hidden="1">{#N/A,#N/A,FALSE,"KMC최종회의(7월) 자료"}</definedName>
    <definedName name="FLOW" hidden="1">{#N/A,#N/A,FALSE,"KMC최종회의(7월) 자료"}</definedName>
    <definedName name="FO" localSheetId="0" hidden="1">{#N/A,#N/A,FALSE,"196126-0690";#N/A,#N/A,FALSE,"196126-0690";#N/A,#N/A,FALSE,"1961165-0201"}</definedName>
    <definedName name="FO" hidden="1">{#N/A,#N/A,FALSE,"196126-0690";#N/A,#N/A,FALSE,"196126-0690";#N/A,#N/A,FALSE,"1961165-0201"}</definedName>
    <definedName name="Forging">#REF!</definedName>
    <definedName name="Forming_Tool">#REF!</definedName>
    <definedName name="fr" localSheetId="0" hidden="1">{#N/A,#N/A,FALSE,"Hoja10";#N/A,#N/A,FALSE,"Hoja9";#N/A,#N/A,FALSE,"Hoja8";#N/A,#N/A,FALSE,"Hoja7";#N/A,#N/A,FALSE,"Hoja6";#N/A,#N/A,FALSE,"Hoja5";#N/A,#N/A,FALSE,"Hoja4";#N/A,#N/A,FALSE,"Hoja2";#N/A,#N/A,FALSE,"Hoja3";#N/A,#N/A,FALSE,"HOJA1";#N/A,#N/A,FALSE,"CashFlow";#N/A,#N/A,FALSE,"FinStmts"}</definedName>
    <definedName name="fr" hidden="1">{#N/A,#N/A,FALSE,"Hoja10";#N/A,#N/A,FALSE,"Hoja9";#N/A,#N/A,FALSE,"Hoja8";#N/A,#N/A,FALSE,"Hoja7";#N/A,#N/A,FALSE,"Hoja6";#N/A,#N/A,FALSE,"Hoja5";#N/A,#N/A,FALSE,"Hoja4";#N/A,#N/A,FALSE,"Hoja2";#N/A,#N/A,FALSE,"Hoja3";#N/A,#N/A,FALSE,"HOJA1";#N/A,#N/A,FALSE,"CashFlow";#N/A,#N/A,FALSE,"FinStmts"}</definedName>
    <definedName name="FREEWHEEL" hidden="1">#REF!</definedName>
    <definedName name="frt" localSheetId="0" hidden="1">{#N/A,#N/A,FALSE,"SUMMARY REPORT"}</definedName>
    <definedName name="frt" hidden="1">{#N/A,#N/A,FALSE,"SUMMARY REPORT"}</definedName>
    <definedName name="Fruit">#REF!</definedName>
    <definedName name="FSDS" localSheetId="0" hidden="1">{#N/A,#N/A,FALSE,"SUMMARY REPORT"}</definedName>
    <definedName name="FSDS" hidden="1">{#N/A,#N/A,FALSE,"SUMMARY REPORT"}</definedName>
    <definedName name="fyiyu" localSheetId="0" hidden="1">{#N/A,#N/A,FALSE,"196126-0690";#N/A,#N/A,FALSE,"196126-0690";#N/A,#N/A,FALSE,"1961165-0201"}</definedName>
    <definedName name="fyiyu" hidden="1">{#N/A,#N/A,FALSE,"196126-0690";#N/A,#N/A,FALSE,"196126-0690";#N/A,#N/A,FALSE,"1961165-0201"}</definedName>
    <definedName name="fzd" localSheetId="0" hidden="1">{#N/A,#N/A,FALSE,"SUMMARY REPORT"}</definedName>
    <definedName name="fzd" hidden="1">{#N/A,#N/A,FALSE,"SUMMARY REPORT"}</definedName>
    <definedName name="gfh" hidden="1">#REF!</definedName>
    <definedName name="gfhgh" localSheetId="0" hidden="1">{#N/A,#N/A,FALSE,"SUMMARY REPORT"}</definedName>
    <definedName name="gfhgh" hidden="1">{#N/A,#N/A,FALSE,"SUMMARY REPORT"}</definedName>
    <definedName name="GG" localSheetId="0" hidden="1">{#N/A,#N/A,FALSE,"UNIT";#N/A,#N/A,FALSE,"UNIT";#N/A,#N/A,FALSE,"계정"}</definedName>
    <definedName name="GG" hidden="1">{#N/A,#N/A,FALSE,"UNIT";#N/A,#N/A,FALSE,"UNIT";#N/A,#N/A,FALSE,"계정"}</definedName>
    <definedName name="ghr" localSheetId="0" hidden="1">{#N/A,#N/A,FALSE,"196126-0690";#N/A,#N/A,FALSE,"196126-0690";#N/A,#N/A,FALSE,"1961165-0201"}</definedName>
    <definedName name="ghr" hidden="1">{#N/A,#N/A,FALSE,"196126-0690";#N/A,#N/A,FALSE,"196126-0690";#N/A,#N/A,FALSE,"1961165-0201"}</definedName>
    <definedName name="ghui" localSheetId="0" hidden="1">{#N/A,#N/A,FALSE,"SUMMARY REPORT"}</definedName>
    <definedName name="ghui" hidden="1">{#N/A,#N/A,FALSE,"SUMMARY REPORT"}</definedName>
    <definedName name="ghv" localSheetId="0" hidden="1">{#N/A,#N/A,FALSE,"SUMMARY REPORT"}</definedName>
    <definedName name="ghv" hidden="1">{#N/A,#N/A,FALSE,"SUMMARY REPORT"}</definedName>
    <definedName name="GJAJ" localSheetId="0" hidden="1">{#N/A,#N/A,FALSE,"RECEIVABLES";#N/A,#N/A,FALSE,"TRADE RECEIVABLES";#N/A,#N/A,FALSE,"COLLECTION DAYS";#N/A,#N/A,FALSE,"PRODUCTION INVENTORY";#N/A,#N/A,FALSE,"PITO";#N/A,#N/A,FALSE,"NOA"}</definedName>
    <definedName name="GJAJ" hidden="1">{#N/A,#N/A,FALSE,"RECEIVABLES";#N/A,#N/A,FALSE,"TRADE RECEIVABLES";#N/A,#N/A,FALSE,"COLLECTION DAYS";#N/A,#N/A,FALSE,"PRODUCTION INVENTORY";#N/A,#N/A,FALSE,"PITO";#N/A,#N/A,FALSE,"NOA"}</definedName>
    <definedName name="gl" localSheetId="0" hidden="1">{#N/A,#N/A,FALSE,"SUMMARY REPORT"}</definedName>
    <definedName name="gl" hidden="1">{#N/A,#N/A,FALSE,"SUMMARY REPORT"}</definedName>
    <definedName name="gtgt" localSheetId="0" hidden="1">{#N/A,#N/A,FALSE,"Hoja10";#N/A,#N/A,FALSE,"Hoja9";#N/A,#N/A,FALSE,"Hoja8";#N/A,#N/A,FALSE,"Hoja7";#N/A,#N/A,FALSE,"Hoja6";#N/A,#N/A,FALSE,"Hoja5";#N/A,#N/A,FALSE,"Hoja4";#N/A,#N/A,FALSE,"Hoja2";#N/A,#N/A,FALSE,"Hoja3";#N/A,#N/A,FALSE,"HOJA1";#N/A,#N/A,FALSE,"CashFlow";#N/A,#N/A,FALSE,"FinStmts"}</definedName>
    <definedName name="gtgt" hidden="1">{#N/A,#N/A,FALSE,"Hoja10";#N/A,#N/A,FALSE,"Hoja9";#N/A,#N/A,FALSE,"Hoja8";#N/A,#N/A,FALSE,"Hoja7";#N/A,#N/A,FALSE,"Hoja6";#N/A,#N/A,FALSE,"Hoja5";#N/A,#N/A,FALSE,"Hoja4";#N/A,#N/A,FALSE,"Hoja2";#N/A,#N/A,FALSE,"Hoja3";#N/A,#N/A,FALSE,"HOJA1";#N/A,#N/A,FALSE,"CashFlow";#N/A,#N/A,FALSE,"FinStmts"}</definedName>
    <definedName name="gts" localSheetId="0" hidden="1">{#N/A,#N/A,FALSE,"SUMMARY REPORT"}</definedName>
    <definedName name="gts" hidden="1">{#N/A,#N/A,FALSE,"SUMMARY REPORT"}</definedName>
    <definedName name="gty" localSheetId="0" hidden="1">{#N/A,#N/A,FALSE,"SUMMARY REPORT"}</definedName>
    <definedName name="gty" hidden="1">{#N/A,#N/A,FALSE,"SUMMARY REPORT"}</definedName>
    <definedName name="gyi" localSheetId="0" hidden="1">{#N/A,#N/A,FALSE,"SUMMARY REPORT"}</definedName>
    <definedName name="gyi" hidden="1">{#N/A,#N/A,FALSE,"SUMMARY REPORT"}</definedName>
    <definedName name="h" hidden="1">#REF!</definedName>
    <definedName name="ha" localSheetId="0" hidden="1">{#N/A,#N/A,FALSE,"196126-0690";#N/A,#N/A,FALSE,"196126-0690";#N/A,#N/A,FALSE,"1961165-0201"}</definedName>
    <definedName name="ha" hidden="1">{#N/A,#N/A,FALSE,"196126-0690";#N/A,#N/A,FALSE,"196126-0690";#N/A,#N/A,FALSE,"1961165-0201"}</definedName>
    <definedName name="hav" localSheetId="0" hidden="1">{#N/A,#N/A,FALSE,"196126-0690";#N/A,#N/A,FALSE,"196126-0690";#N/A,#N/A,FALSE,"1961165-0201"}</definedName>
    <definedName name="hav" hidden="1">{#N/A,#N/A,FALSE,"196126-0690";#N/A,#N/A,FALSE,"196126-0690";#N/A,#N/A,FALSE,"1961165-0201"}</definedName>
    <definedName name="HCV.WEEKLY" localSheetId="0" hidden="1">{#N/A,#N/A,FALSE,"SUMMARY REPORT"}</definedName>
    <definedName name="HCV.WEEKLY" hidden="1">{#N/A,#N/A,FALSE,"SUMMARY REPORT"}</definedName>
    <definedName name="HeaderInfo">#REF!,#REF!,#REF!,#REF!,#REF!,#REF!,#REF!</definedName>
    <definedName name="HEADINGS">[13]StandardRates!$B$8:$AC$8</definedName>
    <definedName name="heat">#REF!</definedName>
    <definedName name="heat_treatment">#REF!</definedName>
    <definedName name="hfuiefvj" localSheetId="0" hidden="1">{#N/A,#N/A,FALSE,"SUMMARY REPORT"}</definedName>
    <definedName name="hfuiefvj" hidden="1">{#N/A,#N/A,FALSE,"SUMMARY REPORT"}</definedName>
    <definedName name="hh" localSheetId="0" hidden="1">{#N/A,#N/A,FALSE,"Sales"}</definedName>
    <definedName name="hh" hidden="1">{#N/A,#N/A,FALSE,"Sales"}</definedName>
    <definedName name="HHHH" localSheetId="0" hidden="1">{#N/A,#N/A,FALSE,"UNIT";#N/A,#N/A,FALSE,"UNIT";#N/A,#N/A,FALSE,"계정"}</definedName>
    <definedName name="HHHH" hidden="1">{#N/A,#N/A,FALSE,"UNIT";#N/A,#N/A,FALSE,"UNIT";#N/A,#N/A,FALSE,"계정"}</definedName>
    <definedName name="HiddenRows" hidden="1">#REF!</definedName>
    <definedName name="highlights" localSheetId="0" hidden="1">{#N/A,#N/A,FALSE,"Hoja10";#N/A,#N/A,FALSE,"Hoja9";#N/A,#N/A,FALSE,"Hoja8";#N/A,#N/A,FALSE,"Hoja7";#N/A,#N/A,FALSE,"Hoja6";#N/A,#N/A,FALSE,"Hoja5";#N/A,#N/A,FALSE,"Hoja4";#N/A,#N/A,FALSE,"Hoja2";#N/A,#N/A,FALSE,"Hoja3";#N/A,#N/A,FALSE,"HOJA1";#N/A,#N/A,FALSE,"CashFlow";#N/A,#N/A,FALSE,"FinStmts"}</definedName>
    <definedName name="highlights" hidden="1">{#N/A,#N/A,FALSE,"Hoja10";#N/A,#N/A,FALSE,"Hoja9";#N/A,#N/A,FALSE,"Hoja8";#N/A,#N/A,FALSE,"Hoja7";#N/A,#N/A,FALSE,"Hoja6";#N/A,#N/A,FALSE,"Hoja5";#N/A,#N/A,FALSE,"Hoja4";#N/A,#N/A,FALSE,"Hoja2";#N/A,#N/A,FALSE,"Hoja3";#N/A,#N/A,FALSE,"HOJA1";#N/A,#N/A,FALSE,"CashFlow";#N/A,#N/A,FALSE,"FinStmts"}</definedName>
    <definedName name="hnm" localSheetId="0" hidden="1">{#N/A,#N/A,FALSE,"SUMMARY REPORT"}</definedName>
    <definedName name="hnm" hidden="1">{#N/A,#N/A,FALSE,"SUMMARY REPORT"}</definedName>
    <definedName name="holp" localSheetId="0" hidden="1">{#N/A,#N/A,FALSE,"SUMMARY REPORT"}</definedName>
    <definedName name="holp" hidden="1">{#N/A,#N/A,FALSE,"SUMMARY REPORT"}</definedName>
    <definedName name="HTML_CodePage" hidden="1">1252</definedName>
    <definedName name="HTML_Control" localSheetId="0" hidden="1">{"'Furniture&amp; O.E'!$A$4:$D$27"}</definedName>
    <definedName name="HTML_Control" hidden="1">{"'Furniture&amp; O.E'!$A$4:$D$27"}</definedName>
    <definedName name="HTML_Description" hidden="1">""</definedName>
    <definedName name="HTML_Email" hidden="1">""</definedName>
    <definedName name="HTML_Header" hidden="1">"B/S Accounts Translation - Version 2.1"</definedName>
    <definedName name="HTML_LastUpdate" hidden="1">"12/09/1998"</definedName>
    <definedName name="HTML_LineAfter" hidden="1">TRUE</definedName>
    <definedName name="HTML_LineBefore" hidden="1">TRUE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"F:\WEB\CFI\1298\bstrans.htm"</definedName>
    <definedName name="HTML_Title" hidden="1">"B/S Accounts Translation - Version 2.1"</definedName>
    <definedName name="HTML1_1" hidden="1">"'[B-STRAN.XLS]Sheet 1'!$A$1:$F$176"</definedName>
    <definedName name="HTML1_10" hidden="1">""</definedName>
    <definedName name="HTML1_11" hidden="1">-4146</definedName>
    <definedName name="HTML1_12" hidden="1">"F:\WEB\CORPORAT\CFI\b-stran.htm"</definedName>
    <definedName name="HTML1_2" hidden="1">1</definedName>
    <definedName name="HTML1_3" hidden="1">"B-S Accounts Translation"</definedName>
    <definedName name="HTML1_4" hidden="1">"B-S Accounts Translation"</definedName>
    <definedName name="HTML1_5" hidden="1">""</definedName>
    <definedName name="HTML1_6" hidden="1">1</definedName>
    <definedName name="HTML1_7" hidden="1">1</definedName>
    <definedName name="HTML1_8" hidden="1">"10/28/97"</definedName>
    <definedName name="HTML1_9" hidden="1">""</definedName>
    <definedName name="HTML2_1" hidden="1">"'[B-STRAN.XLS]B-S Accounts Translation'!$A$1:$G$180"</definedName>
    <definedName name="HTML2_10" hidden="1">""</definedName>
    <definedName name="HTML2_11" hidden="1">1</definedName>
    <definedName name="HTML2_12" hidden="1">"F:\WEB\CORPORAT\CFI\1297\b-stran.htm"</definedName>
    <definedName name="HTML2_2" hidden="1">1</definedName>
    <definedName name="HTML2_3" hidden="1">"B/S Accounts Translation"</definedName>
    <definedName name="HTML2_4" hidden="1">"B/S Accounts Translation"</definedName>
    <definedName name="HTML2_5" hidden="1">""</definedName>
    <definedName name="HTML2_6" hidden="1">1</definedName>
    <definedName name="HTML2_7" hidden="1">1</definedName>
    <definedName name="HTML2_8" hidden="1">"12/18/97"</definedName>
    <definedName name="HTML2_9" hidden="1">""</definedName>
    <definedName name="HTMLCount" hidden="1">2</definedName>
    <definedName name="ICORECV">[11]DataYTD!$B$87</definedName>
    <definedName name="iiiiii" hidden="1">#REF!</definedName>
    <definedName name="ijn" localSheetId="0" hidden="1">{#N/A,#N/A,FALSE,"SUMMARY REPORT"}</definedName>
    <definedName name="ijn" hidden="1">{#N/A,#N/A,FALSE,"SUMMARY REPORT"}</definedName>
    <definedName name="INDEX">[19]INDEX!$B$42</definedName>
    <definedName name="Induction">#REF!</definedName>
    <definedName name="inser" localSheetId="0" hidden="1">{#N/A,#N/A,FALSE,"Hoja10";#N/A,#N/A,FALSE,"Hoja9";#N/A,#N/A,FALSE,"Hoja8";#N/A,#N/A,FALSE,"Hoja7";#N/A,#N/A,FALSE,"Hoja6";#N/A,#N/A,FALSE,"Hoja5";#N/A,#N/A,FALSE,"Hoja4";#N/A,#N/A,FALSE,"Hoja2";#N/A,#N/A,FALSE,"Hoja3";#N/A,#N/A,FALSE,"HOJA1";#N/A,#N/A,FALSE,"CashFlow";#N/A,#N/A,FALSE,"FinStmts"}</definedName>
    <definedName name="inser" hidden="1">{#N/A,#N/A,FALSE,"Hoja10";#N/A,#N/A,FALSE,"Hoja9";#N/A,#N/A,FALSE,"Hoja8";#N/A,#N/A,FALSE,"Hoja7";#N/A,#N/A,FALSE,"Hoja6";#N/A,#N/A,FALSE,"Hoja5";#N/A,#N/A,FALSE,"Hoja4";#N/A,#N/A,FALSE,"Hoja2";#N/A,#N/A,FALSE,"Hoja3";#N/A,#N/A,FALSE,"HOJA1";#N/A,#N/A,FALSE,"CashFlow";#N/A,#N/A,FALSE,"FinStmts"}</definedName>
    <definedName name="Inspection">#REF!</definedName>
    <definedName name="IntroPrintArea" hidden="1">#REF!</definedName>
    <definedName name="INVENT">[11]DataYTD!$B$99</definedName>
    <definedName name="ioh" localSheetId="0" hidden="1">{#N/A,#N/A,FALSE,"SUMMARY REPORT"}</definedName>
    <definedName name="ioh" hidden="1">{#N/A,#N/A,FALSE,"SUMMARY REPORT"}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UNUSED_UNUSED_UNUSED" hidden="1">"c6813"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UNUSED_UNUSED_UNUSED" hidden="1">"c6815"</definedName>
    <definedName name="IQ_BALANCE_SERV_YOY_FC_UNUSED_UNUSED_UNUSED" hidden="1">"c8135"</definedName>
    <definedName name="IQ_BALANCE_SERV_YOY_UNUSED_UNUSED_UNUSED" hidden="1">"c7255"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UNUSED_UNUSED_UNUSED" hidden="1">"c6817"</definedName>
    <definedName name="IQ_BALANCE_TRADE_YOY_FC_UNUSED_UNUSED_UNUSED" hidden="1">"c8137"</definedName>
    <definedName name="IQ_BALANCE_TRADE_YOY_UNUSED_UNUSED_UNUSED" hidden="1">"c7257"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ROK_COMISSION" hidden="1">"c98"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UNUSED_UNUSED_UNUSED" hidden="1">"c6960"</definedName>
    <definedName name="IQ_CHANGE_INVENT_REAL_YOY_FC_UNUSED_UNUSED_UNUSED" hidden="1">"c8280"</definedName>
    <definedName name="IQ_CHANGE_INVENT_REAL_YOY_UNUSED_UNUSED_UNUSED" hidden="1">"c7400"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OP_FC_UNUSED_UNUSED_UNUSED" hidden="1">"c7947"</definedName>
    <definedName name="IQ_CURR_ACCT_BALANCE_POP_UNUSED_UNUSED_UNUSED" hidden="1">"c7067"</definedName>
    <definedName name="IQ_CURR_ACCT_BALANCE_UNUSED_UNUSED_UNUSED" hidden="1">"c6847"</definedName>
    <definedName name="IQ_CURR_ACCT_BALANCE_YOY_FC_UNUSED_UNUSED_UNUSED" hidden="1">"c8167"</definedName>
    <definedName name="IQ_CURR_ACCT_BALANCE_YOY_UNUSED_UNUSED_UNUSED" hidden="1">"c7287"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"c2106"</definedName>
    <definedName name="IQ_DIV_RECORD_DATE" hidden="1">"c2105"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INT" hidden="1">"c373"</definedName>
    <definedName name="IQ_EBITDA_MARGIN" hidden="1">"c372"</definedName>
    <definedName name="IQ_EBITDA_OVER_TOTAL_IE" hidden="1">"c1371"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CO_METRIC_6825_UNUSED_UNUSED_UNUSED" hidden="1">"c6825"</definedName>
    <definedName name="IQ_ECO_METRIC_6839_UNUSED_UNUSED_UNUSED" hidden="1">"c6839"</definedName>
    <definedName name="IQ_ECO_METRIC_6896_UNUSED_UNUSED_UNUSED" hidden="1">"c6896"</definedName>
    <definedName name="IQ_ECO_METRIC_6897_UNUSED_UNUSED_UNUSED" hidden="1">"c6897"</definedName>
    <definedName name="IQ_ECO_METRIC_6988_UNUSED_UNUSED_UNUSED" hidden="1">"c6988"</definedName>
    <definedName name="IQ_ECO_METRIC_7045_UNUSED_UNUSED_UNUSED" hidden="1">"c7045"</definedName>
    <definedName name="IQ_ECO_METRIC_7059_UNUSED_UNUSED_UNUSED" hidden="1">"c7059"</definedName>
    <definedName name="IQ_ECO_METRIC_7116_UNUSED_UNUSED_UNUSED" hidden="1">"c7116"</definedName>
    <definedName name="IQ_ECO_METRIC_7117_UNUSED_UNUSED_UNUSED" hidden="1">"c7117"</definedName>
    <definedName name="IQ_ECO_METRIC_7208_UNUSED_UNUSED_UNUSED" hidden="1">"c7208"</definedName>
    <definedName name="IQ_ECO_METRIC_7265_UNUSED_UNUSED_UNUSED" hidden="1">"c7265"</definedName>
    <definedName name="IQ_ECO_METRIC_7279_UNUSED_UNUSED_UNUSED" hidden="1">"c7279"</definedName>
    <definedName name="IQ_ECO_METRIC_7336_UNUSED_UNUSED_UNUSED" hidden="1">"c7336"</definedName>
    <definedName name="IQ_ECO_METRIC_7337_UNUSED_UNUSED_UNUSED" hidden="1">"c7337"</definedName>
    <definedName name="IQ_ECO_METRIC_7428_UNUSED_UNUSED_UNUSED" hidden="1">"c7428"</definedName>
    <definedName name="IQ_ECO_METRIC_7556_UNUSED_UNUSED_UNUSED" hidden="1">"c7556"</definedName>
    <definedName name="IQ_ECO_METRIC_7557_UNUSED_UNUSED_UNUSED" hidden="1">"c7557"</definedName>
    <definedName name="IQ_ECO_METRIC_7648_UNUSED_UNUSED_UNUSED" hidden="1">"c7648"</definedName>
    <definedName name="IQ_ECO_METRIC_7705_UNUSED_UNUSED_UNUSED" hidden="1">"c7705"</definedName>
    <definedName name="IQ_ECO_METRIC_7719_UNUSED_UNUSED_UNUSED" hidden="1">"c7719"</definedName>
    <definedName name="IQ_ECO_METRIC_7776_UNUSED_UNUSED_UNUSED" hidden="1">"c7776"</definedName>
    <definedName name="IQ_ECO_METRIC_7777_UNUSED_UNUSED_UNUSED" hidden="1">"c7777"</definedName>
    <definedName name="IQ_ECO_METRIC_7868_UNUSED_UNUSED_UNUSED" hidden="1">"c7868"</definedName>
    <definedName name="IQ_ECO_METRIC_7925_UNUSED_UNUSED_UNUSED" hidden="1">"c7925"</definedName>
    <definedName name="IQ_ECO_METRIC_7939_UNUSED_UNUSED_UNUSED" hidden="1">"c7939"</definedName>
    <definedName name="IQ_ECO_METRIC_7996_UNUSED_UNUSED_UNUSED" hidden="1">"c7996"</definedName>
    <definedName name="IQ_ECO_METRIC_7997_UNUSED_UNUSED_UNUSED" hidden="1">"c7997"</definedName>
    <definedName name="IQ_ECO_METRIC_8088_UNUSED_UNUSED_UNUSED" hidden="1">"c8088"</definedName>
    <definedName name="IQ_ECO_METRIC_8145_UNUSED_UNUSED_UNUSED" hidden="1">"c8145"</definedName>
    <definedName name="IQ_ECO_METRIC_8159_UNUSED_UNUSED_UNUSED" hidden="1">"c8159"</definedName>
    <definedName name="IQ_ECO_METRIC_8216_UNUSED_UNUSED_UNUSED" hidden="1">"c8216"</definedName>
    <definedName name="IQ_ECO_METRIC_8217_UNUSED_UNUSED_UNUSED" hidden="1">"c8217"</definedName>
    <definedName name="IQ_ECO_METRIC_8308_UNUSED_UNUSED_UNUSED" hidden="1">"c8308"</definedName>
    <definedName name="IQ_ECO_METRIC_8436_UNUSED_UNUSED_UNUSED" hidden="1">"c8436"</definedName>
    <definedName name="IQ_ECO_METRIC_8437_UNUSED_UNUSED_UNUSED" hidden="1">"c8437"</definedName>
    <definedName name="IQ_ECO_METRIC_8528_UNUSED_UNUSED_UNUSED" hidden="1">"c8528"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EST" hidden="1">"c399"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UM_EST" hidden="1">"c402"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" hidden="1">"c1648"</definedName>
    <definedName name="IQ_EST_ACT_FFO_REUT" hidden="1">"c3843"</definedName>
    <definedName name="IQ_EST_CURRENCY" hidden="1">"c2140"</definedName>
    <definedName name="IQ_EST_DATE" hidden="1">"c1634"</definedName>
    <definedName name="IQ_EST_EPS_DIFF" hidden="1">"c1864"</definedName>
    <definedName name="IQ_EST_EPS_GROWTH_1YR" hidden="1">"c1636"</definedName>
    <definedName name="IQ_EST_EPS_GROWTH_5YR" hidden="1">"c1655"</definedName>
    <definedName name="IQ_EST_EPS_GROWTH_Q_1YR" hidden="1">"c1641"</definedName>
    <definedName name="IQ_EST_FFO_DIFF_REUT" hidden="1">"c3890"</definedName>
    <definedName name="IQ_EST_FFO_SURPRISE_PERCENT_REUT" hidden="1">"c3891"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PORTS_APR_FC_UNUSED_UNUSED_UNUSED" hidden="1">"c8401"</definedName>
    <definedName name="IQ_EXPORTS_APR_UNUSED_UNUSED_UNUSED" hidden="1">"c7521"</definedName>
    <definedName name="IQ_EXPORTS_FC_UNUSED_UNUSED_UNUSED" hidden="1">"c7741"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_FC_UNUSED_UNUSED_UNUSED" hidden="1">"c8292"</definedName>
    <definedName name="IQ_EXPORTS_GOODS_REAL_SAAR_YOY_UNUSED_UNUSED_UNUSED" hidden="1">"c7412"</definedName>
    <definedName name="IQ_EXPORTS_POP_FC_UNUSED_UNUSED_UNUSED" hidden="1">"c7961"</definedName>
    <definedName name="IQ_EXPORTS_POP_UNUSED_UNUSED_UNUSED" hidden="1">"c7081"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_FC_UNUSED_UNUSED_UNUSED" hidden="1">"c8296"</definedName>
    <definedName name="IQ_EXPORTS_SERVICES_REAL_SAAR_YOY_UNUSED_UNUSED_UNUSED" hidden="1">"c7416"</definedName>
    <definedName name="IQ_EXPORTS_UNUSED_UNUSED_UNUSED" hidden="1">"c6861"</definedName>
    <definedName name="IQ_EXPORTS_YOY_FC_UNUSED_UNUSED_UNUSED" hidden="1">"c8181"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FO" hidden="1">"c1574"</definedName>
    <definedName name="IQ_FFO_EST_REUT" hidden="1">"c3837"</definedName>
    <definedName name="IQ_FFO_HIGH_EST_REUT" hidden="1">"c3839"</definedName>
    <definedName name="IQ_FFO_LOW_EST_REUT" hidden="1">"c3840"</definedName>
    <definedName name="IQ_FFO_MEDIAN_EST_REUT" hidden="1">"c3838"</definedName>
    <definedName name="IQ_FFO_NUM_EST_REUT" hidden="1">"c3841"</definedName>
    <definedName name="IQ_FFO_STDDEV_EST_REUT" hidden="1">"c3842"</definedName>
    <definedName name="IQ_FH" hidden="1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UNUSED_UNUSED_UNUSED" hidden="1">"c6978"</definedName>
    <definedName name="IQ_FIXED_INVEST_REAL_YOY_FC_UNUSED_UNUSED_UNUSED" hidden="1">"c8298"</definedName>
    <definedName name="IQ_FIXED_INVEST_REAL_YOY_UNUSED_UNUSED_UNUSED" hidden="1">"c7418"</definedName>
    <definedName name="IQ_FIXED_INVEST_UNUSED_UNUSED_UNUSED" hidden="1">"c6870"</definedName>
    <definedName name="IQ_FIXED_INVEST_YOY_FC_UNUSED_UNUSED_UNUSED" hidden="1">"c8190"</definedName>
    <definedName name="IQ_FIXED_INVEST_YOY_UNUSED_UNUSED_UNUSED" hidden="1">"c7310"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PRICE" hidden="1">"c545"</definedName>
    <definedName name="IQ_HOMEOWNERS_WRITTEN" hidden="1">"c546"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IMPAIR_OIL" hidden="1">"c547"</definedName>
    <definedName name="IQ_IMPAIRMENT_GW" hidden="1">"c548"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UNUSED_UNUSED_UNUSED" hidden="1">"c6889"</definedName>
    <definedName name="IQ_IMPORTS_GOODS_SERVICES_YOY_FC_UNUSED_UNUSED_UNUSED" hidden="1">"c8209"</definedName>
    <definedName name="IQ_IMPORTS_GOODS_SERVICES_YOY_UNUSED_UNUSED_UNUSED" hidden="1">"c7329"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_DEBT_NET" hidden="1">"c1391"</definedName>
    <definedName name="IQ_ISS_STOCK_NET" hidden="1">"c1601"</definedName>
    <definedName name="IQ_LAND" hidden="1">"c645"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LTMMONTH" hidden="1">120000</definedName>
    <definedName name="IQ_MACHINERY" hidden="1">"c711"</definedName>
    <definedName name="IQ_MAINT_REPAIR" hidden="1">"c2087"</definedName>
    <definedName name="IQ_MARKETCAP" hidden="1">"c712"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M_ACCOUNT" hidden="1">"c743"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NAMES_REVISION_DATE_" hidden="1">40878.3896527778</definedName>
    <definedName name="IQ_NAV_ACT_OR_EST" hidden="1">"c2225"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UNUSED_UNUSED_UNUSED" hidden="1">"c6928"</definedName>
    <definedName name="IQ_NONRES_FIXED_INVEST_PRIV_YOY_FC_UNUSED_UNUSED_UNUSED" hidden="1">"c8248"</definedName>
    <definedName name="IQ_NONRES_FIXED_INVEST_PRIV_YOY_UNUSED_UNUSED_UNUSED" hidden="1">"c7368"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RATIO" hidden="1">"c1610"</definedName>
    <definedName name="IQ_PENSION" hidden="1">"c1031"</definedName>
    <definedName name="IQ_PERCENT_CHANGE_EST_FFO_12MONTHS" hidden="1">"c1828"</definedName>
    <definedName name="IQ_PERCENT_CHANGE_EST_FFO_12MONTHS_CIQ" hidden="1">"c3769"</definedName>
    <definedName name="IQ_PERCENT_CHANGE_EST_FFO_12MONTHS_REUT" hidden="1">"c3938"</definedName>
    <definedName name="IQ_PERCENT_CHANGE_EST_FFO_18MONTHS" hidden="1">"c1829"</definedName>
    <definedName name="IQ_PERCENT_CHANGE_EST_FFO_18MONTHS_CIQ" hidden="1">"c3770"</definedName>
    <definedName name="IQ_PERCENT_CHANGE_EST_FFO_18MONTHS_REUT" hidden="1">"c3939"</definedName>
    <definedName name="IQ_PERCENT_CHANGE_EST_FFO_3MONTHS" hidden="1">"c1825"</definedName>
    <definedName name="IQ_PERCENT_CHANGE_EST_FFO_3MONTHS_CIQ" hidden="1">"c3766"</definedName>
    <definedName name="IQ_PERCENT_CHANGE_EST_FFO_3MONTHS_REUT" hidden="1">"c3935"</definedName>
    <definedName name="IQ_PERCENT_CHANGE_EST_FFO_6MONTHS" hidden="1">"c1826"</definedName>
    <definedName name="IQ_PERCENT_CHANGE_EST_FFO_6MONTHS_CIQ" hidden="1">"c3767"</definedName>
    <definedName name="IQ_PERCENT_CHANGE_EST_FFO_6MONTHS_REUT" hidden="1">"c3936"</definedName>
    <definedName name="IQ_PERCENT_CHANGE_EST_FFO_9MONTHS" hidden="1">"c1827"</definedName>
    <definedName name="IQ_PERCENT_CHANGE_EST_FFO_9MONTHS_CIQ" hidden="1">"c3768"</definedName>
    <definedName name="IQ_PERCENT_CHANGE_EST_FFO_9MONTHS_REUT" hidden="1">"c3937"</definedName>
    <definedName name="IQ_PERCENT_CHANGE_EST_FFO_DAY" hidden="1">"c1822"</definedName>
    <definedName name="IQ_PERCENT_CHANGE_EST_FFO_DAY_CIQ" hidden="1">"c3764"</definedName>
    <definedName name="IQ_PERCENT_CHANGE_EST_FFO_DAY_REUT" hidden="1">"c3933"</definedName>
    <definedName name="IQ_PERCENT_CHANGE_EST_FFO_MONTH" hidden="1">"c1824"</definedName>
    <definedName name="IQ_PERCENT_CHANGE_EST_FFO_MONTH_CIQ" hidden="1">"c3765"</definedName>
    <definedName name="IQ_PERCENT_CHANGE_EST_FFO_MONTH_REUT" hidden="1">"c3934"</definedName>
    <definedName name="IQ_PERCENT_CHANGE_EST_FFO_WEEK" hidden="1">"c1823"</definedName>
    <definedName name="IQ_PERCENT_CHANGE_EST_FFO_WEEK_CIQ" hidden="1">"c3795"</definedName>
    <definedName name="IQ_PERCENT_CHANGE_EST_FFO_WEEK_REUT" hidden="1">"c3964"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UTI" hidden="1">"c1125"</definedName>
    <definedName name="IQ_REVENUE" hidden="1">"c1422"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OWN" hidden="1">"c1153"</definedName>
    <definedName name="IQ_SECURITY_RESELL" hidden="1">"c1154"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MPLOYEE_AVG" hidden="1">"c1225"</definedName>
    <definedName name="IQ_TEV_TOTAL_REV" hidden="1">"c1226"</definedName>
    <definedName name="IQ_TEV_TOTAL_REV_AVG" hidden="1">"c1227"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EK" hidden="1">50000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"c2104"</definedName>
    <definedName name="IQ_YEARHIGH" hidden="1">"c1337"</definedName>
    <definedName name="IQ_YEARLOW" hidden="1">"c1338"</definedName>
    <definedName name="IQ_YTD" hidden="1">3000</definedName>
    <definedName name="IQ_YTDMONTH" hidden="1">130000</definedName>
    <definedName name="IQ_Z_SCORE" hidden="1">"c1339"</definedName>
    <definedName name="Items">#REF!</definedName>
    <definedName name="iuy" localSheetId="0" hidden="1">{#N/A,#N/A,FALSE,"SUMMARY REPORT"}</definedName>
    <definedName name="iuy" hidden="1">{#N/A,#N/A,FALSE,"SUMMARY REPORT"}</definedName>
    <definedName name="j" hidden="1">#REF!</definedName>
    <definedName name="jgSLKGHI" localSheetId="0" hidden="1">{#N/A,#N/A,FALSE,"Hoja10";#N/A,#N/A,FALSE,"Hoja9";#N/A,#N/A,FALSE,"Hoja8";#N/A,#N/A,FALSE,"Hoja7";#N/A,#N/A,FALSE,"Hoja6";#N/A,#N/A,FALSE,"Hoja5";#N/A,#N/A,FALSE,"Hoja4";#N/A,#N/A,FALSE,"Hoja2";#N/A,#N/A,FALSE,"Hoja3";#N/A,#N/A,FALSE,"HOJA1";#N/A,#N/A,FALSE,"CashFlow";#N/A,#N/A,FALSE,"FinStmts"}</definedName>
    <definedName name="jgSLKGHI" hidden="1">{#N/A,#N/A,FALSE,"Hoja10";#N/A,#N/A,FALSE,"Hoja9";#N/A,#N/A,FALSE,"Hoja8";#N/A,#N/A,FALSE,"Hoja7";#N/A,#N/A,FALSE,"Hoja6";#N/A,#N/A,FALSE,"Hoja5";#N/A,#N/A,FALSE,"Hoja4";#N/A,#N/A,FALSE,"Hoja2";#N/A,#N/A,FALSE,"Hoja3";#N/A,#N/A,FALSE,"HOJA1";#N/A,#N/A,FALSE,"CashFlow";#N/A,#N/A,FALSE,"FinStmts"}</definedName>
    <definedName name="jhgnh" localSheetId="0" hidden="1">{#N/A,#N/A,FALSE,"Hoja10";#N/A,#N/A,FALSE,"Hoja9";#N/A,#N/A,FALSE,"Hoja8";#N/A,#N/A,FALSE,"Hoja7";#N/A,#N/A,FALSE,"Hoja6";#N/A,#N/A,FALSE,"Hoja5";#N/A,#N/A,FALSE,"Hoja4";#N/A,#N/A,FALSE,"Hoja2";#N/A,#N/A,FALSE,"Hoja3";#N/A,#N/A,FALSE,"HOJA1";#N/A,#N/A,FALSE,"CashFlow";#N/A,#N/A,FALSE,"FinStmts"}</definedName>
    <definedName name="jhgnh" hidden="1">{#N/A,#N/A,FALSE,"Hoja10";#N/A,#N/A,FALSE,"Hoja9";#N/A,#N/A,FALSE,"Hoja8";#N/A,#N/A,FALSE,"Hoja7";#N/A,#N/A,FALSE,"Hoja6";#N/A,#N/A,FALSE,"Hoja5";#N/A,#N/A,FALSE,"Hoja4";#N/A,#N/A,FALSE,"Hoja2";#N/A,#N/A,FALSE,"Hoja3";#N/A,#N/A,FALSE,"HOJA1";#N/A,#N/A,FALSE,"CashFlow";#N/A,#N/A,FALSE,"FinStmts"}</definedName>
    <definedName name="JHL.LJ" localSheetId="0" hidden="1">{#N/A,#N/A,FALSE,"RECEIVABLES";#N/A,#N/A,FALSE,"TRADE RECEIVABLES";#N/A,#N/A,FALSE,"COLLECTION DAYS";#N/A,#N/A,FALSE,"PRODUCTION INVENTORY";#N/A,#N/A,FALSE,"PITO";#N/A,#N/A,FALSE,"NOA"}</definedName>
    <definedName name="JHL.LJ" hidden="1">{#N/A,#N/A,FALSE,"RECEIVABLES";#N/A,#N/A,FALSE,"TRADE RECEIVABLES";#N/A,#N/A,FALSE,"COLLECTION DAYS";#N/A,#N/A,FALSE,"PRODUCTION INVENTORY";#N/A,#N/A,FALSE,"PITO";#N/A,#N/A,FALSE,"NOA"}</definedName>
    <definedName name="jil" localSheetId="0" hidden="1">{#N/A,#N/A,FALSE,"SUMMARY REPORT"}</definedName>
    <definedName name="jil" hidden="1">{#N/A,#N/A,FALSE,"SUMMARY REPORT"}</definedName>
    <definedName name="jiohif" localSheetId="0" hidden="1">{#N/A,#N/A,FALSE,"SUMMARY REPORT"}</definedName>
    <definedName name="jiohif" hidden="1">{#N/A,#N/A,FALSE,"SUMMARY REPORT"}</definedName>
    <definedName name="jkjh" localSheetId="0" hidden="1">{#N/A,#N/A,FALSE,"196126-0690";#N/A,#N/A,FALSE,"196126-0690";#N/A,#N/A,FALSE,"1961165-0201"}</definedName>
    <definedName name="jkjh" hidden="1">{#N/A,#N/A,FALSE,"196126-0690";#N/A,#N/A,FALSE,"196126-0690";#N/A,#N/A,FALSE,"1961165-0201"}</definedName>
    <definedName name="jlp" localSheetId="0" hidden="1">{#N/A,#N/A,FALSE,"SUMMARY REPORT"}</definedName>
    <definedName name="jlp" hidden="1">{#N/A,#N/A,FALSE,"SUMMARY REPORT"}</definedName>
    <definedName name="JNFDTJ" localSheetId="0" hidden="1">{#N/A,#N/A,FALSE,"sales &amp; mics income";#N/A,#N/A,FALSE,"revenue mix";#N/A,#N/A,FALSE,"EBIT REC";#N/A,#N/A,FALSE,"R&amp;DRLAV2";#N/A,#N/A,FALSE,"Cycle Time";#N/A,#N/A,FALSE,"Mnpwr &amp; Fac";#N/A,#N/A,FALSE,"Prod Facil";#N/A,#N/A,FALSE,"Mfg Prod";#N/A,#N/A,FALSE,"CAPEX";#N/A,#N/A,FALSE,"NOA";#N/A,#N/A,FALSE,"cash flow";#N/A,#N/A,FALSE,"FA 18 EF ACS PACK";#N/A,#N/A,FALSE,"aftermarket";#N/A,#N/A,FALSE,"COMM'L SPARES (2)";#N/A,#N/A,FALSE,"EBIT Recovery Plan";#N/A,#N/A,FALSE,"RECON94 (2)";#N/A,#N/A,FALSE,"sg&amp;a";#N/A,#N/A,FALSE,"EMPLOYEES";#N/A,#N/A,FALSE,"BOEING 777";#N/A,#N/A,FALSE,"o&amp;r";#N/A,#N/A,FALSE,"F-18 ECS";#N/A,#N/A,FALSE,"Lead Time";#N/A,#N/A,FALSE,"mfg cycle time"}</definedName>
    <definedName name="JNFDTJ" hidden="1">{#N/A,#N/A,FALSE,"sales &amp; mics income";#N/A,#N/A,FALSE,"revenue mix";#N/A,#N/A,FALSE,"EBIT REC";#N/A,#N/A,FALSE,"R&amp;DRLAV2";#N/A,#N/A,FALSE,"Cycle Time";#N/A,#N/A,FALSE,"Mnpwr &amp; Fac";#N/A,#N/A,FALSE,"Prod Facil";#N/A,#N/A,FALSE,"Mfg Prod";#N/A,#N/A,FALSE,"CAPEX";#N/A,#N/A,FALSE,"NOA";#N/A,#N/A,FALSE,"cash flow";#N/A,#N/A,FALSE,"FA 18 EF ACS PACK";#N/A,#N/A,FALSE,"aftermarket";#N/A,#N/A,FALSE,"COMM'L SPARES (2)";#N/A,#N/A,FALSE,"EBIT Recovery Plan";#N/A,#N/A,FALSE,"RECON94 (2)";#N/A,#N/A,FALSE,"sg&amp;a";#N/A,#N/A,FALSE,"EMPLOYEES";#N/A,#N/A,FALSE,"BOEING 777";#N/A,#N/A,FALSE,"o&amp;r";#N/A,#N/A,FALSE,"F-18 ECS";#N/A,#N/A,FALSE,"Lead Time";#N/A,#N/A,FALSE,"mfg cycle time"}</definedName>
    <definedName name="jsd" localSheetId="0" hidden="1">{#N/A,#N/A,FALSE,"SUMMARY REPORT"}</definedName>
    <definedName name="jsd" hidden="1">{#N/A,#N/A,FALSE,"SUMMARY REPORT"}</definedName>
    <definedName name="juil" localSheetId="0" hidden="1">{#N/A,#N/A,FALSE,"SUMMARY REPORT"}</definedName>
    <definedName name="juil" hidden="1">{#N/A,#N/A,FALSE,"SUMMARY REPORT"}</definedName>
    <definedName name="keo" localSheetId="0" hidden="1">{#N/A,#N/A,FALSE,"Hoja10";#N/A,#N/A,FALSE,"Hoja9";#N/A,#N/A,FALSE,"Hoja8";#N/A,#N/A,FALSE,"Hoja7";#N/A,#N/A,FALSE,"Hoja6";#N/A,#N/A,FALSE,"Hoja5";#N/A,#N/A,FALSE,"Hoja4";#N/A,#N/A,FALSE,"Hoja2";#N/A,#N/A,FALSE,"Hoja3";#N/A,#N/A,FALSE,"HOJA1";#N/A,#N/A,FALSE,"CashFlow";#N/A,#N/A,FALSE,"FinStmts"}</definedName>
    <definedName name="keo" hidden="1">{#N/A,#N/A,FALSE,"Hoja10";#N/A,#N/A,FALSE,"Hoja9";#N/A,#N/A,FALSE,"Hoja8";#N/A,#N/A,FALSE,"Hoja7";#N/A,#N/A,FALSE,"Hoja6";#N/A,#N/A,FALSE,"Hoja5";#N/A,#N/A,FALSE,"Hoja4";#N/A,#N/A,FALSE,"Hoja2";#N/A,#N/A,FALSE,"Hoja3";#N/A,#N/A,FALSE,"HOJA1";#N/A,#N/A,FALSE,"CashFlow";#N/A,#N/A,FALSE,"FinStmts"}</definedName>
    <definedName name="key" hidden="1">[20]WCrestated!#REF!</definedName>
    <definedName name="KHG" localSheetId="0" hidden="1">{#N/A,#N/A,FALSE,"196126-0690";#N/A,#N/A,FALSE,"196126-0690";#N/A,#N/A,FALSE,"1961165-0201"}</definedName>
    <definedName name="KHG" hidden="1">{#N/A,#N/A,FALSE,"196126-0690";#N/A,#N/A,FALSE,"196126-0690";#N/A,#N/A,FALSE,"1961165-0201"}</definedName>
    <definedName name="KOT7EO" localSheetId="0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KOT7EO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kp" localSheetId="0" hidden="1">{#N/A,#N/A,FALSE,"SUMMARY REPORT"}</definedName>
    <definedName name="kp" hidden="1">{#N/A,#N/A,FALSE,"SUMMARY REPORT"}</definedName>
    <definedName name="Labor_Rate">[13]StandardRates!$C$2:$AA$5</definedName>
    <definedName name="labour">#REF!</definedName>
    <definedName name="Labourtype">'[21]PCBA Assembly Process'!$F$104:$F$107</definedName>
    <definedName name="LKJ" localSheetId="0" hidden="1">{#N/A,#N/A,FALSE,"을지 (4)";#N/A,#N/A,FALSE,"을지 (5)";#N/A,#N/A,FALSE,"을지 (6)"}</definedName>
    <definedName name="LKJ" hidden="1">{#N/A,#N/A,FALSE,"을지 (4)";#N/A,#N/A,FALSE,"을지 (5)";#N/A,#N/A,FALSE,"을지 (6)"}</definedName>
    <definedName name="ll" localSheetId="0" hidden="1">{#N/A,#N/A,FALSE,"Hoja10";#N/A,#N/A,FALSE,"Hoja9";#N/A,#N/A,FALSE,"Hoja8";#N/A,#N/A,FALSE,"Hoja7";#N/A,#N/A,FALSE,"Hoja6";#N/A,#N/A,FALSE,"Hoja5";#N/A,#N/A,FALSE,"Hoja4";#N/A,#N/A,FALSE,"Hoja2";#N/A,#N/A,FALSE,"Hoja3";#N/A,#N/A,FALSE,"HOJA1";#N/A,#N/A,FALSE,"CashFlow";#N/A,#N/A,FALSE,"FinStmts"}</definedName>
    <definedName name="ll" hidden="1">{#N/A,#N/A,FALSE,"Hoja10";#N/A,#N/A,FALSE,"Hoja9";#N/A,#N/A,FALSE,"Hoja8";#N/A,#N/A,FALSE,"Hoja7";#N/A,#N/A,FALSE,"Hoja6";#N/A,#N/A,FALSE,"Hoja5";#N/A,#N/A,FALSE,"Hoja4";#N/A,#N/A,FALSE,"Hoja2";#N/A,#N/A,FALSE,"Hoja3";#N/A,#N/A,FALSE,"HOJA1";#N/A,#N/A,FALSE,"CashFlow";#N/A,#N/A,FALSE,"FinStmts"}</definedName>
    <definedName name="LLL" localSheetId="0" hidden="1">{#N/A,#N/A,FALSE,"KMC최종회의(7월) 자료"}</definedName>
    <definedName name="LLL" hidden="1">{#N/A,#N/A,FALSE,"KMC최종회의(7월) 자료"}</definedName>
    <definedName name="LR" localSheetId="0" hidden="1">{#N/A,#N/A,FALSE,"OMM III";#N/A,#N/A,FALSE,"1995 PLAN";#N/A,#N/A,FALSE,"1995 TARGET";#N/A,#N/A,FALSE,"1995 ADJUSTED"}</definedName>
    <definedName name="LR" hidden="1">{#N/A,#N/A,FALSE,"OMM III";#N/A,#N/A,FALSE,"1995 PLAN";#N/A,#N/A,FALSE,"1995 TARGET";#N/A,#N/A,FALSE,"1995 ADJUSTED"}</definedName>
    <definedName name="LTRECV">[11]DataYTD!$B$192</definedName>
    <definedName name="Mach.">#REF!</definedName>
    <definedName name="Machine">#REF!</definedName>
    <definedName name="machines">#REF!</definedName>
    <definedName name="Machining_Dt">#REF!</definedName>
    <definedName name="MACHINING_MC_NAME">[13]StandardRates!$B$101:$B$122</definedName>
    <definedName name="MachRates2">'[22]Should Cost'!#REF!</definedName>
    <definedName name="MainArea1">#REF!,#REF!,#REF!,#REF!,#REF!,#REF!,#REF!,#REF!</definedName>
    <definedName name="MainArea3">#REF!,#REF!,#REF!,#REF!</definedName>
    <definedName name="majda" localSheetId="0" hidden="1">{#N/A,#N/A,FALSE,"Cash Flows";#N/A,#N/A,FALSE,"Fixed Assets";#N/A,#N/A,FALSE,"Balance Sheet";#N/A,#N/A,FALSE,"P &amp; L"}</definedName>
    <definedName name="majda" hidden="1">{#N/A,#N/A,FALSE,"Cash Flows";#N/A,#N/A,FALSE,"Fixed Assets";#N/A,#N/A,FALSE,"Balance Sheet";#N/A,#N/A,FALSE,"P &amp; L"}</definedName>
    <definedName name="Manpower1" localSheetId="0" hidden="1">{#N/A,#N/A,FALSE,"SUMMARY REPORT"}</definedName>
    <definedName name="Manpower1" hidden="1">{#N/A,#N/A,FALSE,"SUMMARY REPORT"}</definedName>
    <definedName name="mat.form">[14]Cylinder!$C$339:$C$342</definedName>
    <definedName name="MATL">#REF!</definedName>
    <definedName name="MCV.WEEKLY" localSheetId="0" hidden="1">{#N/A,#N/A,FALSE,"SUMMARY REPORT"}</definedName>
    <definedName name="MCV.WEEKLY" hidden="1">{#N/A,#N/A,FALSE,"SUMMARY REPORT"}</definedName>
    <definedName name="Meat">#REF!</definedName>
    <definedName name="mht" localSheetId="0" hidden="1">{#N/A,#N/A,FALSE,"SUMMARY REPORT"}</definedName>
    <definedName name="mht" hidden="1">{#N/A,#N/A,FALSE,"SUMMARY REPORT"}</definedName>
    <definedName name="MIM">[23]Notes!$D$11</definedName>
    <definedName name="min">#REF!</definedName>
    <definedName name="mjy" localSheetId="0" hidden="1">{#N/A,#N/A,FALSE,"SUMMARY REPORT"}</definedName>
    <definedName name="mjy" hidden="1">{#N/A,#N/A,FALSE,"SUMMARY REPORT"}</definedName>
    <definedName name="MKFSD" localSheetId="0" hidden="1">{#N/A,#N/A,FALSE,"Hoja10";#N/A,#N/A,FALSE,"Hoja9";#N/A,#N/A,FALSE,"Hoja8";#N/A,#N/A,FALSE,"Hoja7";#N/A,#N/A,FALSE,"Hoja6";#N/A,#N/A,FALSE,"Hoja5";#N/A,#N/A,FALSE,"Hoja4";#N/A,#N/A,FALSE,"Hoja2";#N/A,#N/A,FALSE,"Hoja3";#N/A,#N/A,FALSE,"HOJA1";#N/A,#N/A,FALSE,"CashFlow";#N/A,#N/A,FALSE,"FinStmts"}</definedName>
    <definedName name="MKFSD" hidden="1">{#N/A,#N/A,FALSE,"Hoja10";#N/A,#N/A,FALSE,"Hoja9";#N/A,#N/A,FALSE,"Hoja8";#N/A,#N/A,FALSE,"Hoja7";#N/A,#N/A,FALSE,"Hoja6";#N/A,#N/A,FALSE,"Hoja5";#N/A,#N/A,FALSE,"Hoja4";#N/A,#N/A,FALSE,"Hoja2";#N/A,#N/A,FALSE,"Hoja3";#N/A,#N/A,FALSE,"HOJA1";#N/A,#N/A,FALSE,"CashFlow";#N/A,#N/A,FALSE,"FinStmts"}</definedName>
    <definedName name="mmmm" localSheetId="0" hidden="1">{#N/A,#N/A,FALSE,"Hoja10";#N/A,#N/A,FALSE,"Hoja9";#N/A,#N/A,FALSE,"Hoja8";#N/A,#N/A,FALSE,"Hoja7";#N/A,#N/A,FALSE,"Hoja6";#N/A,#N/A,FALSE,"Hoja5";#N/A,#N/A,FALSE,"Hoja4";#N/A,#N/A,FALSE,"Hoja2";#N/A,#N/A,FALSE,"Hoja3";#N/A,#N/A,FALSE,"HOJA1";#N/A,#N/A,FALSE,"CashFlow";#N/A,#N/A,FALSE,"FinStmts"}</definedName>
    <definedName name="mmmm" hidden="1">{#N/A,#N/A,FALSE,"Hoja10";#N/A,#N/A,FALSE,"Hoja9";#N/A,#N/A,FALSE,"Hoja8";#N/A,#N/A,FALSE,"Hoja7";#N/A,#N/A,FALSE,"Hoja6";#N/A,#N/A,FALSE,"Hoja5";#N/A,#N/A,FALSE,"Hoja4";#N/A,#N/A,FALSE,"Hoja2";#N/A,#N/A,FALSE,"Hoja3";#N/A,#N/A,FALSE,"HOJA1";#N/A,#N/A,FALSE,"CashFlow";#N/A,#N/A,FALSE,"FinStmts"}</definedName>
    <definedName name="mmnbv" localSheetId="0" hidden="1">{#N/A,#N/A,FALSE,"SUMMARY REPORT"}</definedName>
    <definedName name="mmnbv" hidden="1">{#N/A,#N/A,FALSE,"SUMMARY REPORT"}</definedName>
    <definedName name="mnb" localSheetId="0" hidden="1">{#N/A,#N/A,FALSE,"SUMMARY REPORT"}</definedName>
    <definedName name="mnb" hidden="1">{#N/A,#N/A,FALSE,"SUMMARY REPORT"}</definedName>
    <definedName name="mnh" localSheetId="0" hidden="1">{#N/A,#N/A,FALSE,"SUMMARY REPORT"}</definedName>
    <definedName name="mnh" hidden="1">{#N/A,#N/A,FALSE,"SUMMARY REPORT"}</definedName>
    <definedName name="MoreFruit">#REF!</definedName>
    <definedName name="MoreItem">#REF!</definedName>
    <definedName name="MoreItems">#REF!</definedName>
    <definedName name="mtr" localSheetId="0" hidden="1">{#N/A,#N/A,FALSE,"SUMMARY REPORT"}</definedName>
    <definedName name="mtr" hidden="1">{#N/A,#N/A,FALSE,"SUMMARY REPORT"}</definedName>
    <definedName name="name1" localSheetId="0" hidden="1">{#N/A,#N/A,FALSE,"Hoja10";#N/A,#N/A,FALSE,"Hoja9";#N/A,#N/A,FALSE,"Hoja8";#N/A,#N/A,FALSE,"Hoja7";#N/A,#N/A,FALSE,"Hoja6";#N/A,#N/A,FALSE,"Hoja5";#N/A,#N/A,FALSE,"Hoja4";#N/A,#N/A,FALSE,"Hoja2";#N/A,#N/A,FALSE,"Hoja3";#N/A,#N/A,FALSE,"HOJA1";#N/A,#N/A,FALSE,"CashFlow";#N/A,#N/A,FALSE,"FinStmts"}</definedName>
    <definedName name="name1" hidden="1">{#N/A,#N/A,FALSE,"Hoja10";#N/A,#N/A,FALSE,"Hoja9";#N/A,#N/A,FALSE,"Hoja8";#N/A,#N/A,FALSE,"Hoja7";#N/A,#N/A,FALSE,"Hoja6";#N/A,#N/A,FALSE,"Hoja5";#N/A,#N/A,FALSE,"Hoja4";#N/A,#N/A,FALSE,"Hoja2";#N/A,#N/A,FALSE,"Hoja3";#N/A,#N/A,FALSE,"HOJA1";#N/A,#N/A,FALSE,"CashFlow";#N/A,#N/A,FALSE,"FinStmts"}</definedName>
    <definedName name="name2" localSheetId="0" hidden="1">{#N/A,#N/A,FALSE,"Hoja10";#N/A,#N/A,FALSE,"Hoja9";#N/A,#N/A,FALSE,"Hoja8";#N/A,#N/A,FALSE,"Hoja7";#N/A,#N/A,FALSE,"Hoja6";#N/A,#N/A,FALSE,"Hoja5";#N/A,#N/A,FALSE,"Hoja4";#N/A,#N/A,FALSE,"Hoja2";#N/A,#N/A,FALSE,"Hoja3";#N/A,#N/A,FALSE,"HOJA1";#N/A,#N/A,FALSE,"CashFlow";#N/A,#N/A,FALSE,"FinStmts"}</definedName>
    <definedName name="name2" hidden="1">{#N/A,#N/A,FALSE,"Hoja10";#N/A,#N/A,FALSE,"Hoja9";#N/A,#N/A,FALSE,"Hoja8";#N/A,#N/A,FALSE,"Hoja7";#N/A,#N/A,FALSE,"Hoja6";#N/A,#N/A,FALSE,"Hoja5";#N/A,#N/A,FALSE,"Hoja4";#N/A,#N/A,FALSE,"Hoja2";#N/A,#N/A,FALSE,"Hoja3";#N/A,#N/A,FALSE,"HOJA1";#N/A,#N/A,FALSE,"CashFlow";#N/A,#N/A,FALSE,"FinStmts"}</definedName>
    <definedName name="name3" localSheetId="0" hidden="1">{#N/A,#N/A,FALSE,"Hoja10";#N/A,#N/A,FALSE,"Hoja9";#N/A,#N/A,FALSE,"Hoja8";#N/A,#N/A,FALSE,"Hoja7";#N/A,#N/A,FALSE,"Hoja6";#N/A,#N/A,FALSE,"Hoja5";#N/A,#N/A,FALSE,"Hoja4";#N/A,#N/A,FALSE,"Hoja2";#N/A,#N/A,FALSE,"Hoja3";#N/A,#N/A,FALSE,"HOJA1";#N/A,#N/A,FALSE,"CashFlow";#N/A,#N/A,FALSE,"FinStmts"}</definedName>
    <definedName name="name3" hidden="1">{#N/A,#N/A,FALSE,"Hoja10";#N/A,#N/A,FALSE,"Hoja9";#N/A,#N/A,FALSE,"Hoja8";#N/A,#N/A,FALSE,"Hoja7";#N/A,#N/A,FALSE,"Hoja6";#N/A,#N/A,FALSE,"Hoja5";#N/A,#N/A,FALSE,"Hoja4";#N/A,#N/A,FALSE,"Hoja2";#N/A,#N/A,FALSE,"Hoja3";#N/A,#N/A,FALSE,"HOJA1";#N/A,#N/A,FALSE,"CashFlow";#N/A,#N/A,FALSE,"FinStmts"}</definedName>
    <definedName name="name4" localSheetId="0" hidden="1">{#N/A,#N/A,FALSE,"Cover";#N/A,#N/A,FALSE,"Cover (2)";#N/A,#N/A,FALSE,"P&amp;LSUM";#N/A,#N/A,FALSE,"P&amp;L BY SEG.";#N/A,#N/A,FALSE,"ProdLine95LE";#N/A,#N/A,FALSE,"ACT_GROSSMARGIN";#N/A,#N/A,FALSE,"SG&amp;A $";#N/A,#N/A,FALSE,"OID";#N/A,#N/A,FALSE,"ROADMAP (2)";#N/A,#N/A,FALSE,"WCPERFORM";#N/A,#N/A,FALSE,"WCPERFORM (3)";#N/A,#N/A,FALSE,"CORPCASHFLOW";#N/A,#N/A,FALSE,"CASHFLOWFWC";#N/A,#N/A,FALSE,"CAPITAL EXPENDITURES";#N/A,#N/A,FALSE,"96RISKS&amp;OPP";#N/A,#N/A,FALSE,"KeyActions";#N/A,#N/A,FALSE,"Cover (3)";#N/A,#N/A,FALSE,"GROWTH";#N/A,#N/A,FALSE,"HVACMARASSUM";#N/A,#N/A,FALSE,"MARKETANA95";#N/A,#N/A,FALSE,"MARKETANA96F";#N/A,#N/A,FALSE,"MARKETANA97P";#N/A,#N/A,FALSE,"SRVMARKETASSUM";#N/A,#N/A,FALSE,"95COMPETSOM%";#N/A,#N/A,FALSE,"96COMPETSOM% ";#N/A,#N/A,FALSE,"97COMPETSOM%";#N/A,#N/A,FALSE,"SOM%COMPARE";#N/A,#N/A,FALSE,"MARKETEVOL";#N/A,#N/A,FALSE,"COMPMKTACTION";#N/A,#N/A,FALSE,"SECTION 2";#N/A,#N/A,FALSE,"MACROECONOMIC";#N/A,#N/A,FALSE,"ROADMAP";#N/A,#N/A,FALSE,"HVACSALESEXT";#N/A,#N/A,FALSE,"EXTPRICINGASSUM";#N/A,#N/A,FALSE,"HVACSALESINT";#N/A,#N/A,FALSE,"INTPRICINGASSUM";#N/A,#N/A,FALSE,"EXTHVACSTDGROS";#N/A,#N/A,FALSE,"INTHVACSTDGROS";#N/A,#N/A,FALSE,"EXTHVACSTDGROS($)";#N/A,#N/A,FALSE,"INTHVACSTDGROS($)";#N/A,#N/A,FALSE,"MANUFACTURING EXPENSES";#N/A,#N/A,FALSE,"ACTGROSMAGANA(2)";#N/A,#N/A,FALSE,"SG&amp;A $ (2)";#N/A,#N/A,FALSE,"R&amp;DPROJECTS";#N/A,#N/A,FALSE,"OID (2)";#N/A,#N/A,FALSE,"P&amp;LSUM (3)";#N/A,#N/A,FALSE,"P&amp;L BY SEG. (2)";#N/A,#N/A,FALSE,"ProdLine97P ";#N/A,#N/A,FALSE,"HEADCOUNT-YTD";#N/A,#N/A,FALSE,"HEADCOUNT-BOY";#N/A,#N/A,FALSE,"HEADCOUNT-PLAN";#N/A,#N/A,FALSE,"WCPERFORM (2)";#N/A,#N/A,FALSE,"WCPERFORM (4)";#N/A,#N/A,FALSE,"PLANCORPCASHFLOW";#N/A,#N/A,FALSE,"CASHFLOW BY QTR";#N/A,#N/A,FALSE,"CASHFLOWW_C (2)";#N/A,#N/A,FALSE,"CF_W_C BY QTR";#N/A,#N/A,FALSE,"CAPITAL EXPENDITURES (2)";#N/A,#N/A,FALSE,"BALANCE SHEET";#N/A,#N/A,FALSE,"97RISKS&amp;OPP (3)";#N/A,#N/A,FALSE,"KeyActions (2)";#N/A,#N/A,FALSE,"Cover (5)";#N/A,#N/A,FALSE,"RDMAP FCST VOL";#N/A,#N/A,FALSE,"Cover (4)";#N/A,#N/A,FALSE,"RDMAPVOLUME";#N/A,#N/A,FALSE,"RDMAPPRICEMIX";#N/A,#N/A,FALSE,"RDMAPMGNRECON";#N/A,#N/A,FALSE,"RDMAPPRODUC";#N/A,#N/A,FALSE,"RDMAPFXPARITY";#N/A,#N/A,FALSE,"RDMAPINFLM";#N/A,#N/A,FALSE,"RDMAPINFLP";#N/A,#N/A,FALSE,"RDMAPOTHER"}</definedName>
    <definedName name="name4" hidden="1">{#N/A,#N/A,FALSE,"Cover";#N/A,#N/A,FALSE,"Cover (2)";#N/A,#N/A,FALSE,"P&amp;LSUM";#N/A,#N/A,FALSE,"P&amp;L BY SEG.";#N/A,#N/A,FALSE,"ProdLine95LE";#N/A,#N/A,FALSE,"ACT_GROSSMARGIN";#N/A,#N/A,FALSE,"SG&amp;A $";#N/A,#N/A,FALSE,"OID";#N/A,#N/A,FALSE,"ROADMAP (2)";#N/A,#N/A,FALSE,"WCPERFORM";#N/A,#N/A,FALSE,"WCPERFORM (3)";#N/A,#N/A,FALSE,"CORPCASHFLOW";#N/A,#N/A,FALSE,"CASHFLOWFWC";#N/A,#N/A,FALSE,"CAPITAL EXPENDITURES";#N/A,#N/A,FALSE,"96RISKS&amp;OPP";#N/A,#N/A,FALSE,"KeyActions";#N/A,#N/A,FALSE,"Cover (3)";#N/A,#N/A,FALSE,"GROWTH";#N/A,#N/A,FALSE,"HVACMARASSUM";#N/A,#N/A,FALSE,"MARKETANA95";#N/A,#N/A,FALSE,"MARKETANA96F";#N/A,#N/A,FALSE,"MARKETANA97P";#N/A,#N/A,FALSE,"SRVMARKETASSUM";#N/A,#N/A,FALSE,"95COMPETSOM%";#N/A,#N/A,FALSE,"96COMPETSOM% ";#N/A,#N/A,FALSE,"97COMPETSOM%";#N/A,#N/A,FALSE,"SOM%COMPARE";#N/A,#N/A,FALSE,"MARKETEVOL";#N/A,#N/A,FALSE,"COMPMKTACTION";#N/A,#N/A,FALSE,"SECTION 2";#N/A,#N/A,FALSE,"MACROECONOMIC";#N/A,#N/A,FALSE,"ROADMAP";#N/A,#N/A,FALSE,"HVACSALESEXT";#N/A,#N/A,FALSE,"EXTPRICINGASSUM";#N/A,#N/A,FALSE,"HVACSALESINT";#N/A,#N/A,FALSE,"INTPRICINGASSUM";#N/A,#N/A,FALSE,"EXTHVACSTDGROS";#N/A,#N/A,FALSE,"INTHVACSTDGROS";#N/A,#N/A,FALSE,"EXTHVACSTDGROS($)";#N/A,#N/A,FALSE,"INTHVACSTDGROS($)";#N/A,#N/A,FALSE,"MANUFACTURING EXPENSES";#N/A,#N/A,FALSE,"ACTGROSMAGANA(2)";#N/A,#N/A,FALSE,"SG&amp;A $ (2)";#N/A,#N/A,FALSE,"R&amp;DPROJECTS";#N/A,#N/A,FALSE,"OID (2)";#N/A,#N/A,FALSE,"P&amp;LSUM (3)";#N/A,#N/A,FALSE,"P&amp;L BY SEG. (2)";#N/A,#N/A,FALSE,"ProdLine97P ";#N/A,#N/A,FALSE,"HEADCOUNT-YTD";#N/A,#N/A,FALSE,"HEADCOUNT-BOY";#N/A,#N/A,FALSE,"HEADCOUNT-PLAN";#N/A,#N/A,FALSE,"WCPERFORM (2)";#N/A,#N/A,FALSE,"WCPERFORM (4)";#N/A,#N/A,FALSE,"PLANCORPCASHFLOW";#N/A,#N/A,FALSE,"CASHFLOW BY QTR";#N/A,#N/A,FALSE,"CASHFLOWW_C (2)";#N/A,#N/A,FALSE,"CF_W_C BY QTR";#N/A,#N/A,FALSE,"CAPITAL EXPENDITURES (2)";#N/A,#N/A,FALSE,"BALANCE SHEET";#N/A,#N/A,FALSE,"97RISKS&amp;OPP (3)";#N/A,#N/A,FALSE,"KeyActions (2)";#N/A,#N/A,FALSE,"Cover (5)";#N/A,#N/A,FALSE,"RDMAP FCST VOL";#N/A,#N/A,FALSE,"Cover (4)";#N/A,#N/A,FALSE,"RDMAPVOLUME";#N/A,#N/A,FALSE,"RDMAPPRICEMIX";#N/A,#N/A,FALSE,"RDMAPMGNRECON";#N/A,#N/A,FALSE,"RDMAPPRODUC";#N/A,#N/A,FALSE,"RDMAPFXPARITY";#N/A,#N/A,FALSE,"RDMAPINFLM";#N/A,#N/A,FALSE,"RDMAPINFLP";#N/A,#N/A,FALSE,"RDMAPOTHER"}</definedName>
    <definedName name="name55" localSheetId="0" hidden="1">{#N/A,#N/A,FALSE,"Hoja10";#N/A,#N/A,FALSE,"Hoja9";#N/A,#N/A,FALSE,"Hoja8";#N/A,#N/A,FALSE,"Hoja7";#N/A,#N/A,FALSE,"Hoja6";#N/A,#N/A,FALSE,"Hoja5";#N/A,#N/A,FALSE,"Hoja4";#N/A,#N/A,FALSE,"Hoja2";#N/A,#N/A,FALSE,"Hoja3";#N/A,#N/A,FALSE,"HOJA1";#N/A,#N/A,FALSE,"CashFlow";#N/A,#N/A,FALSE,"FinStmts"}</definedName>
    <definedName name="name55" hidden="1">{#N/A,#N/A,FALSE,"Hoja10";#N/A,#N/A,FALSE,"Hoja9";#N/A,#N/A,FALSE,"Hoja8";#N/A,#N/A,FALSE,"Hoja7";#N/A,#N/A,FALSE,"Hoja6";#N/A,#N/A,FALSE,"Hoja5";#N/A,#N/A,FALSE,"Hoja4";#N/A,#N/A,FALSE,"Hoja2";#N/A,#N/A,FALSE,"Hoja3";#N/A,#N/A,FALSE,"HOJA1";#N/A,#N/A,FALSE,"CashFlow";#N/A,#N/A,FALSE,"FinStmts"}</definedName>
    <definedName name="ngr" localSheetId="0" hidden="1">{#N/A,#N/A,FALSE,"SUMMARY REPORT"}</definedName>
    <definedName name="ngr" hidden="1">{#N/A,#N/A,FALSE,"SUMMARY REPORT"}</definedName>
    <definedName name="nht" localSheetId="0" hidden="1">{#N/A,#N/A,FALSE,"SUMMARY REPORT"}</definedName>
    <definedName name="nht" hidden="1">{#N/A,#N/A,FALSE,"SUMMARY REPORT"}</definedName>
    <definedName name="nhu" localSheetId="0" hidden="1">{#N/A,#N/A,FALSE,"SUMMARY REPORT"}</definedName>
    <definedName name="nhu" hidden="1">{#N/A,#N/A,FALSE,"SUMMARY REPORT"}</definedName>
    <definedName name="nmm" localSheetId="0" hidden="1">{#N/A,#N/A,FALSE,"SUMMARY REPORT"}</definedName>
    <definedName name="nmm" hidden="1">{#N/A,#N/A,FALSE,"SUMMARY REPORT"}</definedName>
    <definedName name="NN" localSheetId="0" hidden="1">{#N/A,#N/A,FALSE,"Hoja10";#N/A,#N/A,FALSE,"Hoja9";#N/A,#N/A,FALSE,"Hoja8";#N/A,#N/A,FALSE,"Hoja7";#N/A,#N/A,FALSE,"Hoja6";#N/A,#N/A,FALSE,"Hoja5";#N/A,#N/A,FALSE,"Hoja4";#N/A,#N/A,FALSE,"Hoja2";#N/A,#N/A,FALSE,"Hoja3";#N/A,#N/A,FALSE,"HOJA1";#N/A,#N/A,FALSE,"CashFlow";#N/A,#N/A,FALSE,"FinStmts"}</definedName>
    <definedName name="NN" hidden="1">{#N/A,#N/A,FALSE,"Hoja10";#N/A,#N/A,FALSE,"Hoja9";#N/A,#N/A,FALSE,"Hoja8";#N/A,#N/A,FALSE,"Hoja7";#N/A,#N/A,FALSE,"Hoja6";#N/A,#N/A,FALSE,"Hoja5";#N/A,#N/A,FALSE,"Hoja4";#N/A,#N/A,FALSE,"Hoja2";#N/A,#N/A,FALSE,"Hoja3";#N/A,#N/A,FALSE,"HOJA1";#N/A,#N/A,FALSE,"CashFlow";#N/A,#N/A,FALSE,"FinStmts"}</definedName>
    <definedName name="nnn" localSheetId="0" hidden="1">{#N/A,#N/A,FALSE,"Hoja10";#N/A,#N/A,FALSE,"Hoja9";#N/A,#N/A,FALSE,"Hoja8";#N/A,#N/A,FALSE,"Hoja7";#N/A,#N/A,FALSE,"Hoja6";#N/A,#N/A,FALSE,"Hoja5";#N/A,#N/A,FALSE,"Hoja4";#N/A,#N/A,FALSE,"Hoja2";#N/A,#N/A,FALSE,"Hoja3";#N/A,#N/A,FALSE,"HOJA1";#N/A,#N/A,FALSE,"CashFlow";#N/A,#N/A,FALSE,"FinStmts"}</definedName>
    <definedName name="nnn" hidden="1">{#N/A,#N/A,FALSE,"Hoja10";#N/A,#N/A,FALSE,"Hoja9";#N/A,#N/A,FALSE,"Hoja8";#N/A,#N/A,FALSE,"Hoja7";#N/A,#N/A,FALSE,"Hoja6";#N/A,#N/A,FALSE,"Hoja5";#N/A,#N/A,FALSE,"Hoja4";#N/A,#N/A,FALSE,"Hoja2";#N/A,#N/A,FALSE,"Hoja3";#N/A,#N/A,FALSE,"HOJA1";#N/A,#N/A,FALSE,"CashFlow";#N/A,#N/A,FALSE,"FinStmts"}</definedName>
    <definedName name="No">#REF!</definedName>
    <definedName name="No.">#REF!</definedName>
    <definedName name="No.of_Labour">[14]Cylinder!$I$287:$I$299</definedName>
    <definedName name="no_boards_perPanel">[24]QuoteSummary!$J$14</definedName>
    <definedName name="nrw" localSheetId="0" hidden="1">{#N/A,#N/A,FALSE,"SUMMARY REPORT"}</definedName>
    <definedName name="nrw" hidden="1">{#N/A,#N/A,FALSE,"SUMMARY REPORT"}</definedName>
    <definedName name="NTPAY">[11]DataYTD!$B$226</definedName>
    <definedName name="ntr" localSheetId="0" hidden="1">{#N/A,#N/A,FALSE,"SUMMARY REPORT"}</definedName>
    <definedName name="ntr" hidden="1">{#N/A,#N/A,FALSE,"SUMMARY REPORT"}</definedName>
    <definedName name="NTRCVCURR">[11]DataYTD!$B$68</definedName>
    <definedName name="Number">#REF!</definedName>
    <definedName name="o" localSheetId="0" hidden="1">{"TOTAL PLT",#N/A,FALSE,"Total Plt";"STOLL",#N/A,FALSE,"R-Stoll";"VBRAD.P1",#N/A,FALSE,"VB Rads";"VBRAD.P3",#N/A,FALSE,"VB Rads";"VBRAD.P2",#N/A,FALSE,"VB Rads"}</definedName>
    <definedName name="o" hidden="1">{"TOTAL PLT",#N/A,FALSE,"Total Plt";"STOLL",#N/A,FALSE,"R-Stoll";"VBRAD.P1",#N/A,FALSE,"VB Rads";"VBRAD.P3",#N/A,FALSE,"VB Rads";"VBRAD.P2",#N/A,FALSE,"VB Rads"}</definedName>
    <definedName name="oiu" localSheetId="0" hidden="1">{#N/A,#N/A,FALSE,"SUMMARY REPORT"}</definedName>
    <definedName name="oiu" hidden="1">{#N/A,#N/A,FALSE,"SUMMARY REPORT"}</definedName>
    <definedName name="ojn" localSheetId="0" hidden="1">{#N/A,#N/A,FALSE,"SUMMARY REPORT"}</definedName>
    <definedName name="ojn" hidden="1">{#N/A,#N/A,FALSE,"SUMMARY REPORT"}</definedName>
    <definedName name="old" hidden="1">[25]C!#REF!</definedName>
    <definedName name="op" localSheetId="0" hidden="1">{#N/A,#N/A,FALSE,"SUMMARY REPORT"}</definedName>
    <definedName name="op" hidden="1">{#N/A,#N/A,FALSE,"SUMMARY REPORT"}</definedName>
    <definedName name="Ope_Skill_level">[13]StandardRates!$C$3:$C$5</definedName>
    <definedName name="OPTexponents">"0 3 6"</definedName>
    <definedName name="OPTvec">"1 1 1 3 0 0 0 0 0 0 0 8 0 1 0 30 1 1 0 0 1 0 1 0 1 0 0 0 0 0 1 0 100 300 0 0 0 0 13.78125 0 0 0 0"</definedName>
    <definedName name="OrderTable" hidden="1">#REF!</definedName>
    <definedName name="other" localSheetId="0" hidden="1">{"TOTAL PLT",#N/A,FALSE,"Total Plt";"STOLL",#N/A,FALSE,"R-Stoll";"VBRAD.P1",#N/A,FALSE,"VB Rads";"VBRAD.P3",#N/A,FALSE,"VB Rads";"VBRAD.P2",#N/A,FALSE,"VB Rads"}</definedName>
    <definedName name="other" hidden="1">{"TOTAL PLT",#N/A,FALSE,"Total Plt";"STOLL",#N/A,FALSE,"R-Stoll";"VBRAD.P1",#N/A,FALSE,"VB Rads";"VBRAD.P3",#N/A,FALSE,"VB Rads";"VBRAD.P2",#N/A,FALSE,"VB Rads"}</definedName>
    <definedName name="OTHRECBL">[11]DataYTD!$B$66</definedName>
    <definedName name="PartNumber">#REF!</definedName>
    <definedName name="Parts" localSheetId="0">'Wire Harness_BOM'!#REF!</definedName>
    <definedName name="Parts">#REF!</definedName>
    <definedName name="Parts1" localSheetId="0">'Wire Harness_BOM'!#REF!</definedName>
    <definedName name="Parts1">#REF!</definedName>
    <definedName name="percent">#REF!</definedName>
    <definedName name="Percent_forg">#REF!</definedName>
    <definedName name="Percentage" localSheetId="0">[14]Cylinder!$L$287:$L$299</definedName>
    <definedName name="Percentage">[26]Assembly!$L$237:$L$249</definedName>
    <definedName name="percents">[14]Cylinder!#REF!</definedName>
    <definedName name="Period">[27]TOTAL!$C$3</definedName>
    <definedName name="PIC">[11]DataYTD!$B$417</definedName>
    <definedName name="pk" localSheetId="0" hidden="1">{#N/A,#N/A,FALSE,"SUMMARY REPORT"}</definedName>
    <definedName name="pk" hidden="1">{#N/A,#N/A,FALSE,"SUMMARY REPORT"}</definedName>
    <definedName name="PLASTIC_MC_Det">[13]StandardRates!$B$11:$C$38</definedName>
    <definedName name="Plastic1234">#REF!</definedName>
    <definedName name="plj" localSheetId="0" hidden="1">{#N/A,#N/A,FALSE,"SUMMARY REPORT"}</definedName>
    <definedName name="plj" hidden="1">{#N/A,#N/A,FALSE,"SUMMARY REPORT"}</definedName>
    <definedName name="PLS" localSheetId="0" hidden="1">{#N/A,#N/A,FALSE,"SUMMARY REPORT"}</definedName>
    <definedName name="PLS" hidden="1">{#N/A,#N/A,FALSE,"SUMMARY REPORT"}</definedName>
    <definedName name="po" localSheetId="0" hidden="1">{#N/A,#N/A,FALSE,"SUMMARY REPORT"}</definedName>
    <definedName name="po" hidden="1">{#N/A,#N/A,FALSE,"SUMMARY REPORT"}</definedName>
    <definedName name="polhf" localSheetId="0" hidden="1">{#N/A,#N/A,FALSE,"SUMMARY REPORT"}</definedName>
    <definedName name="polhf" hidden="1">{#N/A,#N/A,FALSE,"SUMMARY REPORT"}</definedName>
    <definedName name="pom" localSheetId="0" hidden="1">{#N/A,#N/A,FALSE,"SUMMARY REPORT"}</definedName>
    <definedName name="pom" hidden="1">{#N/A,#N/A,FALSE,"SUMMARY REPORT"}</definedName>
    <definedName name="pop" localSheetId="0" hidden="1">{#N/A,#N/A,FALSE,"A장";#N/A,#N/A,FALSE,"B장"}</definedName>
    <definedName name="pop" hidden="1">{#N/A,#N/A,FALSE,"A장";#N/A,#N/A,FALSE,"B장"}</definedName>
    <definedName name="Post_stamping">#REF!</definedName>
    <definedName name="pp" localSheetId="0" hidden="1">{#N/A,#N/A,FALSE,"Hoja10";#N/A,#N/A,FALSE,"Hoja9";#N/A,#N/A,FALSE,"Hoja8";#N/A,#N/A,FALSE,"Hoja7";#N/A,#N/A,FALSE,"Hoja6";#N/A,#N/A,FALSE,"Hoja5";#N/A,#N/A,FALSE,"Hoja4";#N/A,#N/A,FALSE,"Hoja2";#N/A,#N/A,FALSE,"Hoja3";#N/A,#N/A,FALSE,"HOJA1";#N/A,#N/A,FALSE,"CashFlow";#N/A,#N/A,FALSE,"FinStmts"}</definedName>
    <definedName name="pp" hidden="1">{#N/A,#N/A,FALSE,"Hoja10";#N/A,#N/A,FALSE,"Hoja9";#N/A,#N/A,FALSE,"Hoja8";#N/A,#N/A,FALSE,"Hoja7";#N/A,#N/A,FALSE,"Hoja6";#N/A,#N/A,FALSE,"Hoja5";#N/A,#N/A,FALSE,"Hoja4";#N/A,#N/A,FALSE,"Hoja2";#N/A,#N/A,FALSE,"Hoja3";#N/A,#N/A,FALSE,"HOJA1";#N/A,#N/A,FALSE,"CashFlow";#N/A,#N/A,FALSE,"FinStmts"}</definedName>
    <definedName name="PPDS">[11]DataYTD!$B$109</definedName>
    <definedName name="_xlnm.Print_Area" localSheetId="1">PCBA_BOM!$A$1:$X$51</definedName>
    <definedName name="_xlnm.Print_Area">#REF!</definedName>
    <definedName name="PRINT_AREA_MI">#REF!</definedName>
    <definedName name="Process">#REF!</definedName>
    <definedName name="Process_cas">#REF!</definedName>
    <definedName name="Process_Dt">#REF!</definedName>
    <definedName name="Process_For">#REF!</definedName>
    <definedName name="Process_Forging">#REF!</definedName>
    <definedName name="Process_Mach">#REF!</definedName>
    <definedName name="processes">#REF!</definedName>
    <definedName name="ProdForm" hidden="1">#REF!</definedName>
    <definedName name="PROJECT">#REF!</definedName>
    <definedName name="Project_Name">'[28]Project Definition Form Summary'!$D$9</definedName>
    <definedName name="Project_Type" localSheetId="1">OFFSET(#REF!,1,0,COUNTA(#REF!),1)</definedName>
    <definedName name="Project_Type">OFFSET(#REF!,1,0,COUNTA(#REF!),1)</definedName>
    <definedName name="PROPIS">[11]DataYTD!$B$141</definedName>
    <definedName name="PROPNIS">[11]DataYTD!$B$147</definedName>
    <definedName name="Proposal" localSheetId="0" hidden="1">{"Page1",#N/A,TRUE,"Sheet1";"Page2",#N/A,TRUE,"Sheet1"}</definedName>
    <definedName name="Proposal" hidden="1">{"Page1",#N/A,TRUE,"Sheet1";"Page2",#N/A,TRUE,"Sheet1"}</definedName>
    <definedName name="PUC">[11]DataYTD!$B$175</definedName>
    <definedName name="pxp" localSheetId="0" hidden="1">{#N/A,#N/A,FALSE,"SUMMARY REPORT"}</definedName>
    <definedName name="pxp" hidden="1">{#N/A,#N/A,FALSE,"SUMMARY REPORT"}</definedName>
    <definedName name="q" localSheetId="0" hidden="1">{#N/A,#N/A,FALSE,"UNIT";#N/A,#N/A,FALSE,"UNIT";#N/A,#N/A,FALSE,"계정"}</definedName>
    <definedName name="q" hidden="1">{#N/A,#N/A,FALSE,"UNIT";#N/A,#N/A,FALSE,"UNIT";#N/A,#N/A,FALSE,"계정"}</definedName>
    <definedName name="Q0" localSheetId="0" hidden="1">{#N/A,#N/A,FALSE,"KMC최종회의(7월) 자료"}</definedName>
    <definedName name="Q0" hidden="1">{#N/A,#N/A,FALSE,"KMC최종회의(7월) 자료"}</definedName>
    <definedName name="qa">#REF!</definedName>
    <definedName name="QASSX" localSheetId="0" hidden="1">{#N/A,#N/A,FALSE,"SUMMARY REPORT"}</definedName>
    <definedName name="QASSX" hidden="1">{#N/A,#N/A,FALSE,"SUMMARY REPORT"}</definedName>
    <definedName name="QAW" localSheetId="0" hidden="1">{#N/A,#N/A,FALSE,"을지 (4)";#N/A,#N/A,FALSE,"을지 (5)";#N/A,#N/A,FALSE,"을지 (6)"}</definedName>
    <definedName name="QAW" hidden="1">{#N/A,#N/A,FALSE,"을지 (4)";#N/A,#N/A,FALSE,"을지 (5)";#N/A,#N/A,FALSE,"을지 (6)"}</definedName>
    <definedName name="QE" localSheetId="0" hidden="1">{#N/A,#N/A,FALSE,"초도품";#N/A,#N/A,FALSE,"초도품 (2)";#N/A,#N/A,FALSE,"초도품 (3)";#N/A,#N/A,FALSE,"초도품 (4)";#N/A,#N/A,FALSE,"초도품 (5)";#N/A,#N/A,FALSE,"초도품 (6)"}</definedName>
    <definedName name="QE" hidden="1">{#N/A,#N/A,FALSE,"초도품";#N/A,#N/A,FALSE,"초도품 (2)";#N/A,#N/A,FALSE,"초도품 (3)";#N/A,#N/A,FALSE,"초도품 (4)";#N/A,#N/A,FALSE,"초도품 (5)";#N/A,#N/A,FALSE,"초도품 (6)"}</definedName>
    <definedName name="QEQ" localSheetId="0" hidden="1">{#N/A,#N/A,FALSE,"KMC최종회의(7월) 자료"}</definedName>
    <definedName name="QEQ" hidden="1">{#N/A,#N/A,FALSE,"KMC최종회의(7월) 자료"}</definedName>
    <definedName name="qh" localSheetId="0" hidden="1">{#N/A,#N/A,FALSE,"KMC최종회의(7월) 자료"}</definedName>
    <definedName name="qh" hidden="1">{#N/A,#N/A,FALSE,"KMC최종회의(7월) 자료"}</definedName>
    <definedName name="qq" hidden="1">#REF!</definedName>
    <definedName name="QQQ" localSheetId="0" hidden="1">{#N/A,#N/A,FALSE,"UNIT";#N/A,#N/A,FALSE,"UNIT";#N/A,#N/A,FALSE,"계정"}</definedName>
    <definedName name="QQQ" hidden="1">{#N/A,#N/A,FALSE,"UNIT";#N/A,#N/A,FALSE,"UNIT";#N/A,#N/A,FALSE,"계정"}</definedName>
    <definedName name="qqqq" localSheetId="0" hidden="1">{#N/A,#N/A,FALSE,"Hoja10";#N/A,#N/A,FALSE,"Hoja9";#N/A,#N/A,FALSE,"Hoja8";#N/A,#N/A,FALSE,"Hoja7";#N/A,#N/A,FALSE,"Hoja6";#N/A,#N/A,FALSE,"Hoja5";#N/A,#N/A,FALSE,"Hoja4";#N/A,#N/A,FALSE,"Hoja2";#N/A,#N/A,FALSE,"Hoja3";#N/A,#N/A,FALSE,"HOJA1";#N/A,#N/A,FALSE,"CashFlow";#N/A,#N/A,FALSE,"FinStmts"}</definedName>
    <definedName name="qqqq" hidden="1">{#N/A,#N/A,FALSE,"Hoja10";#N/A,#N/A,FALSE,"Hoja9";#N/A,#N/A,FALSE,"Hoja8";#N/A,#N/A,FALSE,"Hoja7";#N/A,#N/A,FALSE,"Hoja6";#N/A,#N/A,FALSE,"Hoja5";#N/A,#N/A,FALSE,"Hoja4";#N/A,#N/A,FALSE,"Hoja2";#N/A,#N/A,FALSE,"Hoja3";#N/A,#N/A,FALSE,"HOJA1";#N/A,#N/A,FALSE,"CashFlow";#N/A,#N/A,FALSE,"FinStmts"}</definedName>
    <definedName name="qs" localSheetId="0" hidden="1">{#N/A,#N/A,FALSE,"SUMMARY REPORT"}</definedName>
    <definedName name="qs" hidden="1">{#N/A,#N/A,FALSE,"SUMMARY REPORT"}</definedName>
    <definedName name="qsc" localSheetId="0" hidden="1">{#N/A,#N/A,FALSE,"SUMMARY REPORT"}</definedName>
    <definedName name="qsc" hidden="1">{#N/A,#N/A,FALSE,"SUMMARY REPORT"}</definedName>
    <definedName name="QSS" localSheetId="0" hidden="1">{#N/A,#N/A,FALSE,"을지 (4)";#N/A,#N/A,FALSE,"을지 (5)";#N/A,#N/A,FALSE,"을지 (6)"}</definedName>
    <definedName name="QSS" hidden="1">{#N/A,#N/A,FALSE,"을지 (4)";#N/A,#N/A,FALSE,"을지 (5)";#N/A,#N/A,FALSE,"을지 (6)"}</definedName>
    <definedName name="quary" localSheetId="0" hidden="1">{#N/A,#N/A,FALSE,"196126-0690";#N/A,#N/A,FALSE,"196126-0690";#N/A,#N/A,FALSE,"1961165-0201"}</definedName>
    <definedName name="quary" hidden="1">{#N/A,#N/A,FALSE,"196126-0690";#N/A,#N/A,FALSE,"196126-0690";#N/A,#N/A,FALSE,"1961165-0201"}</definedName>
    <definedName name="QUERY" localSheetId="0" hidden="1">{#N/A,#N/A,FALSE,"196126-0690";#N/A,#N/A,FALSE,"196126-0690";#N/A,#N/A,FALSE,"1961165-0201"}</definedName>
    <definedName name="QUERY" hidden="1">{#N/A,#N/A,FALSE,"196126-0690";#N/A,#N/A,FALSE,"196126-0690";#N/A,#N/A,FALSE,"1961165-0201"}</definedName>
    <definedName name="QW" localSheetId="0" hidden="1">{#N/A,#N/A,FALSE,"을지 (4)";#N/A,#N/A,FALSE,"을지 (5)";#N/A,#N/A,FALSE,"을지 (6)"}</definedName>
    <definedName name="QW" hidden="1">{#N/A,#N/A,FALSE,"을지 (4)";#N/A,#N/A,FALSE,"을지 (5)";#N/A,#N/A,FALSE,"을지 (6)"}</definedName>
    <definedName name="QWA" localSheetId="0" hidden="1">{#N/A,#N/A,FALSE,"을지 (4)";#N/A,#N/A,FALSE,"을지 (5)";#N/A,#N/A,FALSE,"을지 (6)"}</definedName>
    <definedName name="QWA" hidden="1">{#N/A,#N/A,FALSE,"을지 (4)";#N/A,#N/A,FALSE,"을지 (5)";#N/A,#N/A,FALSE,"을지 (6)"}</definedName>
    <definedName name="QWE" localSheetId="0" hidden="1">{#N/A,#N/A,FALSE,"을지 (4)";#N/A,#N/A,FALSE,"을지 (5)";#N/A,#N/A,FALSE,"을지 (6)"}</definedName>
    <definedName name="QWE" hidden="1">{#N/A,#N/A,FALSE,"을지 (4)";#N/A,#N/A,FALSE,"을지 (5)";#N/A,#N/A,FALSE,"을지 (6)"}</definedName>
    <definedName name="R_COVER" localSheetId="0" hidden="1">{#N/A,#N/A,FALSE,"단축1";#N/A,#N/A,FALSE,"단축2";#N/A,#N/A,FALSE,"단축3";#N/A,#N/A,FALSE,"장축";#N/A,#N/A,FALSE,"4WD"}</definedName>
    <definedName name="R_COVER" hidden="1">{#N/A,#N/A,FALSE,"단축1";#N/A,#N/A,FALSE,"단축2";#N/A,#N/A,FALSE,"단축3";#N/A,#N/A,FALSE,"장축";#N/A,#N/A,FALSE,"4WD"}</definedName>
    <definedName name="ra" localSheetId="0" hidden="1">{#N/A,#N/A,FALSE,"SUMMARY REPORT"}</definedName>
    <definedName name="ra" hidden="1">{#N/A,#N/A,FALSE,"SUMMARY REPORT"}</definedName>
    <definedName name="rajehi" localSheetId="0" hidden="1">{#N/A,#N/A,FALSE,"SUMMARY REPORT"}</definedName>
    <definedName name="rajehi" hidden="1">{#N/A,#N/A,FALSE,"SUMMARY REPORT"}</definedName>
    <definedName name="RALK" localSheetId="0" hidden="1">{#N/A,#N/A,FALSE,"단축1";#N/A,#N/A,FALSE,"단축2";#N/A,#N/A,FALSE,"단축3";#N/A,#N/A,FALSE,"장축";#N/A,#N/A,FALSE,"4WD"}</definedName>
    <definedName name="RALK" hidden="1">{#N/A,#N/A,FALSE,"단축1";#N/A,#N/A,FALSE,"단축2";#N/A,#N/A,FALSE,"단축3";#N/A,#N/A,FALSE,"장축";#N/A,#N/A,FALSE,"4WD"}</definedName>
    <definedName name="RAR" localSheetId="0" hidden="1">{#N/A,#N/A,FALSE,"196126-0690";#N/A,#N/A,FALSE,"196126-0690";#N/A,#N/A,FALSE,"1961165-0201"}</definedName>
    <definedName name="RAR" hidden="1">{#N/A,#N/A,FALSE,"196126-0690";#N/A,#N/A,FALSE,"196126-0690";#N/A,#N/A,FALSE,"1961165-0201"}</definedName>
    <definedName name="RateArea">#REF!,#REF!,#REF!,#REF!,#REF!,#REF!,#REF!,#REF!</definedName>
    <definedName name="RCArea" hidden="1">#REF!</definedName>
    <definedName name="RE" localSheetId="0" hidden="1">{#N/A,#N/A,FALSE,"초도품";#N/A,#N/A,FALSE,"초도품 (2)";#N/A,#N/A,FALSE,"초도품 (3)";#N/A,#N/A,FALSE,"초도품 (4)";#N/A,#N/A,FALSE,"초도품 (5)";#N/A,#N/A,FALSE,"초도품 (6)"}</definedName>
    <definedName name="RE" hidden="1">{#N/A,#N/A,FALSE,"초도품";#N/A,#N/A,FALSE,"초도품 (2)";#N/A,#N/A,FALSE,"초도품 (3)";#N/A,#N/A,FALSE,"초도품 (4)";#N/A,#N/A,FALSE,"초도품 (5)";#N/A,#N/A,FALSE,"초도품 (6)"}</definedName>
    <definedName name="REGIONS">[13]StandardRates!$D$2:$AA$2</definedName>
    <definedName name="RETEARNS">[11]DataYTD!$B$423</definedName>
    <definedName name="rew" localSheetId="0" hidden="1">{#N/A,#N/A,FALSE,"SUMMARY REPORT"}</definedName>
    <definedName name="rew" hidden="1">{#N/A,#N/A,FALSE,"SUMMARY REPORT"}</definedName>
    <definedName name="rewf" localSheetId="0" hidden="1">{#N/A,#N/A,FALSE,"SUMMARY REPORT"}</definedName>
    <definedName name="rewf" hidden="1">{#N/A,#N/A,FALSE,"SUMMARY REPORT"}</definedName>
    <definedName name="RF" localSheetId="0" hidden="1">{#N/A,#N/A,FALSE,"196126-0690";#N/A,#N/A,FALSE,"196126-0690";#N/A,#N/A,FALSE,"1961165-0201"}</definedName>
    <definedName name="RF" hidden="1">{#N/A,#N/A,FALSE,"196126-0690";#N/A,#N/A,FALSE,"196126-0690";#N/A,#N/A,FALSE,"1961165-0201"}</definedName>
    <definedName name="rfq" localSheetId="0" hidden="1">{#N/A,#N/A,FALSE,"196126-0690";#N/A,#N/A,FALSE,"196126-0690";#N/A,#N/A,FALSE,"1961165-0201"}</definedName>
    <definedName name="rfq" hidden="1">{#N/A,#N/A,FALSE,"196126-0690";#N/A,#N/A,FALSE,"196126-0690";#N/A,#N/A,FALSE,"1961165-0201"}</definedName>
    <definedName name="RFQI" localSheetId="0" hidden="1">{#N/A,#N/A,FALSE,"196126-0690";#N/A,#N/A,FALSE,"196126-0690";#N/A,#N/A,FALSE,"1961165-0201"}</definedName>
    <definedName name="RFQI" hidden="1">{#N/A,#N/A,FALSE,"196126-0690";#N/A,#N/A,FALSE,"196126-0690";#N/A,#N/A,FALSE,"1961165-0201"}</definedName>
    <definedName name="rh" localSheetId="0" hidden="1">{#N/A,#N/A,FALSE,"KMC최종회의(7월) 자료"}</definedName>
    <definedName name="rh" hidden="1">{#N/A,#N/A,FALSE,"KMC최종회의(7월) 자료"}</definedName>
    <definedName name="RHDTN" localSheetId="0" hidden="1">{#N/A,#N/A,FALSE,"KMC최종회의(7월) 자료"}</definedName>
    <definedName name="RHDTN" hidden="1">{#N/A,#N/A,FALSE,"KMC최종회의(7월) 자료"}</definedName>
    <definedName name="RKRK" localSheetId="0" hidden="1">{#N/A,#N/A,FALSE,"A장";#N/A,#N/A,FALSE,"B장"}</definedName>
    <definedName name="RKRK" hidden="1">{#N/A,#N/A,FALSE,"A장";#N/A,#N/A,FALSE,"B장"}</definedName>
    <definedName name="rlaworud" localSheetId="0" hidden="1">{#N/A,#N/A,FALSE,"A장";#N/A,#N/A,FALSE,"B장"}</definedName>
    <definedName name="rlaworud" hidden="1">{#N/A,#N/A,FALSE,"A장";#N/A,#N/A,FALSE,"B장"}</definedName>
    <definedName name="rlrlrlrlr" hidden="1">#REF!</definedName>
    <definedName name="rob">[29]Notes!$C$8</definedName>
    <definedName name="robin" localSheetId="0" hidden="1">{#N/A,#N/A,FALSE,"196126-0690";#N/A,#N/A,FALSE,"196126-0690";#N/A,#N/A,FALSE,"1961165-0201"}</definedName>
    <definedName name="robin" hidden="1">{#N/A,#N/A,FALSE,"196126-0690";#N/A,#N/A,FALSE,"196126-0690";#N/A,#N/A,FALSE,"1961165-0201"}</definedName>
    <definedName name="RR.BRAKE" localSheetId="0" hidden="1">{#N/A,#N/A,FALSE,"단축1";#N/A,#N/A,FALSE,"단축2";#N/A,#N/A,FALSE,"단축3";#N/A,#N/A,FALSE,"장축";#N/A,#N/A,FALSE,"4WD"}</definedName>
    <definedName name="RR.BRAKE" hidden="1">{#N/A,#N/A,FALSE,"단축1";#N/A,#N/A,FALSE,"단축2";#N/A,#N/A,FALSE,"단축3";#N/A,#N/A,FALSE,"장축";#N/A,#N/A,FALSE,"4WD"}</definedName>
    <definedName name="RR.BRK" localSheetId="0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RRegion" localSheetId="1">OFFSET(#REF!,1,0,COUNTA(#REF!),1)</definedName>
    <definedName name="RRegion">OFFSET(#REF!,1,0,COUNTA(#REF!),1)</definedName>
    <definedName name="rrr" localSheetId="0" hidden="1">{#N/A,#N/A,FALSE,"sales &amp; mics income";#N/A,#N/A,FALSE,"revenue mix";#N/A,#N/A,FALSE,"EBIT REC";#N/A,#N/A,FALSE,"R&amp;DRLAV2";#N/A,#N/A,FALSE,"Cycle Time";#N/A,#N/A,FALSE,"Mnpwr &amp; Fac";#N/A,#N/A,FALSE,"Prod Facil";#N/A,#N/A,FALSE,"Mfg Prod";#N/A,#N/A,FALSE,"CAPEX";#N/A,#N/A,FALSE,"NOA";#N/A,#N/A,FALSE,"cash flow";#N/A,#N/A,FALSE,"FA 18 EF ACS PACK";#N/A,#N/A,FALSE,"aftermarket";#N/A,#N/A,FALSE,"COMM'L SPARES (2)";#N/A,#N/A,FALSE,"EBIT Recovery Plan";#N/A,#N/A,FALSE,"RECON94 (2)";#N/A,#N/A,FALSE,"sg&amp;a";#N/A,#N/A,FALSE,"EMPLOYEES";#N/A,#N/A,FALSE,"BOEING 777";#N/A,#N/A,FALSE,"o&amp;r";#N/A,#N/A,FALSE,"F-18 ECS";#N/A,#N/A,FALSE,"Lead Time";#N/A,#N/A,FALSE,"mfg cycle time"}</definedName>
    <definedName name="rrr" hidden="1">{#N/A,#N/A,FALSE,"sales &amp; mics income";#N/A,#N/A,FALSE,"revenue mix";#N/A,#N/A,FALSE,"EBIT REC";#N/A,#N/A,FALSE,"R&amp;DRLAV2";#N/A,#N/A,FALSE,"Cycle Time";#N/A,#N/A,FALSE,"Mnpwr &amp; Fac";#N/A,#N/A,FALSE,"Prod Facil";#N/A,#N/A,FALSE,"Mfg Prod";#N/A,#N/A,FALSE,"CAPEX";#N/A,#N/A,FALSE,"NOA";#N/A,#N/A,FALSE,"cash flow";#N/A,#N/A,FALSE,"FA 18 EF ACS PACK";#N/A,#N/A,FALSE,"aftermarket";#N/A,#N/A,FALSE,"COMM'L SPARES (2)";#N/A,#N/A,FALSE,"EBIT Recovery Plan";#N/A,#N/A,FALSE,"RECON94 (2)";#N/A,#N/A,FALSE,"sg&amp;a";#N/A,#N/A,FALSE,"EMPLOYEES";#N/A,#N/A,FALSE,"BOEING 777";#N/A,#N/A,FALSE,"o&amp;r";#N/A,#N/A,FALSE,"F-18 ECS";#N/A,#N/A,FALSE,"Lead Time";#N/A,#N/A,FALSE,"mfg cycle time"}</definedName>
    <definedName name="rt" hidden="1">#REF!</definedName>
    <definedName name="rtjhsu" localSheetId="0" hidden="1">{#N/A,#N/A,FALSE,"Hoja10";#N/A,#N/A,FALSE,"Hoja9";#N/A,#N/A,FALSE,"Hoja8";#N/A,#N/A,FALSE,"Hoja7";#N/A,#N/A,FALSE,"Hoja6";#N/A,#N/A,FALSE,"Hoja5";#N/A,#N/A,FALSE,"Hoja4";#N/A,#N/A,FALSE,"Hoja2";#N/A,#N/A,FALSE,"Hoja3";#N/A,#N/A,FALSE,"HOJA1";#N/A,#N/A,FALSE,"CashFlow";#N/A,#N/A,FALSE,"FinStmts"}</definedName>
    <definedName name="rtjhsu" hidden="1">{#N/A,#N/A,FALSE,"Hoja10";#N/A,#N/A,FALSE,"Hoja9";#N/A,#N/A,FALSE,"Hoja8";#N/A,#N/A,FALSE,"Hoja7";#N/A,#N/A,FALSE,"Hoja6";#N/A,#N/A,FALSE,"Hoja5";#N/A,#N/A,FALSE,"Hoja4";#N/A,#N/A,FALSE,"Hoja2";#N/A,#N/A,FALSE,"Hoja3";#N/A,#N/A,FALSE,"HOJA1";#N/A,#N/A,FALSE,"CashFlow";#N/A,#N/A,FALSE,"FinStmts"}</definedName>
    <definedName name="rtrt" localSheetId="0" hidden="1">{#N/A,#N/A,FALSE,"Hoja10";#N/A,#N/A,FALSE,"Hoja9";#N/A,#N/A,FALSE,"Hoja8";#N/A,#N/A,FALSE,"Hoja7";#N/A,#N/A,FALSE,"Hoja6";#N/A,#N/A,FALSE,"Hoja5";#N/A,#N/A,FALSE,"Hoja4";#N/A,#N/A,FALSE,"Hoja2";#N/A,#N/A,FALSE,"Hoja3";#N/A,#N/A,FALSE,"HOJA1";#N/A,#N/A,FALSE,"CashFlow";#N/A,#N/A,FALSE,"FinStmts"}</definedName>
    <definedName name="rtrt" hidden="1">{#N/A,#N/A,FALSE,"Hoja10";#N/A,#N/A,FALSE,"Hoja9";#N/A,#N/A,FALSE,"Hoja8";#N/A,#N/A,FALSE,"Hoja7";#N/A,#N/A,FALSE,"Hoja6";#N/A,#N/A,FALSE,"Hoja5";#N/A,#N/A,FALSE,"Hoja4";#N/A,#N/A,FALSE,"Hoja2";#N/A,#N/A,FALSE,"Hoja3";#N/A,#N/A,FALSE,"HOJA1";#N/A,#N/A,FALSE,"CashFlow";#N/A,#N/A,FALSE,"FinStmts"}</definedName>
    <definedName name="RTY" localSheetId="0" hidden="1">{#N/A,#N/A,FALSE,"196126-0690";#N/A,#N/A,FALSE,"196126-0690";#N/A,#N/A,FALSE,"1961165-0201"}</definedName>
    <definedName name="RTY" hidden="1">{#N/A,#N/A,FALSE,"196126-0690";#N/A,#N/A,FALSE,"196126-0690";#N/A,#N/A,FALSE,"1961165-0201"}</definedName>
    <definedName name="rust">#REF!</definedName>
    <definedName name="RYII" localSheetId="0" hidden="1">{#N/A,#N/A,FALSE,"Cover";#N/A,#N/A,FALSE,"Cover (2)";#N/A,#N/A,FALSE,"P&amp;LSUM";#N/A,#N/A,FALSE,"P&amp;L BY SEG.";#N/A,#N/A,FALSE,"ProdLine95LE";#N/A,#N/A,FALSE,"ACT_GROSSMARGIN";#N/A,#N/A,FALSE,"SG&amp;A $";#N/A,#N/A,FALSE,"OID";#N/A,#N/A,FALSE,"ROADMAP (2)";#N/A,#N/A,FALSE,"WCPERFORM";#N/A,#N/A,FALSE,"WCPERFORM (3)";#N/A,#N/A,FALSE,"CORPCASHFLOW";#N/A,#N/A,FALSE,"CASHFLOWFWC";#N/A,#N/A,FALSE,"CAPITAL EXPENDITURES";#N/A,#N/A,FALSE,"96RISKS&amp;OPP";#N/A,#N/A,FALSE,"KeyActions";#N/A,#N/A,FALSE,"Cover (3)";#N/A,#N/A,FALSE,"GROWTH";#N/A,#N/A,FALSE,"HVACMARASSUM";#N/A,#N/A,FALSE,"MARKETANA95";#N/A,#N/A,FALSE,"MARKETANA96F";#N/A,#N/A,FALSE,"MARKETANA97P";#N/A,#N/A,FALSE,"SRVMARKETASSUM";#N/A,#N/A,FALSE,"95COMPETSOM%";#N/A,#N/A,FALSE,"96COMPETSOM% ";#N/A,#N/A,FALSE,"97COMPETSOM%";#N/A,#N/A,FALSE,"SOM%COMPARE";#N/A,#N/A,FALSE,"MARKETEVOL";#N/A,#N/A,FALSE,"COMPMKTACTION";#N/A,#N/A,FALSE,"SECTION 2";#N/A,#N/A,FALSE,"MACROECONOMIC";#N/A,#N/A,FALSE,"ROADMAP";#N/A,#N/A,FALSE,"HVACSALESEXT";#N/A,#N/A,FALSE,"EXTPRICINGASSUM";#N/A,#N/A,FALSE,"HVACSALESINT";#N/A,#N/A,FALSE,"INTPRICINGASSUM";#N/A,#N/A,FALSE,"EXTHVACSTDGROS";#N/A,#N/A,FALSE,"INTHVACSTDGROS";#N/A,#N/A,FALSE,"EXTHVACSTDGROS($)";#N/A,#N/A,FALSE,"INTHVACSTDGROS($)";#N/A,#N/A,FALSE,"MANUFACTURING EXPENSES";#N/A,#N/A,FALSE,"ACTGROSMAGANA(2)";#N/A,#N/A,FALSE,"SG&amp;A $ (2)";#N/A,#N/A,FALSE,"R&amp;DPROJECTS";#N/A,#N/A,FALSE,"OID (2)";#N/A,#N/A,FALSE,"P&amp;LSUM (3)";#N/A,#N/A,FALSE,"P&amp;L BY SEG. (2)";#N/A,#N/A,FALSE,"ProdLine97P ";#N/A,#N/A,FALSE,"HEADCOUNT-YTD";#N/A,#N/A,FALSE,"HEADCOUNT-BOY";#N/A,#N/A,FALSE,"HEADCOUNT-PLAN";#N/A,#N/A,FALSE,"WCPERFORM (2)";#N/A,#N/A,FALSE,"WCPERFORM (4)";#N/A,#N/A,FALSE,"PLANCORPCASHFLOW";#N/A,#N/A,FALSE,"CASHFLOW BY QTR";#N/A,#N/A,FALSE,"CASHFLOWW_C (2)";#N/A,#N/A,FALSE,"CF_W_C BY QTR";#N/A,#N/A,FALSE,"CAPITAL EXPENDITURES (2)";#N/A,#N/A,FALSE,"BALANCE SHEET";#N/A,#N/A,FALSE,"97RISKS&amp;OPP (3)";#N/A,#N/A,FALSE,"KeyActions (2)";#N/A,#N/A,FALSE,"Cover (5)";#N/A,#N/A,FALSE,"RDMAP FCST VOL";#N/A,#N/A,FALSE,"Cover (4)";#N/A,#N/A,FALSE,"RDMAPVOLUME";#N/A,#N/A,FALSE,"RDMAPPRICEMIX";#N/A,#N/A,FALSE,"RDMAPMGNRECON";#N/A,#N/A,FALSE,"RDMAPPRODUC";#N/A,#N/A,FALSE,"RDMAPFXPARITY";#N/A,#N/A,FALSE,"RDMAPINFLM";#N/A,#N/A,FALSE,"RDMAPINFLP";#N/A,#N/A,FALSE,"RDMAPOTHER"}</definedName>
    <definedName name="RYII" hidden="1">{#N/A,#N/A,FALSE,"Cover";#N/A,#N/A,FALSE,"Cover (2)";#N/A,#N/A,FALSE,"P&amp;LSUM";#N/A,#N/A,FALSE,"P&amp;L BY SEG.";#N/A,#N/A,FALSE,"ProdLine95LE";#N/A,#N/A,FALSE,"ACT_GROSSMARGIN";#N/A,#N/A,FALSE,"SG&amp;A $";#N/A,#N/A,FALSE,"OID";#N/A,#N/A,FALSE,"ROADMAP (2)";#N/A,#N/A,FALSE,"WCPERFORM";#N/A,#N/A,FALSE,"WCPERFORM (3)";#N/A,#N/A,FALSE,"CORPCASHFLOW";#N/A,#N/A,FALSE,"CASHFLOWFWC";#N/A,#N/A,FALSE,"CAPITAL EXPENDITURES";#N/A,#N/A,FALSE,"96RISKS&amp;OPP";#N/A,#N/A,FALSE,"KeyActions";#N/A,#N/A,FALSE,"Cover (3)";#N/A,#N/A,FALSE,"GROWTH";#N/A,#N/A,FALSE,"HVACMARASSUM";#N/A,#N/A,FALSE,"MARKETANA95";#N/A,#N/A,FALSE,"MARKETANA96F";#N/A,#N/A,FALSE,"MARKETANA97P";#N/A,#N/A,FALSE,"SRVMARKETASSUM";#N/A,#N/A,FALSE,"95COMPETSOM%";#N/A,#N/A,FALSE,"96COMPETSOM% ";#N/A,#N/A,FALSE,"97COMPETSOM%";#N/A,#N/A,FALSE,"SOM%COMPARE";#N/A,#N/A,FALSE,"MARKETEVOL";#N/A,#N/A,FALSE,"COMPMKTACTION";#N/A,#N/A,FALSE,"SECTION 2";#N/A,#N/A,FALSE,"MACROECONOMIC";#N/A,#N/A,FALSE,"ROADMAP";#N/A,#N/A,FALSE,"HVACSALESEXT";#N/A,#N/A,FALSE,"EXTPRICINGASSUM";#N/A,#N/A,FALSE,"HVACSALESINT";#N/A,#N/A,FALSE,"INTPRICINGASSUM";#N/A,#N/A,FALSE,"EXTHVACSTDGROS";#N/A,#N/A,FALSE,"INTHVACSTDGROS";#N/A,#N/A,FALSE,"EXTHVACSTDGROS($)";#N/A,#N/A,FALSE,"INTHVACSTDGROS($)";#N/A,#N/A,FALSE,"MANUFACTURING EXPENSES";#N/A,#N/A,FALSE,"ACTGROSMAGANA(2)";#N/A,#N/A,FALSE,"SG&amp;A $ (2)";#N/A,#N/A,FALSE,"R&amp;DPROJECTS";#N/A,#N/A,FALSE,"OID (2)";#N/A,#N/A,FALSE,"P&amp;LSUM (3)";#N/A,#N/A,FALSE,"P&amp;L BY SEG. (2)";#N/A,#N/A,FALSE,"ProdLine97P ";#N/A,#N/A,FALSE,"HEADCOUNT-YTD";#N/A,#N/A,FALSE,"HEADCOUNT-BOY";#N/A,#N/A,FALSE,"HEADCOUNT-PLAN";#N/A,#N/A,FALSE,"WCPERFORM (2)";#N/A,#N/A,FALSE,"WCPERFORM (4)";#N/A,#N/A,FALSE,"PLANCORPCASHFLOW";#N/A,#N/A,FALSE,"CASHFLOW BY QTR";#N/A,#N/A,FALSE,"CASHFLOWW_C (2)";#N/A,#N/A,FALSE,"CF_W_C BY QTR";#N/A,#N/A,FALSE,"CAPITAL EXPENDITURES (2)";#N/A,#N/A,FALSE,"BALANCE SHEET";#N/A,#N/A,FALSE,"97RISKS&amp;OPP (3)";#N/A,#N/A,FALSE,"KeyActions (2)";#N/A,#N/A,FALSE,"Cover (5)";#N/A,#N/A,FALSE,"RDMAP FCST VOL";#N/A,#N/A,FALSE,"Cover (4)";#N/A,#N/A,FALSE,"RDMAPVOLUME";#N/A,#N/A,FALSE,"RDMAPPRICEMIX";#N/A,#N/A,FALSE,"RDMAPMGNRECON";#N/A,#N/A,FALSE,"RDMAPPRODUC";#N/A,#N/A,FALSE,"RDMAPFXPARITY";#N/A,#N/A,FALSE,"RDMAPINFLM";#N/A,#N/A,FALSE,"RDMAPINFLP";#N/A,#N/A,FALSE,"RDMAPOTHER"}</definedName>
    <definedName name="RYIS" localSheetId="0" hidden="1">{#N/A,#N/A,FALSE,"Cover";#N/A,#N/A,FALSE,"Cover (2)";#N/A,#N/A,FALSE,"P&amp;LSUM";#N/A,#N/A,FALSE,"P&amp;L BY SEG.";#N/A,#N/A,FALSE,"ProdLine95LE";#N/A,#N/A,FALSE,"ACT_GROSSMARGIN";#N/A,#N/A,FALSE,"SG&amp;A $";#N/A,#N/A,FALSE,"OID";#N/A,#N/A,FALSE,"ROADMAP (2)";#N/A,#N/A,FALSE,"WCPERFORM";#N/A,#N/A,FALSE,"WCPERFORM (3)";#N/A,#N/A,FALSE,"CORPCASHFLOW";#N/A,#N/A,FALSE,"CASHFLOWFWC";#N/A,#N/A,FALSE,"CAPITAL EXPENDITURES";#N/A,#N/A,FALSE,"96RISKS&amp;OPP";#N/A,#N/A,FALSE,"KeyActions";#N/A,#N/A,FALSE,"Cover (3)";#N/A,#N/A,FALSE,"GROWTH";#N/A,#N/A,FALSE,"HVACMARASSUM";#N/A,#N/A,FALSE,"MARKETANA95";#N/A,#N/A,FALSE,"MARKETANA96F";#N/A,#N/A,FALSE,"MARKETANA97P";#N/A,#N/A,FALSE,"SRVMARKETASSUM";#N/A,#N/A,FALSE,"95COMPETSOM%";#N/A,#N/A,FALSE,"96COMPETSOM% ";#N/A,#N/A,FALSE,"97COMPETSOM%";#N/A,#N/A,FALSE,"SOM%COMPARE";#N/A,#N/A,FALSE,"MARKETEVOL";#N/A,#N/A,FALSE,"COMPMKTACTION";#N/A,#N/A,FALSE,"SECTION 2";#N/A,#N/A,FALSE,"MACROECONOMIC";#N/A,#N/A,FALSE,"ROADMAP";#N/A,#N/A,FALSE,"HVACSALESEXT";#N/A,#N/A,FALSE,"EXTPRICINGASSUM";#N/A,#N/A,FALSE,"HVACSALESINT";#N/A,#N/A,FALSE,"INTPRICINGASSUM";#N/A,#N/A,FALSE,"EXTHVACSTDGROS";#N/A,#N/A,FALSE,"INTHVACSTDGROS";#N/A,#N/A,FALSE,"EXTHVACSTDGROS($)";#N/A,#N/A,FALSE,"INTHVACSTDGROS($)";#N/A,#N/A,FALSE,"MANUFACTURING EXPENSES";#N/A,#N/A,FALSE,"ACTGROSMAGANA(2)";#N/A,#N/A,FALSE,"SG&amp;A $ (2)";#N/A,#N/A,FALSE,"R&amp;DPROJECTS";#N/A,#N/A,FALSE,"OID (2)";#N/A,#N/A,FALSE,"P&amp;LSUM (3)";#N/A,#N/A,FALSE,"P&amp;L BY SEG. (2)";#N/A,#N/A,FALSE,"ProdLine97P ";#N/A,#N/A,FALSE,"HEADCOUNT-YTD";#N/A,#N/A,FALSE,"HEADCOUNT-BOY";#N/A,#N/A,FALSE,"HEADCOUNT-PLAN";#N/A,#N/A,FALSE,"WCPERFORM (2)";#N/A,#N/A,FALSE,"WCPERFORM (4)";#N/A,#N/A,FALSE,"PLANCORPCASHFLOW";#N/A,#N/A,FALSE,"CASHFLOW BY QTR";#N/A,#N/A,FALSE,"CASHFLOWW_C (2)";#N/A,#N/A,FALSE,"CF_W_C BY QTR";#N/A,#N/A,FALSE,"CAPITAL EXPENDITURES (2)";#N/A,#N/A,FALSE,"BALANCE SHEET";#N/A,#N/A,FALSE,"97RISKS&amp;OPP (3)";#N/A,#N/A,FALSE,"KeyActions (2)";#N/A,#N/A,FALSE,"Cover (5)";#N/A,#N/A,FALSE,"RDMAP FCST VOL";#N/A,#N/A,FALSE,"Cover (4)";#N/A,#N/A,FALSE,"RDMAPVOLUME";#N/A,#N/A,FALSE,"RDMAPPRICEMIX";#N/A,#N/A,FALSE,"RDMAPMGNRECON";#N/A,#N/A,FALSE,"RDMAPPRODUC";#N/A,#N/A,FALSE,"RDMAPFXPARITY";#N/A,#N/A,FALSE,"RDMAPINFLM";#N/A,#N/A,FALSE,"RDMAPINFLP";#N/A,#N/A,FALSE,"RDMAPOTHER"}</definedName>
    <definedName name="RYIS" hidden="1">{#N/A,#N/A,FALSE,"Cover";#N/A,#N/A,FALSE,"Cover (2)";#N/A,#N/A,FALSE,"P&amp;LSUM";#N/A,#N/A,FALSE,"P&amp;L BY SEG.";#N/A,#N/A,FALSE,"ProdLine95LE";#N/A,#N/A,FALSE,"ACT_GROSSMARGIN";#N/A,#N/A,FALSE,"SG&amp;A $";#N/A,#N/A,FALSE,"OID";#N/A,#N/A,FALSE,"ROADMAP (2)";#N/A,#N/A,FALSE,"WCPERFORM";#N/A,#N/A,FALSE,"WCPERFORM (3)";#N/A,#N/A,FALSE,"CORPCASHFLOW";#N/A,#N/A,FALSE,"CASHFLOWFWC";#N/A,#N/A,FALSE,"CAPITAL EXPENDITURES";#N/A,#N/A,FALSE,"96RISKS&amp;OPP";#N/A,#N/A,FALSE,"KeyActions";#N/A,#N/A,FALSE,"Cover (3)";#N/A,#N/A,FALSE,"GROWTH";#N/A,#N/A,FALSE,"HVACMARASSUM";#N/A,#N/A,FALSE,"MARKETANA95";#N/A,#N/A,FALSE,"MARKETANA96F";#N/A,#N/A,FALSE,"MARKETANA97P";#N/A,#N/A,FALSE,"SRVMARKETASSUM";#N/A,#N/A,FALSE,"95COMPETSOM%";#N/A,#N/A,FALSE,"96COMPETSOM% ";#N/A,#N/A,FALSE,"97COMPETSOM%";#N/A,#N/A,FALSE,"SOM%COMPARE";#N/A,#N/A,FALSE,"MARKETEVOL";#N/A,#N/A,FALSE,"COMPMKTACTION";#N/A,#N/A,FALSE,"SECTION 2";#N/A,#N/A,FALSE,"MACROECONOMIC";#N/A,#N/A,FALSE,"ROADMAP";#N/A,#N/A,FALSE,"HVACSALESEXT";#N/A,#N/A,FALSE,"EXTPRICINGASSUM";#N/A,#N/A,FALSE,"HVACSALESINT";#N/A,#N/A,FALSE,"INTPRICINGASSUM";#N/A,#N/A,FALSE,"EXTHVACSTDGROS";#N/A,#N/A,FALSE,"INTHVACSTDGROS";#N/A,#N/A,FALSE,"EXTHVACSTDGROS($)";#N/A,#N/A,FALSE,"INTHVACSTDGROS($)";#N/A,#N/A,FALSE,"MANUFACTURING EXPENSES";#N/A,#N/A,FALSE,"ACTGROSMAGANA(2)";#N/A,#N/A,FALSE,"SG&amp;A $ (2)";#N/A,#N/A,FALSE,"R&amp;DPROJECTS";#N/A,#N/A,FALSE,"OID (2)";#N/A,#N/A,FALSE,"P&amp;LSUM (3)";#N/A,#N/A,FALSE,"P&amp;L BY SEG. (2)";#N/A,#N/A,FALSE,"ProdLine97P ";#N/A,#N/A,FALSE,"HEADCOUNT-YTD";#N/A,#N/A,FALSE,"HEADCOUNT-BOY";#N/A,#N/A,FALSE,"HEADCOUNT-PLAN";#N/A,#N/A,FALSE,"WCPERFORM (2)";#N/A,#N/A,FALSE,"WCPERFORM (4)";#N/A,#N/A,FALSE,"PLANCORPCASHFLOW";#N/A,#N/A,FALSE,"CASHFLOW BY QTR";#N/A,#N/A,FALSE,"CASHFLOWW_C (2)";#N/A,#N/A,FALSE,"CF_W_C BY QTR";#N/A,#N/A,FALSE,"CAPITAL EXPENDITURES (2)";#N/A,#N/A,FALSE,"BALANCE SHEET";#N/A,#N/A,FALSE,"97RISKS&amp;OPP (3)";#N/A,#N/A,FALSE,"KeyActions (2)";#N/A,#N/A,FALSE,"Cover (5)";#N/A,#N/A,FALSE,"RDMAP FCST VOL";#N/A,#N/A,FALSE,"Cover (4)";#N/A,#N/A,FALSE,"RDMAPVOLUME";#N/A,#N/A,FALSE,"RDMAPPRICEMIX";#N/A,#N/A,FALSE,"RDMAPMGNRECON";#N/A,#N/A,FALSE,"RDMAPPRODUC";#N/A,#N/A,FALSE,"RDMAPFXPARITY";#N/A,#N/A,FALSE,"RDMAPINFLM";#N/A,#N/A,FALSE,"RDMAPINFLP";#N/A,#N/A,FALSE,"RDMAPOTHER"}</definedName>
    <definedName name="RYKSI" localSheetId="0" hidden="1">{#N/A,#N/A,FALSE,"WC OMM III";#N/A,#N/A,FALSE,"WC 1995 PLAN";#N/A,#N/A,FALSE,"WC 1995 ADJUSTED"}</definedName>
    <definedName name="RYKSI" hidden="1">{#N/A,#N/A,FALSE,"WC OMM III";#N/A,#N/A,FALSE,"WC 1995 PLAN";#N/A,#N/A,FALSE,"WC 1995 ADJUSTED"}</definedName>
    <definedName name="S0" localSheetId="0" hidden="1">{#N/A,#N/A,FALSE,"KMC최종회의(7월) 자료"}</definedName>
    <definedName name="S0" hidden="1">{#N/A,#N/A,FALSE,"KMC최종회의(7월) 자료"}</definedName>
    <definedName name="same" hidden="1">#REF!</definedName>
    <definedName name="sami" hidden="1">#REF!</definedName>
    <definedName name="sd" localSheetId="0" hidden="1">{#N/A,#N/A,FALSE,"보고목차";#N/A,#N/A,FALSE,"1)서비스접수";#N/A,#N/A,FALSE,"2)상담";#N/A,#N/A,FALSE,"2.월별접수추이현황"}</definedName>
    <definedName name="sd" hidden="1">{#N/A,#N/A,FALSE,"보고목차";#N/A,#N/A,FALSE,"1)서비스접수";#N/A,#N/A,FALSE,"2)상담";#N/A,#N/A,FALSE,"2.월별접수추이현황"}</definedName>
    <definedName name="SDA" localSheetId="0" hidden="1">{#N/A,#N/A,FALSE,"KMC최종회의(7월) 자료"}</definedName>
    <definedName name="SDA" hidden="1">{#N/A,#N/A,FALSE,"KMC최종회의(7월) 자료"}</definedName>
    <definedName name="sdadasd" localSheetId="0" hidden="1">{"Annual",#N/A,FALSE,"Sales &amp; Market";"Quarterly",#N/A,FALSE,"Sales &amp; Market"}</definedName>
    <definedName name="sdadasd" hidden="1">{"Annual",#N/A,FALSE,"Sales &amp; Market";"Quarterly",#N/A,FALSE,"Sales &amp; Market"}</definedName>
    <definedName name="SDF" localSheetId="0" hidden="1">{#N/A,#N/A,FALSE,"196126-0690";#N/A,#N/A,FALSE,"196126-0690";#N/A,#N/A,FALSE,"1961165-0201"}</definedName>
    <definedName name="SDF" hidden="1">{#N/A,#N/A,FALSE,"196126-0690";#N/A,#N/A,FALSE,"196126-0690";#N/A,#N/A,FALSE,"1961165-0201"}</definedName>
    <definedName name="sdfg" localSheetId="0" hidden="1">{#N/A,#N/A,FALSE,"196126-0690";#N/A,#N/A,FALSE,"196126-0690";#N/A,#N/A,FALSE,"1961165-0201"}</definedName>
    <definedName name="sdfg" hidden="1">{#N/A,#N/A,FALSE,"196126-0690";#N/A,#N/A,FALSE,"196126-0690";#N/A,#N/A,FALSE,"1961165-0201"}</definedName>
    <definedName name="SDFH" localSheetId="0" hidden="1">{#N/A,#N/A,FALSE,"196126-0690";#N/A,#N/A,FALSE,"196126-0690";#N/A,#N/A,FALSE,"1961165-0201"}</definedName>
    <definedName name="SDFH" hidden="1">{#N/A,#N/A,FALSE,"196126-0690";#N/A,#N/A,FALSE,"196126-0690";#N/A,#N/A,FALSE,"1961165-0201"}</definedName>
    <definedName name="sdfteseagegwe" hidden="1">'[17]Cost Reduction'!#REF!</definedName>
    <definedName name="SDX" localSheetId="0" hidden="1">{#N/A,#N/A,FALSE,"UNIT";#N/A,#N/A,FALSE,"UNIT";#N/A,#N/A,FALSE,"계정"}</definedName>
    <definedName name="SDX" hidden="1">{#N/A,#N/A,FALSE,"UNIT";#N/A,#N/A,FALSE,"UNIT";#N/A,#N/A,FALSE,"계정"}</definedName>
    <definedName name="seg" localSheetId="0" hidden="1">{#N/A,#N/A,FALSE,"SUMMARY REPORT"}</definedName>
    <definedName name="seg" hidden="1">{#N/A,#N/A,FALSE,"SUMMARY REPORT"}</definedName>
    <definedName name="Sequence">[14]Cylinder!$G$287:$G$306</definedName>
    <definedName name="ser" localSheetId="0" hidden="1">{#N/A,#N/A,FALSE,"SUMMARY REPORT"}</definedName>
    <definedName name="ser" hidden="1">{#N/A,#N/A,FALSE,"SUMMARY REPORT"}</definedName>
    <definedName name="SFSDF" localSheetId="0" hidden="1">{#N/A,#N/A,FALSE,"UNIT";#N/A,#N/A,FALSE,"UNIT";#N/A,#N/A,FALSE,"계정"}</definedName>
    <definedName name="SFSDF" hidden="1">{#N/A,#N/A,FALSE,"UNIT";#N/A,#N/A,FALSE,"UNIT";#N/A,#N/A,FALSE,"계정"}</definedName>
    <definedName name="sg" localSheetId="0" hidden="1">{#N/A,#N/A,FALSE,"KMC최종회의(7월) 자료"}</definedName>
    <definedName name="sg" hidden="1">{#N/A,#N/A,FALSE,"KMC최종회의(7월) 자료"}</definedName>
    <definedName name="sgrtjhrsh" localSheetId="0" hidden="1">{#N/A,#N/A,FALSE,"Hoja10";#N/A,#N/A,FALSE,"Hoja9";#N/A,#N/A,FALSE,"Hoja8";#N/A,#N/A,FALSE,"Hoja7";#N/A,#N/A,FALSE,"Hoja6";#N/A,#N/A,FALSE,"Hoja5";#N/A,#N/A,FALSE,"Hoja4";#N/A,#N/A,FALSE,"Hoja2";#N/A,#N/A,FALSE,"Hoja3";#N/A,#N/A,FALSE,"HOJA1";#N/A,#N/A,FALSE,"CashFlow";#N/A,#N/A,FALSE,"FinStmts"}</definedName>
    <definedName name="sgrtjhrsh" hidden="1">{#N/A,#N/A,FALSE,"Hoja10";#N/A,#N/A,FALSE,"Hoja9";#N/A,#N/A,FALSE,"Hoja8";#N/A,#N/A,FALSE,"Hoja7";#N/A,#N/A,FALSE,"Hoja6";#N/A,#N/A,FALSE,"Hoja5";#N/A,#N/A,FALSE,"Hoja4";#N/A,#N/A,FALSE,"Hoja2";#N/A,#N/A,FALSE,"Hoja3";#N/A,#N/A,FALSE,"HOJA1";#N/A,#N/A,FALSE,"CashFlow";#N/A,#N/A,FALSE,"FinStmts"}</definedName>
    <definedName name="Sgw" localSheetId="0" hidden="1">{#N/A,#N/A,FALSE,"Hoja10";#N/A,#N/A,FALSE,"Hoja9";#N/A,#N/A,FALSE,"Hoja8";#N/A,#N/A,FALSE,"Hoja7";#N/A,#N/A,FALSE,"Hoja6";#N/A,#N/A,FALSE,"Hoja5";#N/A,#N/A,FALSE,"Hoja4";#N/A,#N/A,FALSE,"Hoja2";#N/A,#N/A,FALSE,"Hoja3";#N/A,#N/A,FALSE,"HOJA1";#N/A,#N/A,FALSE,"CashFlow";#N/A,#N/A,FALSE,"FinStmts"}</definedName>
    <definedName name="Sgw" hidden="1">{#N/A,#N/A,FALSE,"Hoja10";#N/A,#N/A,FALSE,"Hoja9";#N/A,#N/A,FALSE,"Hoja8";#N/A,#N/A,FALSE,"Hoja7";#N/A,#N/A,FALSE,"Hoja6";#N/A,#N/A,FALSE,"Hoja5";#N/A,#N/A,FALSE,"Hoja4";#N/A,#N/A,FALSE,"Hoja2";#N/A,#N/A,FALSE,"Hoja3";#N/A,#N/A,FALSE,"HOJA1";#N/A,#N/A,FALSE,"CashFlow";#N/A,#N/A,FALSE,"FinStmts"}</definedName>
    <definedName name="Sheet_metal_MC_Name">[13]StandardRates!$B$40:$B$85</definedName>
    <definedName name="sheet6" localSheetId="0" hidden="1">{#N/A,#N/A,FALSE,"196126-0690";#N/A,#N/A,FALSE,"196126-0690";#N/A,#N/A,FALSE,"1961165-0201"}</definedName>
    <definedName name="sheet6" hidden="1">{#N/A,#N/A,FALSE,"196126-0690";#N/A,#N/A,FALSE,"196126-0690";#N/A,#N/A,FALSE,"1961165-0201"}</definedName>
    <definedName name="SKSK" localSheetId="0" hidden="1">{#N/A,#N/A,FALSE,"A장";#N/A,#N/A,FALSE,"B장"}</definedName>
    <definedName name="SKSK" hidden="1">{#N/A,#N/A,FALSE,"A장";#N/A,#N/A,FALSE,"B장"}</definedName>
    <definedName name="slp" localSheetId="0" hidden="1">{#N/A,#N/A,FALSE,"SUMMARY REPORT"}</definedName>
    <definedName name="slp" hidden="1">{#N/A,#N/A,FALSE,"SUMMARY REPORT"}</definedName>
    <definedName name="solver_lin" hidden="1">0</definedName>
    <definedName name="solver_num" hidden="1">0</definedName>
    <definedName name="solver_typ" hidden="1">3</definedName>
    <definedName name="solver_val" hidden="1">0</definedName>
    <definedName name="SpecialPrice" hidden="1">#REF!</definedName>
    <definedName name="spru">#REF!</definedName>
    <definedName name="SSD" localSheetId="0" hidden="1">{#N/A,#N/A,FALSE,"을지 (4)";#N/A,#N/A,FALSE,"을지 (5)";#N/A,#N/A,FALSE,"을지 (6)"}</definedName>
    <definedName name="SSD" hidden="1">{#N/A,#N/A,FALSE,"을지 (4)";#N/A,#N/A,FALSE,"을지 (5)";#N/A,#N/A,FALSE,"을지 (6)"}</definedName>
    <definedName name="ssdsdd" localSheetId="0" hidden="1">{#N/A,#N/A,FALSE,"Hoja10";#N/A,#N/A,FALSE,"Hoja9";#N/A,#N/A,FALSE,"Hoja8";#N/A,#N/A,FALSE,"Hoja7";#N/A,#N/A,FALSE,"Hoja6";#N/A,#N/A,FALSE,"Hoja5";#N/A,#N/A,FALSE,"Hoja4";#N/A,#N/A,FALSE,"Hoja2";#N/A,#N/A,FALSE,"Hoja3";#N/A,#N/A,FALSE,"HOJA1";#N/A,#N/A,FALSE,"CashFlow";#N/A,#N/A,FALSE,"FinStmts"}</definedName>
    <definedName name="ssdsdd" hidden="1">{#N/A,#N/A,FALSE,"Hoja10";#N/A,#N/A,FALSE,"Hoja9";#N/A,#N/A,FALSE,"Hoja8";#N/A,#N/A,FALSE,"Hoja7";#N/A,#N/A,FALSE,"Hoja6";#N/A,#N/A,FALSE,"Hoja5";#N/A,#N/A,FALSE,"Hoja4";#N/A,#N/A,FALSE,"Hoja2";#N/A,#N/A,FALSE,"Hoja3";#N/A,#N/A,FALSE,"HOJA1";#N/A,#N/A,FALSE,"CashFlow";#N/A,#N/A,FALSE,"FinStmts"}</definedName>
    <definedName name="sss" localSheetId="0" hidden="1">{#N/A,#N/A,FALSE,"Hoja10";#N/A,#N/A,FALSE,"Hoja9";#N/A,#N/A,FALSE,"Hoja8";#N/A,#N/A,FALSE,"Hoja7";#N/A,#N/A,FALSE,"Hoja6";#N/A,#N/A,FALSE,"Hoja5";#N/A,#N/A,FALSE,"Hoja4";#N/A,#N/A,FALSE,"Hoja2";#N/A,#N/A,FALSE,"Hoja3";#N/A,#N/A,FALSE,"HOJA1";#N/A,#N/A,FALSE,"CashFlow";#N/A,#N/A,FALSE,"FinStmts"}</definedName>
    <definedName name="sss" hidden="1">{#N/A,#N/A,FALSE,"Hoja10";#N/A,#N/A,FALSE,"Hoja9";#N/A,#N/A,FALSE,"Hoja8";#N/A,#N/A,FALSE,"Hoja7";#N/A,#N/A,FALSE,"Hoja6";#N/A,#N/A,FALSE,"Hoja5";#N/A,#N/A,FALSE,"Hoja4";#N/A,#N/A,FALSE,"Hoja2";#N/A,#N/A,FALSE,"Hoja3";#N/A,#N/A,FALSE,"HOJA1";#N/A,#N/A,FALSE,"CashFlow";#N/A,#N/A,FALSE,"FinStmts"}</definedName>
    <definedName name="ssss" localSheetId="0" hidden="1">{#N/A,#N/A,FALSE,"Hoja10";#N/A,#N/A,FALSE,"Hoja9";#N/A,#N/A,FALSE,"Hoja8";#N/A,#N/A,FALSE,"Hoja7";#N/A,#N/A,FALSE,"Hoja6";#N/A,#N/A,FALSE,"Hoja5";#N/A,#N/A,FALSE,"Hoja4";#N/A,#N/A,FALSE,"Hoja2";#N/A,#N/A,FALSE,"Hoja3";#N/A,#N/A,FALSE,"HOJA1";#N/A,#N/A,FALSE,"CashFlow";#N/A,#N/A,FALSE,"FinStmts"}</definedName>
    <definedName name="ssss" hidden="1">{#N/A,#N/A,FALSE,"Hoja10";#N/A,#N/A,FALSE,"Hoja9";#N/A,#N/A,FALSE,"Hoja8";#N/A,#N/A,FALSE,"Hoja7";#N/A,#N/A,FALSE,"Hoja6";#N/A,#N/A,FALSE,"Hoja5";#N/A,#N/A,FALSE,"Hoja4";#N/A,#N/A,FALSE,"Hoja2";#N/A,#N/A,FALSE,"Hoja3";#N/A,#N/A,FALSE,"HOJA1";#N/A,#N/A,FALSE,"CashFlow";#N/A,#N/A,FALSE,"FinStmts"}</definedName>
    <definedName name="sssss" localSheetId="0" hidden="1">{#N/A,#N/A,FALSE,"Hoja10";#N/A,#N/A,FALSE,"Hoja9";#N/A,#N/A,FALSE,"Hoja8";#N/A,#N/A,FALSE,"Hoja7";#N/A,#N/A,FALSE,"Hoja6";#N/A,#N/A,FALSE,"Hoja5";#N/A,#N/A,FALSE,"Hoja4";#N/A,#N/A,FALSE,"Hoja2";#N/A,#N/A,FALSE,"Hoja3";#N/A,#N/A,FALSE,"HOJA1";#N/A,#N/A,FALSE,"CashFlow";#N/A,#N/A,FALSE,"FinStmts"}</definedName>
    <definedName name="sssss" hidden="1">{#N/A,#N/A,FALSE,"Hoja10";#N/A,#N/A,FALSE,"Hoja9";#N/A,#N/A,FALSE,"Hoja8";#N/A,#N/A,FALSE,"Hoja7";#N/A,#N/A,FALSE,"Hoja6";#N/A,#N/A,FALSE,"Hoja5";#N/A,#N/A,FALSE,"Hoja4";#N/A,#N/A,FALSE,"Hoja2";#N/A,#N/A,FALSE,"Hoja3";#N/A,#N/A,FALSE,"HOJA1";#N/A,#N/A,FALSE,"CashFlow";#N/A,#N/A,FALSE,"FinStmts"}</definedName>
    <definedName name="ssssssss" localSheetId="0" hidden="1">{#N/A,#N/A,FALSE,"Hoja10";#N/A,#N/A,FALSE,"Hoja9";#N/A,#N/A,FALSE,"Hoja8";#N/A,#N/A,FALSE,"Hoja7";#N/A,#N/A,FALSE,"Hoja6";#N/A,#N/A,FALSE,"Hoja5";#N/A,#N/A,FALSE,"Hoja4";#N/A,#N/A,FALSE,"Hoja2";#N/A,#N/A,FALSE,"Hoja3";#N/A,#N/A,FALSE,"HOJA1";#N/A,#N/A,FALSE,"CashFlow";#N/A,#N/A,FALSE,"FinStmts"}</definedName>
    <definedName name="ssssssss" hidden="1">{#N/A,#N/A,FALSE,"Hoja10";#N/A,#N/A,FALSE,"Hoja9";#N/A,#N/A,FALSE,"Hoja8";#N/A,#N/A,FALSE,"Hoja7";#N/A,#N/A,FALSE,"Hoja6";#N/A,#N/A,FALSE,"Hoja5";#N/A,#N/A,FALSE,"Hoja4";#N/A,#N/A,FALSE,"Hoja2";#N/A,#N/A,FALSE,"Hoja3";#N/A,#N/A,FALSE,"HOJA1";#N/A,#N/A,FALSE,"CashFlow";#N/A,#N/A,FALSE,"FinStmts"}</definedName>
    <definedName name="ssssssssss" localSheetId="0" hidden="1">{#N/A,#N/A,FALSE,"Hoja10";#N/A,#N/A,FALSE,"Hoja9";#N/A,#N/A,FALSE,"Hoja8";#N/A,#N/A,FALSE,"Hoja7";#N/A,#N/A,FALSE,"Hoja6";#N/A,#N/A,FALSE,"Hoja5";#N/A,#N/A,FALSE,"Hoja4";#N/A,#N/A,FALSE,"Hoja2";#N/A,#N/A,FALSE,"Hoja3";#N/A,#N/A,FALSE,"HOJA1";#N/A,#N/A,FALSE,"CashFlow";#N/A,#N/A,FALSE,"FinStmts"}</definedName>
    <definedName name="ssssssssss" hidden="1">{#N/A,#N/A,FALSE,"Hoja10";#N/A,#N/A,FALSE,"Hoja9";#N/A,#N/A,FALSE,"Hoja8";#N/A,#N/A,FALSE,"Hoja7";#N/A,#N/A,FALSE,"Hoja6";#N/A,#N/A,FALSE,"Hoja5";#N/A,#N/A,FALSE,"Hoja4";#N/A,#N/A,FALSE,"Hoja2";#N/A,#N/A,FALSE,"Hoja3";#N/A,#N/A,FALSE,"HOJA1";#N/A,#N/A,FALSE,"CashFlow";#N/A,#N/A,FALSE,"FinStmts"}</definedName>
    <definedName name="stage_tool">#REF!</definedName>
    <definedName name="Stamping_Press">#REF!</definedName>
    <definedName name="stj" localSheetId="0" hidden="1">{#N/A,#N/A,FALSE,"SUMMARY REPORT"}</definedName>
    <definedName name="stj" hidden="1">{#N/A,#N/A,FALSE,"SUMMARY REPORT"}</definedName>
    <definedName name="Sub_Areas">#REF!,#REF!,#REF!</definedName>
    <definedName name="SUBRECBL">[11]DataYTD!$B$41</definedName>
    <definedName name="sug" localSheetId="0" hidden="1">{#N/A,#N/A,FALSE,"SUMMARY REPORT"}</definedName>
    <definedName name="sug" hidden="1">{#N/A,#N/A,FALSE,"SUMMARY REPORT"}</definedName>
    <definedName name="SUMExtraCredit">#REF!</definedName>
    <definedName name="SUMIF">#REF!</definedName>
    <definedName name="SUMIFExtraCredit">#REF!</definedName>
    <definedName name="swe" localSheetId="0" hidden="1">{#N/A,#N/A,FALSE,"SUMMARY REPORT"}</definedName>
    <definedName name="swe" hidden="1">{#N/A,#N/A,FALSE,"SUMMARY REPORT"}</definedName>
    <definedName name="system">#REF!</definedName>
    <definedName name="tar" localSheetId="0" hidden="1">{#N/A,#N/A,FALSE,"196126-0690";#N/A,#N/A,FALSE,"196126-0690";#N/A,#N/A,FALSE,"1961165-0201"}</definedName>
    <definedName name="tar" hidden="1">{#N/A,#N/A,FALSE,"196126-0690";#N/A,#N/A,FALSE,"196126-0690";#N/A,#N/A,FALSE,"1961165-0201"}</definedName>
    <definedName name="tbl_ProdInfo" hidden="1">#REF!</definedName>
    <definedName name="Teardowbn_1" localSheetId="0" hidden="1">{#N/A,#N/A,FALSE,"Sales"}</definedName>
    <definedName name="Teardowbn_1" hidden="1">{#N/A,#N/A,FALSE,"Sales"}</definedName>
    <definedName name="TextRefCopyRangeCount" hidden="1">6</definedName>
    <definedName name="tg" localSheetId="0" hidden="1">{#N/A,#N/A,FALSE,"KMC최종회의(7월) 자료"}</definedName>
    <definedName name="tg" hidden="1">{#N/A,#N/A,FALSE,"KMC최종회의(7월) 자료"}</definedName>
    <definedName name="TORSION" localSheetId="0" hidden="1">{#N/A,#N/A,FALSE,"단축1";#N/A,#N/A,FALSE,"단축2";#N/A,#N/A,FALSE,"단축3";#N/A,#N/A,FALSE,"장축";#N/A,#N/A,FALSE,"4WD"}</definedName>
    <definedName name="TORSION" hidden="1">{#N/A,#N/A,FALSE,"단축1";#N/A,#N/A,FALSE,"단축2";#N/A,#N/A,FALSE,"단축3";#N/A,#N/A,FALSE,"장축";#N/A,#N/A,FALSE,"4WD"}</definedName>
    <definedName name="Total">#REF!</definedName>
    <definedName name="Tracker" localSheetId="1">OFFSET(#REF!,0,1,COUNTA(#REF!),COLUMNS(#REF!))</definedName>
    <definedName name="Tracker">OFFSET(#REF!,0,1,COUNTA(#REF!),COLUMNS(#REF!))</definedName>
    <definedName name="Transfer_tool">#REF!</definedName>
    <definedName name="TREASTK">[11]DataYTD!$B$419</definedName>
    <definedName name="tret" localSheetId="0" hidden="1">{#N/A,#N/A,FALSE,"196126-0690";#N/A,#N/A,FALSE,"196126-0690";#N/A,#N/A,FALSE,"1961165-0201"}</definedName>
    <definedName name="tret" hidden="1">{#N/A,#N/A,FALSE,"196126-0690";#N/A,#N/A,FALSE,"196126-0690";#N/A,#N/A,FALSE,"1961165-0201"}</definedName>
    <definedName name="Trim">#REF!</definedName>
    <definedName name="TRM" localSheetId="0" hidden="1">{#N/A,#N/A,FALSE,"단축1";#N/A,#N/A,FALSE,"단축2";#N/A,#N/A,FALSE,"단축3";#N/A,#N/A,FALSE,"장축";#N/A,#N/A,FALSE,"4WD"}</definedName>
    <definedName name="TRM" hidden="1">{#N/A,#N/A,FALSE,"단축1";#N/A,#N/A,FALSE,"단축2";#N/A,#N/A,FALSE,"단축3";#N/A,#N/A,FALSE,"장축";#N/A,#N/A,FALSE,"4WD"}</definedName>
    <definedName name="trs" localSheetId="0" hidden="1">{#N/A,#N/A,FALSE,"196126-0690";#N/A,#N/A,FALSE,"196126-0690";#N/A,#N/A,FALSE,"1961165-0201"}</definedName>
    <definedName name="trs" hidden="1">{#N/A,#N/A,FALSE,"196126-0690";#N/A,#N/A,FALSE,"196126-0690";#N/A,#N/A,FALSE,"1961165-0201"}</definedName>
    <definedName name="try" localSheetId="0" hidden="1">{#N/A,#N/A,FALSE,"Base";#N/A,#N/A,FALSE,"ADP";#N/A,#N/A,FALSE,"Reach"}</definedName>
    <definedName name="try" hidden="1">{#N/A,#N/A,FALSE,"Base";#N/A,#N/A,FALSE,"ADP";#N/A,#N/A,FALSE,"Reach"}</definedName>
    <definedName name="TTM" localSheetId="0" hidden="1">{#N/A,#N/A,FALSE,"단축1";#N/A,#N/A,FALSE,"단축2";#N/A,#N/A,FALSE,"단축3";#N/A,#N/A,FALSE,"장축";#N/A,#N/A,FALSE,"4WD"}</definedName>
    <definedName name="TTM" hidden="1">{#N/A,#N/A,FALSE,"단축1";#N/A,#N/A,FALSE,"단축2";#N/A,#N/A,FALSE,"단축3";#N/A,#N/A,FALSE,"장축";#N/A,#N/A,FALSE,"4WD"}</definedName>
    <definedName name="ttt" localSheetId="0" hidden="1">{#N/A,#N/A,FALSE,"을지 (4)";#N/A,#N/A,FALSE,"을지 (5)";#N/A,#N/A,FALSE,"을지 (6)"}</definedName>
    <definedName name="ttt" hidden="1">{#N/A,#N/A,FALSE,"을지 (4)";#N/A,#N/A,FALSE,"을지 (5)";#N/A,#N/A,FALSE,"을지 (6)"}</definedName>
    <definedName name="TTTT" localSheetId="0" hidden="1">{#N/A,#N/A,FALSE,"UNIT";#N/A,#N/A,FALSE,"UNIT";#N/A,#N/A,FALSE,"계정"}</definedName>
    <definedName name="TTTT" hidden="1">{#N/A,#N/A,FALSE,"UNIT";#N/A,#N/A,FALSE,"UNIT";#N/A,#N/A,FALSE,"계정"}</definedName>
    <definedName name="TUBE_MC_NAME">[13]StandardRates!$B$156:$B$175</definedName>
    <definedName name="TXASSTS">[11]DataYTD!$B$117</definedName>
    <definedName name="tyu" localSheetId="0" hidden="1">{#N/A,#N/A,FALSE,"SUMMARY REPORT"}</definedName>
    <definedName name="tyu" hidden="1">{#N/A,#N/A,FALSE,"SUMMARY REPORT"}</definedName>
    <definedName name="u" localSheetId="0" hidden="1">{"Annual",#N/A,FALSE,"Sales &amp; Market";"Quarterly",#N/A,FALSE,"Sales &amp; Market"}</definedName>
    <definedName name="u" hidden="1">{"Annual",#N/A,FALSE,"Sales &amp; Market";"Quarterly",#N/A,FALSE,"Sales &amp; Market"}</definedName>
    <definedName name="ufh" localSheetId="0" hidden="1">{#N/A,#N/A,FALSE,"SUMMARY REPORT"}</definedName>
    <definedName name="ufh" hidden="1">{#N/A,#N/A,FALSE,"SUMMARY REPORT"}</definedName>
    <definedName name="uio" localSheetId="0" hidden="1">{#N/A,#N/A,FALSE,"SUMMARY REPORT"}</definedName>
    <definedName name="uio" hidden="1">{#N/A,#N/A,FALSE,"SUMMARY REPORT"}</definedName>
    <definedName name="uioiu" localSheetId="0" hidden="1">{#N/A,#N/A,FALSE,"196126-0690";#N/A,#N/A,FALSE,"196126-0690";#N/A,#N/A,FALSE,"1961165-0201"}</definedName>
    <definedName name="uioiu" hidden="1">{#N/A,#N/A,FALSE,"196126-0690";#N/A,#N/A,FALSE,"196126-0690";#N/A,#N/A,FALSE,"1961165-0201"}</definedName>
    <definedName name="uml" localSheetId="0" hidden="1">{#N/A,#N/A,FALSE,"SUMMARY REPORT"}</definedName>
    <definedName name="uml" hidden="1">{#N/A,#N/A,FALSE,"SUMMARY REPORT"}</definedName>
    <definedName name="UOTUIO" localSheetId="0" hidden="1">{#N/A,#N/A,FALSE,"WC OMM III";#N/A,#N/A,FALSE,"WC 1995 PLAN";#N/A,#N/A,FALSE,"WC 1995 ADJUSTED"}</definedName>
    <definedName name="UOTUIO" hidden="1">{#N/A,#N/A,FALSE,"WC OMM III";#N/A,#N/A,FALSE,"WC 1995 PLAN";#N/A,#N/A,FALSE,"WC 1995 ADJUSTED"}</definedName>
    <definedName name="uu" localSheetId="0" hidden="1">{#N/A,#N/A,FALSE,"빌딩claim율";#N/A,#N/A,FALSE,"전력CLAIM율";#N/A,#N/A,FALSE,"SVC산업CLAIM"}</definedName>
    <definedName name="uu" hidden="1">{#N/A,#N/A,FALSE,"빌딩claim율";#N/A,#N/A,FALSE,"전력CLAIM율";#N/A,#N/A,FALSE,"SVC산업CLAIM"}</definedName>
    <definedName name="uuu" localSheetId="0" hidden="1">{#N/A,#N/A,FALSE,"WC OMM III";#N/A,#N/A,FALSE,"WC 1995 PLAN";#N/A,#N/A,FALSE,"WC 1995 ADJUSTED"}</definedName>
    <definedName name="uuu" hidden="1">{#N/A,#N/A,FALSE,"WC OMM III";#N/A,#N/A,FALSE,"WC 1995 PLAN";#N/A,#N/A,FALSE,"WC 1995 ADJUSTED"}</definedName>
    <definedName name="uyi" localSheetId="0" hidden="1">{#N/A,#N/A,FALSE,"SUMMARY REPORT"}</definedName>
    <definedName name="uyi" hidden="1">{#N/A,#N/A,FALSE,"SUMMARY REPORT"}</definedName>
    <definedName name="uyt" localSheetId="0" hidden="1">{#N/A,#N/A,FALSE,"SUMMARY REPORT"}</definedName>
    <definedName name="uyt" hidden="1">{#N/A,#N/A,FALSE,"SUMMARY REPORT"}</definedName>
    <definedName name="vcf" localSheetId="0" hidden="1">{#N/A,#N/A,FALSE,"SUMMARY REPORT"}</definedName>
    <definedName name="vcf" hidden="1">{#N/A,#N/A,FALSE,"SUMMARY REPORT"}</definedName>
    <definedName name="vcm" localSheetId="0" hidden="1">{#N/A,#N/A,FALSE,"SUMMARY REPORT"}</definedName>
    <definedName name="vcm" hidden="1">{#N/A,#N/A,FALSE,"SUMMARY REPORT"}</definedName>
    <definedName name="vf" localSheetId="0" hidden="1">{#N/A,#N/A,FALSE,"SUMMARY REPORT"}</definedName>
    <definedName name="vf" hidden="1">{#N/A,#N/A,FALSE,"SUMMARY REPORT"}</definedName>
    <definedName name="vft" localSheetId="0" hidden="1">{#N/A,#N/A,FALSE,"SUMMARY REPORT"}</definedName>
    <definedName name="vft" hidden="1">{#N/A,#N/A,FALSE,"SUMMARY REPORT"}</definedName>
    <definedName name="vgh" localSheetId="0" hidden="1">{#N/A,#N/A,FALSE,"SUMMARY REPORT"}</definedName>
    <definedName name="vgh" hidden="1">{#N/A,#N/A,FALSE,"SUMMARY REPORT"}</definedName>
    <definedName name="vvv" localSheetId="0" hidden="1">{#N/A,#N/A,FALSE,"Hoja10";#N/A,#N/A,FALSE,"Hoja9";#N/A,#N/A,FALSE,"Hoja8";#N/A,#N/A,FALSE,"Hoja7";#N/A,#N/A,FALSE,"Hoja6";#N/A,#N/A,FALSE,"Hoja5";#N/A,#N/A,FALSE,"Hoja4";#N/A,#N/A,FALSE,"Hoja2";#N/A,#N/A,FALSE,"Hoja3";#N/A,#N/A,FALSE,"HOJA1";#N/A,#N/A,FALSE,"CashFlow";#N/A,#N/A,FALSE,"FinStmts"}</definedName>
    <definedName name="vvv" hidden="1">{#N/A,#N/A,FALSE,"Hoja10";#N/A,#N/A,FALSE,"Hoja9";#N/A,#N/A,FALSE,"Hoja8";#N/A,#N/A,FALSE,"Hoja7";#N/A,#N/A,FALSE,"Hoja6";#N/A,#N/A,FALSE,"Hoja5";#N/A,#N/A,FALSE,"Hoja4";#N/A,#N/A,FALSE,"Hoja2";#N/A,#N/A,FALSE,"Hoja3";#N/A,#N/A,FALSE,"HOJA1";#N/A,#N/A,FALSE,"CashFlow";#N/A,#N/A,FALSE,"FinStmts"}</definedName>
    <definedName name="w" hidden="1">#REF!</definedName>
    <definedName name="W0" localSheetId="0" hidden="1">{#N/A,#N/A,FALSE,"KMC최종회의(7월) 자료"}</definedName>
    <definedName name="W0" hidden="1">{#N/A,#N/A,FALSE,"KMC최종회의(7월) 자료"}</definedName>
    <definedName name="WA" localSheetId="0" hidden="1">{#N/A,#N/A,FALSE,"초도품";#N/A,#N/A,FALSE,"초도품 (2)";#N/A,#N/A,FALSE,"초도품 (3)";#N/A,#N/A,FALSE,"초도품 (4)";#N/A,#N/A,FALSE,"초도품 (5)";#N/A,#N/A,FALSE,"초도품 (6)"}</definedName>
    <definedName name="WA" hidden="1">{#N/A,#N/A,FALSE,"초도품";#N/A,#N/A,FALSE,"초도품 (2)";#N/A,#N/A,FALSE,"초도품 (3)";#N/A,#N/A,FALSE,"초도품 (4)";#N/A,#N/A,FALSE,"초도품 (5)";#N/A,#N/A,FALSE,"초도품 (6)"}</definedName>
    <definedName name="washing" localSheetId="0" hidden="1">{#N/A,#N/A,FALSE,"Sales"}</definedName>
    <definedName name="washing" hidden="1">{#N/A,#N/A,FALSE,"Sales"}</definedName>
    <definedName name="WE" hidden="1">#REF!</definedName>
    <definedName name="weightOfCasting">'[30]Variable Sheet'!$P$3:$P$4</definedName>
    <definedName name="welding\drilling">#REF!</definedName>
    <definedName name="wen" localSheetId="0" hidden="1">{#N/A,#N/A,FALSE,"SUMMARY REPORT"}</definedName>
    <definedName name="wen" hidden="1">{#N/A,#N/A,FALSE,"SUMMARY REPORT"}</definedName>
    <definedName name="wer" localSheetId="0" hidden="1">{#N/A,#N/A,FALSE,"196126-0690";#N/A,#N/A,FALSE,"196126-0690";#N/A,#N/A,FALSE,"1961165-0201"}</definedName>
    <definedName name="wer" hidden="1">{#N/A,#N/A,FALSE,"196126-0690";#N/A,#N/A,FALSE,"196126-0690";#N/A,#N/A,FALSE,"1961165-0201"}</definedName>
    <definedName name="wg" localSheetId="0" hidden="1">{#N/A,#N/A,FALSE,"KMC최종회의(7월) 자료"}</definedName>
    <definedName name="wg" hidden="1">{#N/A,#N/A,FALSE,"KMC최종회의(7월) 자료"}</definedName>
    <definedName name="wgb" localSheetId="0" hidden="1">{#N/A,#N/A,FALSE,"SUMMARY REPORT"}</definedName>
    <definedName name="wgb" hidden="1">{#N/A,#N/A,FALSE,"SUMMARY REPORT"}</definedName>
    <definedName name="WHDGK" localSheetId="0" hidden="1">{#N/A,#N/A,FALSE,"KMC최종회의(7월) 자료"}</definedName>
    <definedName name="WHDGK" hidden="1">{#N/A,#N/A,FALSE,"KMC최종회의(7월) 자료"}</definedName>
    <definedName name="wire" hidden="1">{"Annual",#N/A,FALSE,"Sales &amp; Market";"Quarterly",#N/A,FALSE,"Sales &amp; Market"}</definedName>
    <definedName name="WQ" localSheetId="0" hidden="1">{#N/A,#N/A,FALSE,"을지 (4)";#N/A,#N/A,FALSE,"을지 (5)";#N/A,#N/A,FALSE,"을지 (6)"}</definedName>
    <definedName name="WQ" hidden="1">{#N/A,#N/A,FALSE,"을지 (4)";#N/A,#N/A,FALSE,"을지 (5)";#N/A,#N/A,FALSE,"을지 (6)"}</definedName>
    <definedName name="WQE" localSheetId="0" hidden="1">{#N/A,#N/A,FALSE,"UNIT";#N/A,#N/A,FALSE,"UNIT";#N/A,#N/A,FALSE,"계정"}</definedName>
    <definedName name="WQE" hidden="1">{#N/A,#N/A,FALSE,"UNIT";#N/A,#N/A,FALSE,"UNIT";#N/A,#N/A,FALSE,"계정"}</definedName>
    <definedName name="WRE" localSheetId="0" hidden="1">{#N/A,#N/A,FALSE,"KMC최종회의(7월) 자료"}</definedName>
    <definedName name="WRE" hidden="1">{#N/A,#N/A,FALSE,"KMC최종회의(7월) 자료"}</definedName>
    <definedName name="wrn.1130trds." localSheetId="0" hidden="1">{#N/A,#N/A,FALSE,"RECEIVABLES";#N/A,#N/A,FALSE,"TRADE RECEIVABLES";#N/A,#N/A,FALSE,"COLLECTION DAYS";#N/A,#N/A,FALSE,"PRODUCTION INVENTORY";#N/A,#N/A,FALSE,"PITO";#N/A,#N/A,FALSE,"NOA"}</definedName>
    <definedName name="wrn.1130trds." hidden="1">{#N/A,#N/A,FALSE,"RECEIVABLES";#N/A,#N/A,FALSE,"TRADE RECEIVABLES";#N/A,#N/A,FALSE,"COLLECTION DAYS";#N/A,#N/A,FALSE,"PRODUCTION INVENTORY";#N/A,#N/A,FALSE,"PITO";#N/A,#N/A,FALSE,"NOA"}</definedName>
    <definedName name="wrn.5월실적." localSheetId="0" hidden="1">{#N/A,#N/A,FALSE,"요약";#N/A,#N/A,FALSE,"보고목차";#N/A,#N/A,FALSE,"1)서비스접수";#N/A,#N/A,FALSE,"2)상담";#N/A,#N/A,FALSE,"2.월별접수추이현황";#N/A,#N/A,FALSE,"3.상담내용";#N/A,#N/A,FALSE,"4.미처리현황"}</definedName>
    <definedName name="wrn.5월실적." hidden="1">{#N/A,#N/A,FALSE,"요약";#N/A,#N/A,FALSE,"보고목차";#N/A,#N/A,FALSE,"1)서비스접수";#N/A,#N/A,FALSE,"2)상담";#N/A,#N/A,FALSE,"2.월별접수추이현황";#N/A,#N/A,FALSE,"3.상담내용";#N/A,#N/A,FALSE,"4.미처리현황"}</definedName>
    <definedName name="wrn.6월실적." localSheetId="0" hidden="1">{#N/A,#N/A,FALSE,"보고목차";#N/A,#N/A,FALSE,"1)서비스접수";#N/A,#N/A,FALSE,"2)상담";#N/A,#N/A,FALSE,"2.월별접수추이현황"}</definedName>
    <definedName name="wrn.6월실적." hidden="1">{#N/A,#N/A,FALSE,"보고목차";#N/A,#N/A,FALSE,"1)서비스접수";#N/A,#N/A,FALSE,"2)상담";#N/A,#N/A,FALSE,"2.월별접수추이현황"}</definedName>
    <definedName name="wrn.9601실적." localSheetId="0" hidden="1">{#N/A,#N/A,FALSE,"보고목차";#N/A,#N/A,FALSE,"1)서비스접수";#N/A,#N/A,FALSE,"2)상담";#N/A,#N/A,FALSE,"2.월별접수추이현황";#N/A,#N/A,FALSE,"3.일자별접수현황";#N/A,#N/A,FALSE,"4.상담내용";#N/A,#N/A,FALSE,"5.미처리현황";#N/A,#N/A,FALSE,"6.재발방지";#N/A,#N/A,FALSE,"7.당월주요문제점"}</definedName>
    <definedName name="wrn.9601실적." hidden="1">{#N/A,#N/A,FALSE,"보고목차";#N/A,#N/A,FALSE,"1)서비스접수";#N/A,#N/A,FALSE,"2)상담";#N/A,#N/A,FALSE,"2.월별접수추이현황";#N/A,#N/A,FALSE,"3.일자별접수현황";#N/A,#N/A,FALSE,"4.상담내용";#N/A,#N/A,FALSE,"5.미처리현황";#N/A,#N/A,FALSE,"6.재발방지";#N/A,#N/A,FALSE,"7.당월주요문제점"}</definedName>
    <definedName name="wrn.aa." localSheetId="0" hidden="1">{#N/A,#N/A,FALSE,"UNIT";#N/A,#N/A,FALSE,"UNIT";#N/A,#N/A,FALSE,"계정"}</definedName>
    <definedName name="wrn.aa." hidden="1">{#N/A,#N/A,FALSE,"UNIT";#N/A,#N/A,FALSE,"UNIT";#N/A,#N/A,FALSE,"계정"}</definedName>
    <definedName name="wrn.AC._.VOLUME." localSheetId="0" hidden="1">{#N/A,#N/A,FALSE,"AIRCO"}</definedName>
    <definedName name="wrn.AC._.VOLUME." hidden="1">{#N/A,#N/A,FALSE,"AIRCO"}</definedName>
    <definedName name="wrn.AU._.검사성적서." localSheetId="0" hidden="1">{#N/A,#N/A,FALSE,"을지 (4)";#N/A,#N/A,FALSE,"을지 (5)";#N/A,#N/A,FALSE,"을지 (6)"}</definedName>
    <definedName name="wrn.AU._.검사성적서." hidden="1">{#N/A,#N/A,FALSE,"을지 (4)";#N/A,#N/A,FALSE,"을지 (5)";#N/A,#N/A,FALSE,"을지 (6)"}</definedName>
    <definedName name="wrn.AU._.초도품._.보증서." localSheetId="0" hidden="1">{#N/A,#N/A,FALSE,"초도품";#N/A,#N/A,FALSE,"초도품 (2)";#N/A,#N/A,FALSE,"초도품 (3)";#N/A,#N/A,FALSE,"초도품 (4)";#N/A,#N/A,FALSE,"초도품 (5)";#N/A,#N/A,FALSE,"초도품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Brief." localSheetId="0" hidden="1">{#N/A,#N/A,TRUE,"Summary";#N/A,#N/A,TRUE,"Balance Sheet";#N/A,#N/A,TRUE,"P &amp; L";#N/A,#N/A,TRUE,"Fixed Assets";#N/A,#N/A,TRUE,"Cash Flows"}</definedName>
    <definedName name="wrn.Brief." hidden="1">{#N/A,#N/A,TRUE,"Summary";#N/A,#N/A,TRUE,"Balance Sheet";#N/A,#N/A,TRUE,"P &amp; L";#N/A,#N/A,TRUE,"Fixed Assets";#N/A,#N/A,TRUE,"Cash Flows"}</definedName>
    <definedName name="wrn.Cashflow." localSheetId="0" hidden="1">{#N/A,#N/A,FALSE,"Monthly Cashflow"}</definedName>
    <definedName name="wrn.Cashflow." hidden="1">{#N/A,#N/A,FALSE,"Monthly Cashflow"}</definedName>
    <definedName name="wrn.CFTRENDS." localSheetId="0" hidden="1">{#N/A,#N/A,FALSE,"OMM III";#N/A,#N/A,FALSE,"1995 PLAN";#N/A,#N/A,FALSE,"1995 TARGET";#N/A,#N/A,FALSE,"1995 ADJUSTED"}</definedName>
    <definedName name="wrn.CFTRENDS." hidden="1">{#N/A,#N/A,FALSE,"OMM III";#N/A,#N/A,FALSE,"1995 PLAN";#N/A,#N/A,FALSE,"1995 TARGET";#N/A,#N/A,FALSE,"1995 ADJUSTED"}</definedName>
    <definedName name="wrn.CLAIM율." localSheetId="0" hidden="1">{#N/A,#N/A,FALSE,"빌딩claim율";#N/A,#N/A,FALSE,"전력CLAIM율";#N/A,#N/A,FALSE,"SVC산업CLAIM"}</definedName>
    <definedName name="wrn.CLAIM율." hidden="1">{#N/A,#N/A,FALSE,"빌딩claim율";#N/A,#N/A,FALSE,"전력CLAIM율";#N/A,#N/A,FALSE,"SVC산업CLAIM"}</definedName>
    <definedName name="wrn.COSA._.FS._.국문." localSheetId="0" hidden="1">{#N/A,#N/A,FALSE,"BS";#N/A,#N/A,FALSE,"PL";#N/A,#N/A,FALSE,"처분";#N/A,#N/A,FALSE,"현금";#N/A,#N/A,FALSE,"매출";#N/A,#N/A,FALSE,"원가";#N/A,#N/A,FALSE,"경영"}</definedName>
    <definedName name="wrn.COSA._.FS._.국문." hidden="1">{#N/A,#N/A,FALSE,"BS";#N/A,#N/A,FALSE,"PL";#N/A,#N/A,FALSE,"처분";#N/A,#N/A,FALSE,"현금";#N/A,#N/A,FALSE,"매출";#N/A,#N/A,FALSE,"원가";#N/A,#N/A,FALSE,"경영"}</definedName>
    <definedName name="wrn.Data._.letters." localSheetId="0" hidden="1">{#N/A,#N/A,FALSE,"cover";#N/A,#N/A,FALSE,"ap feed";#N/A,#N/A,FALSE,"PWA";#N/A,#N/A,FALSE,"pwglois";#N/A,#N/A,FALSE,"pwgnelson";#N/A,#N/A,FALSE,"sikorsky";#N/A,#N/A,FALSE,"hsd";#N/A,#N/A,FALSE,"auto";#N/A,#N/A,FALSE,"utrc";#N/A,#N/A,FALSE,"kuhn";#N/A,#N/A,FALSE,"gavioli";#N/A,#N/A,FALSE,"otisdennis";#N/A,#N/A,FALSE,"otisline";#N/A,#N/A,FALSE,"otisbydlak";#N/A,#N/A,FALSE,"tpm";#N/A,#N/A,FALSE,"carrierroseboom";#N/A,#N/A,FALSE,"carrierwitz";#N/A,#N/A,FALSE,"pwc"}</definedName>
    <definedName name="wrn.Data._.letters." hidden="1">{#N/A,#N/A,FALSE,"cover";#N/A,#N/A,FALSE,"ap feed";#N/A,#N/A,FALSE,"PWA";#N/A,#N/A,FALSE,"pwglois";#N/A,#N/A,FALSE,"pwgnelson";#N/A,#N/A,FALSE,"sikorsky";#N/A,#N/A,FALSE,"hsd";#N/A,#N/A,FALSE,"auto";#N/A,#N/A,FALSE,"utrc";#N/A,#N/A,FALSE,"kuhn";#N/A,#N/A,FALSE,"gavioli";#N/A,#N/A,FALSE,"otisdennis";#N/A,#N/A,FALSE,"otisline";#N/A,#N/A,FALSE,"otisbydlak";#N/A,#N/A,FALSE,"tpm";#N/A,#N/A,FALSE,"carrierroseboom";#N/A,#N/A,FALSE,"carrierwitz";#N/A,#N/A,FALSE,"pwc"}</definedName>
    <definedName name="wrn.denso." localSheetId="0" hidden="1">{#N/A,#N/A,FALSE,"196126-0690";#N/A,#N/A,FALSE,"196126-0690";#N/A,#N/A,FALSE,"1961165-0201"}</definedName>
    <definedName name="wrn.denso." hidden="1">{#N/A,#N/A,FALSE,"196126-0690";#N/A,#N/A,FALSE,"196126-0690";#N/A,#N/A,FALSE,"1961165-0201"}</definedName>
    <definedName name="wrn.Elaborate." localSheetId="0" hidden="1">{#N/A,#N/A,FALSE,"Cash Flows";#N/A,#N/A,FALSE,"Fixed Assets";#N/A,#N/A,FALSE,"Balance Sheet";#N/A,#N/A,FALSE,"P &amp; L"}</definedName>
    <definedName name="wrn.Elaborate." hidden="1">{#N/A,#N/A,FALSE,"Cash Flows";#N/A,#N/A,FALSE,"Fixed Assets";#N/A,#N/A,FALSE,"Balance Sheet";#N/A,#N/A,FALSE,"P &amp; L"}</definedName>
    <definedName name="wrn.estall." localSheetId="0" hidden="1">{#N/A,#N/A,FALSE,"Base";#N/A,#N/A,FALSE,"ADP";#N/A,#N/A,FALSE,"Reach"}</definedName>
    <definedName name="wrn.estall." hidden="1">{#N/A,#N/A,FALSE,"Base";#N/A,#N/A,FALSE,"ADP";#N/A,#N/A,FALSE,"Reach"}</definedName>
    <definedName name="wrn.FINANCIAL._.FORECAST." localSheetId="0" hidden="1">{#N/A,#N/A,FALSE,"Hoja10";#N/A,#N/A,FALSE,"Hoja9";#N/A,#N/A,FALSE,"Hoja8";#N/A,#N/A,FALSE,"Hoja7";#N/A,#N/A,FALSE,"Hoja6";#N/A,#N/A,FALSE,"Hoja5";#N/A,#N/A,FALSE,"Hoja4";#N/A,#N/A,FALSE,"Hoja2";#N/A,#N/A,FALSE,"Hoja3";#N/A,#N/A,FALSE,"HOJA1";#N/A,#N/A,FALSE,"CashFlow";#N/A,#N/A,FALSE,"FinStmts"}</definedName>
    <definedName name="wrn.FINANCIAL._.FORECAST." hidden="1">{#N/A,#N/A,FALSE,"Hoja10";#N/A,#N/A,FALSE,"Hoja9";#N/A,#N/A,FALSE,"Hoja8";#N/A,#N/A,FALSE,"Hoja7";#N/A,#N/A,FALSE,"Hoja6";#N/A,#N/A,FALSE,"Hoja5";#N/A,#N/A,FALSE,"Hoja4";#N/A,#N/A,FALSE,"Hoja2";#N/A,#N/A,FALSE,"Hoja3";#N/A,#N/A,FALSE,"HOJA1";#N/A,#N/A,FALSE,"CashFlow";#N/A,#N/A,FALSE,"FinStmts"}</definedName>
    <definedName name="wrn.graphe." localSheetId="0" hidden="1">{#N/A,#N/A,TRUE,"graphe";#N/A,#N/A,TRUE,"INJCORPS";#N/A,#N/A,TRUE,"INJCOIFFE";#N/A,#N/A,TRUE,"INJCONDUITS";#N/A,#N/A,TRUE,"INJVPOCHE";#N/A,#N/A,TRUE,"SOUDURE_CONDUITS";#N/A,#N/A,TRUE,"FLAMMAGE-ETUVAGE";#N/A,#N/A,TRUE,"MOUSSAGE";#N/A,#N/A,TRUE,"FRAISAGE";#N/A,#N/A,TRUE,"SOUDURE_CONDUIT_CORPS";#N/A,#N/A,TRUE,"SOUDURE_ PORTE_VP";#N/A,#N/A,TRUE,"ASSEMBLAGE_VIDE_POCHE";#N/A,#N/A,TRUE,"PREPARATION_CORPS";#N/A,#N/A,TRUE,"ASSEMBLAGE_PDB";#N/A,#N/A,TRUE,"INJ_CONSOLE";#N/A,#N/A,TRUE,"INJ PLS";#N/A,#N/A,TRUE,"SYNTHESE";#N/A,#N/A,TRUE,"indice"}</definedName>
    <definedName name="wrn.graphe." hidden="1">{#N/A,#N/A,TRUE,"graphe";#N/A,#N/A,TRUE,"INJCORPS";#N/A,#N/A,TRUE,"INJCOIFFE";#N/A,#N/A,TRUE,"INJCONDUITS";#N/A,#N/A,TRUE,"INJVPOCHE";#N/A,#N/A,TRUE,"SOUDURE_CONDUITS";#N/A,#N/A,TRUE,"FLAMMAGE-ETUVAGE";#N/A,#N/A,TRUE,"MOUSSAGE";#N/A,#N/A,TRUE,"FRAISAGE";#N/A,#N/A,TRUE,"SOUDURE_CONDUIT_CORPS";#N/A,#N/A,TRUE,"SOUDURE_ PORTE_VP";#N/A,#N/A,TRUE,"ASSEMBLAGE_VIDE_POCHE";#N/A,#N/A,TRUE,"PREPARATION_CORPS";#N/A,#N/A,TRUE,"ASSEMBLAGE_PDB";#N/A,#N/A,TRUE,"INJ_CONSOLE";#N/A,#N/A,TRUE,"INJ PLS";#N/A,#N/A,TRUE,"SYNTHESE";#N/A,#N/A,TRUE,"indice"}</definedName>
    <definedName name="wrn.INPUT._.REPORT." localSheetId="0" hidden="1">{"Page1",#N/A,TRUE,"Sheet1";"Page2",#N/A,TRUE,"Sheet1"}</definedName>
    <definedName name="wrn.INPUT._.REPORT." hidden="1">{"Page1",#N/A,TRUE,"Sheet1";"Page2",#N/A,TRUE,"Sheet1"}</definedName>
    <definedName name="wrn.MASTER._.FILE." localSheetId="0" hidden="1">{#N/A,#N/A,FALSE,"Working-OLD"}</definedName>
    <definedName name="wrn.MASTER._.FILE." hidden="1">{#N/A,#N/A,FALSE,"Working-OLD"}</definedName>
    <definedName name="wrn.MEASURE." localSheetId="0" hidden="1">{#N/A,#N/A,FALSE,"A장";#N/A,#N/A,FALSE,"B장"}</definedName>
    <definedName name="wrn.MEASURE." hidden="1">{#N/A,#N/A,FALSE,"A장";#N/A,#N/A,FALSE,"B장"}</definedName>
    <definedName name="wrn.package." localSheetId="0" hidden="1">{#N/A,#N/A,FALSE,"sales &amp; mics income";#N/A,#N/A,FALSE,"revenue mix";#N/A,#N/A,FALSE,"EBIT REC";#N/A,#N/A,FALSE,"R&amp;DRLAV2";#N/A,#N/A,FALSE,"Cycle Time";#N/A,#N/A,FALSE,"Mnpwr &amp; Fac";#N/A,#N/A,FALSE,"Prod Facil";#N/A,#N/A,FALSE,"Mfg Prod";#N/A,#N/A,FALSE,"CAPEX";#N/A,#N/A,FALSE,"NOA";#N/A,#N/A,FALSE,"cash flow";#N/A,#N/A,FALSE,"FA 18 EF ACS PACK";#N/A,#N/A,FALSE,"aftermarket";#N/A,#N/A,FALSE,"COMM'L SPARES (2)";#N/A,#N/A,FALSE,"EBIT Recovery Plan";#N/A,#N/A,FALSE,"RECON94 (2)";#N/A,#N/A,FALSE,"sg&amp;a";#N/A,#N/A,FALSE,"EMPLOYEES";#N/A,#N/A,FALSE,"BOEING 777";#N/A,#N/A,FALSE,"o&amp;r";#N/A,#N/A,FALSE,"F-18 ECS";#N/A,#N/A,FALSE,"Lead Time";#N/A,#N/A,FALSE,"mfg cycle time"}</definedName>
    <definedName name="wrn.package." hidden="1">{#N/A,#N/A,FALSE,"sales &amp; mics income";#N/A,#N/A,FALSE,"revenue mix";#N/A,#N/A,FALSE,"EBIT REC";#N/A,#N/A,FALSE,"R&amp;DRLAV2";#N/A,#N/A,FALSE,"Cycle Time";#N/A,#N/A,FALSE,"Mnpwr &amp; Fac";#N/A,#N/A,FALSE,"Prod Facil";#N/A,#N/A,FALSE,"Mfg Prod";#N/A,#N/A,FALSE,"CAPEX";#N/A,#N/A,FALSE,"NOA";#N/A,#N/A,FALSE,"cash flow";#N/A,#N/A,FALSE,"FA 18 EF ACS PACK";#N/A,#N/A,FALSE,"aftermarket";#N/A,#N/A,FALSE,"COMM'L SPARES (2)";#N/A,#N/A,FALSE,"EBIT Recovery Plan";#N/A,#N/A,FALSE,"RECON94 (2)";#N/A,#N/A,FALSE,"sg&amp;a";#N/A,#N/A,FALSE,"EMPLOYEES";#N/A,#N/A,FALSE,"BOEING 777";#N/A,#N/A,FALSE,"o&amp;r";#N/A,#N/A,FALSE,"F-18 ECS";#N/A,#N/A,FALSE,"Lead Time";#N/A,#N/A,FALSE,"mfg cycle time"}</definedName>
    <definedName name="wrn.PRINT._.ALL._.TABS." localSheetId="0" hidden="1">{"TOTAL PLT",#N/A,FALSE,"Total Plt";"STOLL",#N/A,FALSE,"R-Stoll";"VBRAD.P1",#N/A,FALSE,"VB Rads";"VBRAD.P3",#N/A,FALSE,"VB Rads";"VBRAD.P2",#N/A,FALSE,"VB Rads"}</definedName>
    <definedName name="wrn.PRINT._.ALL._.TABS." hidden="1">{"TOTAL PLT",#N/A,FALSE,"Total Plt";"STOLL",#N/A,FALSE,"R-Stoll";"VBRAD.P1",#N/A,FALSE,"VB Rads";"VBRAD.P3",#N/A,FALSE,"VB Rads";"VBRAD.P2",#N/A,FALSE,"VB Rads"}</definedName>
    <definedName name="wrn.PRINT2." localSheetId="0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wrn.PRINT2.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wrn.QUARTERLY." localSheetId="0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wrn.QUARTERLY.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wrn.TOTAL." localSheetId="0" hidden="1">{#N/A,#N/A,FALSE,"Cover";#N/A,#N/A,FALSE,"Cover (2)";#N/A,#N/A,FALSE,"P&amp;LSUM";#N/A,#N/A,FALSE,"P&amp;L BY SEG.";#N/A,#N/A,FALSE,"ProdLine95LE";#N/A,#N/A,FALSE,"ACT_GROSSMARGIN";#N/A,#N/A,FALSE,"SG&amp;A $";#N/A,#N/A,FALSE,"OID";#N/A,#N/A,FALSE,"ROADMAP (2)";#N/A,#N/A,FALSE,"WCPERFORM";#N/A,#N/A,FALSE,"WCPERFORM (3)";#N/A,#N/A,FALSE,"CORPCASHFLOW";#N/A,#N/A,FALSE,"CASHFLOWFWC";#N/A,#N/A,FALSE,"CAPITAL EXPENDITURES";#N/A,#N/A,FALSE,"96RISKS&amp;OPP";#N/A,#N/A,FALSE,"KeyActions";#N/A,#N/A,FALSE,"Cover (3)";#N/A,#N/A,FALSE,"GROWTH";#N/A,#N/A,FALSE,"HVACMARASSUM";#N/A,#N/A,FALSE,"MARKETANA95";#N/A,#N/A,FALSE,"MARKETANA96F";#N/A,#N/A,FALSE,"MARKETANA97P";#N/A,#N/A,FALSE,"SRVMARKETASSUM";#N/A,#N/A,FALSE,"95COMPETSOM%";#N/A,#N/A,FALSE,"96COMPETSOM% ";#N/A,#N/A,FALSE,"97COMPETSOM%";#N/A,#N/A,FALSE,"SOM%COMPARE";#N/A,#N/A,FALSE,"MARKETEVOL";#N/A,#N/A,FALSE,"COMPMKTACTION";#N/A,#N/A,FALSE,"SECTION 2";#N/A,#N/A,FALSE,"MACROECONOMIC";#N/A,#N/A,FALSE,"ROADMAP";#N/A,#N/A,FALSE,"HVACSALESEXT";#N/A,#N/A,FALSE,"EXTPRICINGASSUM";#N/A,#N/A,FALSE,"HVACSALESINT";#N/A,#N/A,FALSE,"INTPRICINGASSUM";#N/A,#N/A,FALSE,"EXTHVACSTDGROS";#N/A,#N/A,FALSE,"INTHVACSTDGROS";#N/A,#N/A,FALSE,"EXTHVACSTDGROS($)";#N/A,#N/A,FALSE,"INTHVACSTDGROS($)";#N/A,#N/A,FALSE,"MANUFACTURING EXPENSES";#N/A,#N/A,FALSE,"ACTGROSMAGANA(2)";#N/A,#N/A,FALSE,"SG&amp;A $ (2)";#N/A,#N/A,FALSE,"R&amp;DPROJECTS";#N/A,#N/A,FALSE,"OID (2)";#N/A,#N/A,FALSE,"P&amp;LSUM (3)";#N/A,#N/A,FALSE,"P&amp;L BY SEG. (2)";#N/A,#N/A,FALSE,"ProdLine97P ";#N/A,#N/A,FALSE,"HEADCOUNT-YTD";#N/A,#N/A,FALSE,"HEADCOUNT-BOY";#N/A,#N/A,FALSE,"HEADCOUNT-PLAN";#N/A,#N/A,FALSE,"WCPERFORM (2)";#N/A,#N/A,FALSE,"WCPERFORM (4)";#N/A,#N/A,FALSE,"PLANCORPCASHFLOW";#N/A,#N/A,FALSE,"CASHFLOW BY QTR";#N/A,#N/A,FALSE,"CASHFLOWW_C (2)";#N/A,#N/A,FALSE,"CF_W_C BY QTR";#N/A,#N/A,FALSE,"CAPITAL EXPENDITURES (2)";#N/A,#N/A,FALSE,"BALANCE SHEET";#N/A,#N/A,FALSE,"97RISKS&amp;OPP (3)";#N/A,#N/A,FALSE,"KeyActions (2)";#N/A,#N/A,FALSE,"Cover (5)";#N/A,#N/A,FALSE,"RDMAP FCST VOL";#N/A,#N/A,FALSE,"Cover (4)";#N/A,#N/A,FALSE,"RDMAPVOLUME";#N/A,#N/A,FALSE,"RDMAPPRICEMIX";#N/A,#N/A,FALSE,"RDMAPMGNRECON";#N/A,#N/A,FALSE,"RDMAPPRODUC";#N/A,#N/A,FALSE,"RDMAPFXPARITY";#N/A,#N/A,FALSE,"RDMAPINFLM";#N/A,#N/A,FALSE,"RDMAPINFLP";#N/A,#N/A,FALSE,"RDMAPOTHER"}</definedName>
    <definedName name="wrn.TOTAL." hidden="1">{#N/A,#N/A,FALSE,"Cover";#N/A,#N/A,FALSE,"Cover (2)";#N/A,#N/A,FALSE,"P&amp;LSUM";#N/A,#N/A,FALSE,"P&amp;L BY SEG.";#N/A,#N/A,FALSE,"ProdLine95LE";#N/A,#N/A,FALSE,"ACT_GROSSMARGIN";#N/A,#N/A,FALSE,"SG&amp;A $";#N/A,#N/A,FALSE,"OID";#N/A,#N/A,FALSE,"ROADMAP (2)";#N/A,#N/A,FALSE,"WCPERFORM";#N/A,#N/A,FALSE,"WCPERFORM (3)";#N/A,#N/A,FALSE,"CORPCASHFLOW";#N/A,#N/A,FALSE,"CASHFLOWFWC";#N/A,#N/A,FALSE,"CAPITAL EXPENDITURES";#N/A,#N/A,FALSE,"96RISKS&amp;OPP";#N/A,#N/A,FALSE,"KeyActions";#N/A,#N/A,FALSE,"Cover (3)";#N/A,#N/A,FALSE,"GROWTH";#N/A,#N/A,FALSE,"HVACMARASSUM";#N/A,#N/A,FALSE,"MARKETANA95";#N/A,#N/A,FALSE,"MARKETANA96F";#N/A,#N/A,FALSE,"MARKETANA97P";#N/A,#N/A,FALSE,"SRVMARKETASSUM";#N/A,#N/A,FALSE,"95COMPETSOM%";#N/A,#N/A,FALSE,"96COMPETSOM% ";#N/A,#N/A,FALSE,"97COMPETSOM%";#N/A,#N/A,FALSE,"SOM%COMPARE";#N/A,#N/A,FALSE,"MARKETEVOL";#N/A,#N/A,FALSE,"COMPMKTACTION";#N/A,#N/A,FALSE,"SECTION 2";#N/A,#N/A,FALSE,"MACROECONOMIC";#N/A,#N/A,FALSE,"ROADMAP";#N/A,#N/A,FALSE,"HVACSALESEXT";#N/A,#N/A,FALSE,"EXTPRICINGASSUM";#N/A,#N/A,FALSE,"HVACSALESINT";#N/A,#N/A,FALSE,"INTPRICINGASSUM";#N/A,#N/A,FALSE,"EXTHVACSTDGROS";#N/A,#N/A,FALSE,"INTHVACSTDGROS";#N/A,#N/A,FALSE,"EXTHVACSTDGROS($)";#N/A,#N/A,FALSE,"INTHVACSTDGROS($)";#N/A,#N/A,FALSE,"MANUFACTURING EXPENSES";#N/A,#N/A,FALSE,"ACTGROSMAGANA(2)";#N/A,#N/A,FALSE,"SG&amp;A $ (2)";#N/A,#N/A,FALSE,"R&amp;DPROJECTS";#N/A,#N/A,FALSE,"OID (2)";#N/A,#N/A,FALSE,"P&amp;LSUM (3)";#N/A,#N/A,FALSE,"P&amp;L BY SEG. (2)";#N/A,#N/A,FALSE,"ProdLine97P ";#N/A,#N/A,FALSE,"HEADCOUNT-YTD";#N/A,#N/A,FALSE,"HEADCOUNT-BOY";#N/A,#N/A,FALSE,"HEADCOUNT-PLAN";#N/A,#N/A,FALSE,"WCPERFORM (2)";#N/A,#N/A,FALSE,"WCPERFORM (4)";#N/A,#N/A,FALSE,"PLANCORPCASHFLOW";#N/A,#N/A,FALSE,"CASHFLOW BY QTR";#N/A,#N/A,FALSE,"CASHFLOWW_C (2)";#N/A,#N/A,FALSE,"CF_W_C BY QTR";#N/A,#N/A,FALSE,"CAPITAL EXPENDITURES (2)";#N/A,#N/A,FALSE,"BALANCE SHEET";#N/A,#N/A,FALSE,"97RISKS&amp;OPP (3)";#N/A,#N/A,FALSE,"KeyActions (2)";#N/A,#N/A,FALSE,"Cover (5)";#N/A,#N/A,FALSE,"RDMAP FCST VOL";#N/A,#N/A,FALSE,"Cover (4)";#N/A,#N/A,FALSE,"RDMAPVOLUME";#N/A,#N/A,FALSE,"RDMAPPRICEMIX";#N/A,#N/A,FALSE,"RDMAPMGNRECON";#N/A,#N/A,FALSE,"RDMAPPRODUC";#N/A,#N/A,FALSE,"RDMAPFXPARITY";#N/A,#N/A,FALSE,"RDMAPINFLM";#N/A,#N/A,FALSE,"RDMAPINFLP";#N/A,#N/A,FALSE,"RDMAPOTHER"}</definedName>
    <definedName name="wrn.WCTRNDS." localSheetId="0" hidden="1">{#N/A,#N/A,FALSE,"WC OMM III";#N/A,#N/A,FALSE,"WC 1995 PLAN";#N/A,#N/A,FALSE,"WC 1995 ADJUSTED"}</definedName>
    <definedName name="wrn.WCTRNDS." hidden="1">{#N/A,#N/A,FALSE,"WC OMM III";#N/A,#N/A,FALSE,"WC 1995 PLAN";#N/A,#N/A,FALSE,"WC 1995 ADJUSTED"}</definedName>
    <definedName name="wrn.WEEKLY." localSheetId="0" hidden="1">{#N/A,#N/A,FALSE,"SUMMARY REPORT"}</definedName>
    <definedName name="wrn.WEEKLY." hidden="1">{#N/A,#N/A,FALSE,"SUMMARY REPORT"}</definedName>
    <definedName name="wrn.설변현황." localSheetId="0" hidden="1">{#N/A,#N/A,FALSE,"KMC최종회의(7월) 자료"}</definedName>
    <definedName name="wrn.설변현황." hidden="1">{#N/A,#N/A,FALSE,"KMC최종회의(7월) 자료"}</definedName>
    <definedName name="wrn.신규dep._.full._.set." localSheetId="0" hidden="1">{#N/A,#N/A,FALSE,"신규dep";#N/A,#N/A,FALSE,"신규dep-금형상각후";#N/A,#N/A,FALSE,"신규dep-연구비상각후";#N/A,#N/A,FALSE,"신규dep-기계,공구상각후"}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전부인쇄." localSheetId="0" hidden="1">{#N/A,#N/A,FALSE,"단축1";#N/A,#N/A,FALSE,"단축2";#N/A,#N/A,FALSE,"단축3";#N/A,#N/A,FALSE,"장축";#N/A,#N/A,FALSE,"4WD"}</definedName>
    <definedName name="wrn.전부인쇄." hidden="1">{#N/A,#N/A,FALSE,"단축1";#N/A,#N/A,FALSE,"단축2";#N/A,#N/A,FALSE,"단축3";#N/A,#N/A,FALSE,"장축";#N/A,#N/A,FALSE,"4WD"}</definedName>
    <definedName name="wrn1.brief" localSheetId="0" hidden="1">{#N/A,#N/A,TRUE,"Summary";#N/A,#N/A,TRUE,"Balance Sheet";#N/A,#N/A,TRUE,"P &amp; L";#N/A,#N/A,TRUE,"Fixed Assets";#N/A,#N/A,TRUE,"Cash Flows"}</definedName>
    <definedName name="wrn1.brief" hidden="1">{#N/A,#N/A,TRUE,"Summary";#N/A,#N/A,TRUE,"Balance Sheet";#N/A,#N/A,TRUE,"P &amp; L";#N/A,#N/A,TRUE,"Fixed Assets";#N/A,#N/A,TRUE,"Cash Flows"}</definedName>
    <definedName name="wrn1.elaborate" localSheetId="0" hidden="1">{#N/A,#N/A,FALSE,"Cash Flows";#N/A,#N/A,FALSE,"Fixed Assets";#N/A,#N/A,FALSE,"Balance Sheet";#N/A,#N/A,FALSE,"P &amp; L"}</definedName>
    <definedName name="wrn1.elaborate" hidden="1">{#N/A,#N/A,FALSE,"Cash Flows";#N/A,#N/A,FALSE,"Fixed Assets";#N/A,#N/A,FALSE,"Balance Sheet";#N/A,#N/A,FALSE,"P &amp; L"}</definedName>
    <definedName name="WRNN" localSheetId="0" hidden="1">{#N/A,#N/A,FALSE,"Base";#N/A,#N/A,FALSE,"ADP";#N/A,#N/A,FALSE,"Reach"}</definedName>
    <definedName name="WRNN" hidden="1">{#N/A,#N/A,FALSE,"Base";#N/A,#N/A,FALSE,"ADP";#N/A,#N/A,FALSE,"Reach"}</definedName>
    <definedName name="WWW" localSheetId="0" hidden="1">{#N/A,#N/A,FALSE,"UNIT";#N/A,#N/A,FALSE,"UNIT";#N/A,#N/A,FALSE,"계정"}</definedName>
    <definedName name="WWW" hidden="1">{#N/A,#N/A,FALSE,"UNIT";#N/A,#N/A,FALSE,"UNIT";#N/A,#N/A,FALSE,"계정"}</definedName>
    <definedName name="WWWW" localSheetId="0" hidden="1">{#N/A,#N/A,FALSE,"UNIT";#N/A,#N/A,FALSE,"UNIT";#N/A,#N/A,FALSE,"계정"}</definedName>
    <definedName name="WWWW" hidden="1">{#N/A,#N/A,FALSE,"UNIT";#N/A,#N/A,FALSE,"UNIT";#N/A,#N/A,FALSE,"계정"}</definedName>
    <definedName name="xd" localSheetId="0" hidden="1">{#N/A,#N/A,FALSE,"SUMMARY REPORT"}</definedName>
    <definedName name="xd" hidden="1">{#N/A,#N/A,FALSE,"SUMMARY REPORT"}</definedName>
    <definedName name="xddad" localSheetId="0" hidden="1">{#N/A,#N/A,FALSE,"SUMMARY REPORT"}</definedName>
    <definedName name="xddad" hidden="1">{#N/A,#N/A,FALSE,"SUMMARY REPORT"}</definedName>
    <definedName name="xdr" localSheetId="0" hidden="1">{#N/A,#N/A,FALSE,"SUMMARY REPORT"}</definedName>
    <definedName name="xdr" hidden="1">{#N/A,#N/A,FALSE,"SUMMARY REPORT"}</definedName>
    <definedName name="XDS" localSheetId="0" hidden="1">{#N/A,#N/A,FALSE,"을지 (4)";#N/A,#N/A,FALSE,"을지 (5)";#N/A,#N/A,FALSE,"을지 (6)"}</definedName>
    <definedName name="XDS" hidden="1">{#N/A,#N/A,FALSE,"을지 (4)";#N/A,#N/A,FALSE,"을지 (5)";#N/A,#N/A,FALSE,"을지 (6)"}</definedName>
    <definedName name="xf" localSheetId="0" hidden="1">{#N/A,#N/A,FALSE,"SUMMARY REPORT"}</definedName>
    <definedName name="xf" hidden="1">{#N/A,#N/A,FALSE,"SUMMARY REPORT"}</definedName>
    <definedName name="XLOPTvec">"12 14 3 125 1 0 1 1 1 1 1 2 0 0 0 0 0 0 0 0"</definedName>
    <definedName name="xpqa" localSheetId="0" hidden="1">{#N/A,#N/A,FALSE,"SUMMARY REPORT"}</definedName>
    <definedName name="xpqa" hidden="1">{#N/A,#N/A,FALSE,"SUMMARY REPORT"}</definedName>
    <definedName name="XRefColumnsCount" hidden="1">1</definedName>
    <definedName name="XRefCopyRangeCount" hidden="1">1</definedName>
    <definedName name="XS" localSheetId="0" hidden="1">{#N/A,#N/A,FALSE,"을지 (4)";#N/A,#N/A,FALSE,"을지 (5)";#N/A,#N/A,FALSE,"을지 (6)"}</definedName>
    <definedName name="XS" hidden="1">{#N/A,#N/A,FALSE,"을지 (4)";#N/A,#N/A,FALSE,"을지 (5)";#N/A,#N/A,FALSE,"을지 (6)"}</definedName>
    <definedName name="xxx" localSheetId="0" hidden="1">{#N/A,#N/A,FALSE,"OMM III";#N/A,#N/A,FALSE,"1995 PLAN";#N/A,#N/A,FALSE,"1995 TARGET";#N/A,#N/A,FALSE,"1995 ADJUSTED"}</definedName>
    <definedName name="xxx" hidden="1">{#N/A,#N/A,FALSE,"OMM III";#N/A,#N/A,FALSE,"1995 PLAN";#N/A,#N/A,FALSE,"1995 TARGET";#N/A,#N/A,FALSE,"1995 ADJUSTED"}</definedName>
    <definedName name="xxxx" localSheetId="0" hidden="1">{#N/A,#N/A,FALSE,"Hoja10";#N/A,#N/A,FALSE,"Hoja9";#N/A,#N/A,FALSE,"Hoja8";#N/A,#N/A,FALSE,"Hoja7";#N/A,#N/A,FALSE,"Hoja6";#N/A,#N/A,FALSE,"Hoja5";#N/A,#N/A,FALSE,"Hoja4";#N/A,#N/A,FALSE,"Hoja2";#N/A,#N/A,FALSE,"Hoja3";#N/A,#N/A,FALSE,"HOJA1";#N/A,#N/A,FALSE,"CashFlow";#N/A,#N/A,FALSE,"FinStmts"}</definedName>
    <definedName name="xxxx" hidden="1">{#N/A,#N/A,FALSE,"Hoja10";#N/A,#N/A,FALSE,"Hoja9";#N/A,#N/A,FALSE,"Hoja8";#N/A,#N/A,FALSE,"Hoja7";#N/A,#N/A,FALSE,"Hoja6";#N/A,#N/A,FALSE,"Hoja5";#N/A,#N/A,FALSE,"Hoja4";#N/A,#N/A,FALSE,"Hoja2";#N/A,#N/A,FALSE,"Hoja3";#N/A,#N/A,FALSE,"HOJA1";#N/A,#N/A,FALSE,"CashFlow";#N/A,#N/A,FALSE,"FinStmts"}</definedName>
    <definedName name="XYZ" localSheetId="0" hidden="1">{#N/A,#N/A,FALSE,"SUMMARY REPORT"}</definedName>
    <definedName name="XYZ" hidden="1">{#N/A,#N/A,FALSE,"SUMMARY REPORT"}</definedName>
    <definedName name="ytr" localSheetId="0" hidden="1">{#N/A,#N/A,FALSE,"SUMMARY REPORT"}</definedName>
    <definedName name="ytr" hidden="1">{#N/A,#N/A,FALSE,"SUMMARY REPORT"}</definedName>
    <definedName name="yui" localSheetId="0" hidden="1">{#N/A,#N/A,FALSE,"SUMMARY REPORT"}</definedName>
    <definedName name="yui" hidden="1">{#N/A,#N/A,FALSE,"SUMMARY REPORT"}</definedName>
    <definedName name="YUO" localSheetId="0" hidden="1">{#N/A,#N/A,FALSE,"Hoja10";#N/A,#N/A,FALSE,"Hoja9";#N/A,#N/A,FALSE,"Hoja8";#N/A,#N/A,FALSE,"Hoja7";#N/A,#N/A,FALSE,"Hoja6";#N/A,#N/A,FALSE,"Hoja5";#N/A,#N/A,FALSE,"Hoja4";#N/A,#N/A,FALSE,"Hoja2";#N/A,#N/A,FALSE,"Hoja3";#N/A,#N/A,FALSE,"HOJA1";#N/A,#N/A,FALSE,"CashFlow";#N/A,#N/A,FALSE,"FinStmts"}</definedName>
    <definedName name="YUO" hidden="1">{#N/A,#N/A,FALSE,"Hoja10";#N/A,#N/A,FALSE,"Hoja9";#N/A,#N/A,FALSE,"Hoja8";#N/A,#N/A,FALSE,"Hoja7";#N/A,#N/A,FALSE,"Hoja6";#N/A,#N/A,FALSE,"Hoja5";#N/A,#N/A,FALSE,"Hoja4";#N/A,#N/A,FALSE,"Hoja2";#N/A,#N/A,FALSE,"Hoja3";#N/A,#N/A,FALSE,"HOJA1";#N/A,#N/A,FALSE,"CashFlow";#N/A,#N/A,FALSE,"FinStmts"}</definedName>
    <definedName name="YUUUUU" localSheetId="0" hidden="1">{#N/A,#N/A,FALSE,"sales &amp; mics income";#N/A,#N/A,FALSE,"revenue mix";#N/A,#N/A,FALSE,"EBIT REC";#N/A,#N/A,FALSE,"R&amp;DRLAV2";#N/A,#N/A,FALSE,"Cycle Time";#N/A,#N/A,FALSE,"Mnpwr &amp; Fac";#N/A,#N/A,FALSE,"Prod Facil";#N/A,#N/A,FALSE,"Mfg Prod";#N/A,#N/A,FALSE,"CAPEX";#N/A,#N/A,FALSE,"NOA";#N/A,#N/A,FALSE,"cash flow";#N/A,#N/A,FALSE,"FA 18 EF ACS PACK";#N/A,#N/A,FALSE,"aftermarket";#N/A,#N/A,FALSE,"COMM'L SPARES (2)";#N/A,#N/A,FALSE,"EBIT Recovery Plan";#N/A,#N/A,FALSE,"RECON94 (2)";#N/A,#N/A,FALSE,"sg&amp;a";#N/A,#N/A,FALSE,"EMPLOYEES";#N/A,#N/A,FALSE,"BOEING 777";#N/A,#N/A,FALSE,"o&amp;r";#N/A,#N/A,FALSE,"F-18 ECS";#N/A,#N/A,FALSE,"Lead Time";#N/A,#N/A,FALSE,"mfg cycle time"}</definedName>
    <definedName name="YUUUUU" hidden="1">{#N/A,#N/A,FALSE,"sales &amp; mics income";#N/A,#N/A,FALSE,"revenue mix";#N/A,#N/A,FALSE,"EBIT REC";#N/A,#N/A,FALSE,"R&amp;DRLAV2";#N/A,#N/A,FALSE,"Cycle Time";#N/A,#N/A,FALSE,"Mnpwr &amp; Fac";#N/A,#N/A,FALSE,"Prod Facil";#N/A,#N/A,FALSE,"Mfg Prod";#N/A,#N/A,FALSE,"CAPEX";#N/A,#N/A,FALSE,"NOA";#N/A,#N/A,FALSE,"cash flow";#N/A,#N/A,FALSE,"FA 18 EF ACS PACK";#N/A,#N/A,FALSE,"aftermarket";#N/A,#N/A,FALSE,"COMM'L SPARES (2)";#N/A,#N/A,FALSE,"EBIT Recovery Plan";#N/A,#N/A,FALSE,"RECON94 (2)";#N/A,#N/A,FALSE,"sg&amp;a";#N/A,#N/A,FALSE,"EMPLOYEES";#N/A,#N/A,FALSE,"BOEING 777";#N/A,#N/A,FALSE,"o&amp;r";#N/A,#N/A,FALSE,"F-18 ECS";#N/A,#N/A,FALSE,"Lead Time";#N/A,#N/A,FALSE,"mfg cycle time"}</definedName>
    <definedName name="yyy" localSheetId="0" hidden="1">{#N/A,#N/A,FALSE,"Cover";#N/A,#N/A,FALSE,"Cover (2)";#N/A,#N/A,FALSE,"P&amp;LSUM";#N/A,#N/A,FALSE,"P&amp;L BY SEG.";#N/A,#N/A,FALSE,"ProdLine95LE";#N/A,#N/A,FALSE,"ACT_GROSSMARGIN";#N/A,#N/A,FALSE,"SG&amp;A $";#N/A,#N/A,FALSE,"OID";#N/A,#N/A,FALSE,"ROADMAP (2)";#N/A,#N/A,FALSE,"WCPERFORM";#N/A,#N/A,FALSE,"WCPERFORM (3)";#N/A,#N/A,FALSE,"CORPCASHFLOW";#N/A,#N/A,FALSE,"CASHFLOWFWC";#N/A,#N/A,FALSE,"CAPITAL EXPENDITURES";#N/A,#N/A,FALSE,"96RISKS&amp;OPP";#N/A,#N/A,FALSE,"KeyActions";#N/A,#N/A,FALSE,"Cover (3)";#N/A,#N/A,FALSE,"GROWTH";#N/A,#N/A,FALSE,"HVACMARASSUM";#N/A,#N/A,FALSE,"MARKETANA95";#N/A,#N/A,FALSE,"MARKETANA96F";#N/A,#N/A,FALSE,"MARKETANA97P";#N/A,#N/A,FALSE,"SRVMARKETASSUM";#N/A,#N/A,FALSE,"95COMPETSOM%";#N/A,#N/A,FALSE,"96COMPETSOM% ";#N/A,#N/A,FALSE,"97COMPETSOM%";#N/A,#N/A,FALSE,"SOM%COMPARE";#N/A,#N/A,FALSE,"MARKETEVOL";#N/A,#N/A,FALSE,"COMPMKTACTION";#N/A,#N/A,FALSE,"SECTION 2";#N/A,#N/A,FALSE,"MACROECONOMIC";#N/A,#N/A,FALSE,"ROADMAP";#N/A,#N/A,FALSE,"HVACSALESEXT";#N/A,#N/A,FALSE,"EXTPRICINGASSUM";#N/A,#N/A,FALSE,"HVACSALESINT";#N/A,#N/A,FALSE,"INTPRICINGASSUM";#N/A,#N/A,FALSE,"EXTHVACSTDGROS";#N/A,#N/A,FALSE,"INTHVACSTDGROS";#N/A,#N/A,FALSE,"EXTHVACSTDGROS($)";#N/A,#N/A,FALSE,"INTHVACSTDGROS($)";#N/A,#N/A,FALSE,"MANUFACTURING EXPENSES";#N/A,#N/A,FALSE,"ACTGROSMAGANA(2)";#N/A,#N/A,FALSE,"SG&amp;A $ (2)";#N/A,#N/A,FALSE,"R&amp;DPROJECTS";#N/A,#N/A,FALSE,"OID (2)";#N/A,#N/A,FALSE,"P&amp;LSUM (3)";#N/A,#N/A,FALSE,"P&amp;L BY SEG. (2)";#N/A,#N/A,FALSE,"ProdLine97P ";#N/A,#N/A,FALSE,"HEADCOUNT-YTD";#N/A,#N/A,FALSE,"HEADCOUNT-BOY";#N/A,#N/A,FALSE,"HEADCOUNT-PLAN";#N/A,#N/A,FALSE,"WCPERFORM (2)";#N/A,#N/A,FALSE,"WCPERFORM (4)";#N/A,#N/A,FALSE,"PLANCORPCASHFLOW";#N/A,#N/A,FALSE,"CASHFLOW BY QTR";#N/A,#N/A,FALSE,"CASHFLOWW_C (2)";#N/A,#N/A,FALSE,"CF_W_C BY QTR";#N/A,#N/A,FALSE,"CAPITAL EXPENDITURES (2)";#N/A,#N/A,FALSE,"BALANCE SHEET";#N/A,#N/A,FALSE,"97RISKS&amp;OPP (3)";#N/A,#N/A,FALSE,"KeyActions (2)";#N/A,#N/A,FALSE,"Cover (5)";#N/A,#N/A,FALSE,"RDMAP FCST VOL";#N/A,#N/A,FALSE,"Cover (4)";#N/A,#N/A,FALSE,"RDMAPVOLUME";#N/A,#N/A,FALSE,"RDMAPPRICEMIX";#N/A,#N/A,FALSE,"RDMAPMGNRECON";#N/A,#N/A,FALSE,"RDMAPPRODUC";#N/A,#N/A,FALSE,"RDMAPFXPARITY";#N/A,#N/A,FALSE,"RDMAPINFLM";#N/A,#N/A,FALSE,"RDMAPINFLP";#N/A,#N/A,FALSE,"RDMAPOTHER"}</definedName>
    <definedName name="yyy" hidden="1">{#N/A,#N/A,FALSE,"Cover";#N/A,#N/A,FALSE,"Cover (2)";#N/A,#N/A,FALSE,"P&amp;LSUM";#N/A,#N/A,FALSE,"P&amp;L BY SEG.";#N/A,#N/A,FALSE,"ProdLine95LE";#N/A,#N/A,FALSE,"ACT_GROSSMARGIN";#N/A,#N/A,FALSE,"SG&amp;A $";#N/A,#N/A,FALSE,"OID";#N/A,#N/A,FALSE,"ROADMAP (2)";#N/A,#N/A,FALSE,"WCPERFORM";#N/A,#N/A,FALSE,"WCPERFORM (3)";#N/A,#N/A,FALSE,"CORPCASHFLOW";#N/A,#N/A,FALSE,"CASHFLOWFWC";#N/A,#N/A,FALSE,"CAPITAL EXPENDITURES";#N/A,#N/A,FALSE,"96RISKS&amp;OPP";#N/A,#N/A,FALSE,"KeyActions";#N/A,#N/A,FALSE,"Cover (3)";#N/A,#N/A,FALSE,"GROWTH";#N/A,#N/A,FALSE,"HVACMARASSUM";#N/A,#N/A,FALSE,"MARKETANA95";#N/A,#N/A,FALSE,"MARKETANA96F";#N/A,#N/A,FALSE,"MARKETANA97P";#N/A,#N/A,FALSE,"SRVMARKETASSUM";#N/A,#N/A,FALSE,"95COMPETSOM%";#N/A,#N/A,FALSE,"96COMPETSOM% ";#N/A,#N/A,FALSE,"97COMPETSOM%";#N/A,#N/A,FALSE,"SOM%COMPARE";#N/A,#N/A,FALSE,"MARKETEVOL";#N/A,#N/A,FALSE,"COMPMKTACTION";#N/A,#N/A,FALSE,"SECTION 2";#N/A,#N/A,FALSE,"MACROECONOMIC";#N/A,#N/A,FALSE,"ROADMAP";#N/A,#N/A,FALSE,"HVACSALESEXT";#N/A,#N/A,FALSE,"EXTPRICINGASSUM";#N/A,#N/A,FALSE,"HVACSALESINT";#N/A,#N/A,FALSE,"INTPRICINGASSUM";#N/A,#N/A,FALSE,"EXTHVACSTDGROS";#N/A,#N/A,FALSE,"INTHVACSTDGROS";#N/A,#N/A,FALSE,"EXTHVACSTDGROS($)";#N/A,#N/A,FALSE,"INTHVACSTDGROS($)";#N/A,#N/A,FALSE,"MANUFACTURING EXPENSES";#N/A,#N/A,FALSE,"ACTGROSMAGANA(2)";#N/A,#N/A,FALSE,"SG&amp;A $ (2)";#N/A,#N/A,FALSE,"R&amp;DPROJECTS";#N/A,#N/A,FALSE,"OID (2)";#N/A,#N/A,FALSE,"P&amp;LSUM (3)";#N/A,#N/A,FALSE,"P&amp;L BY SEG. (2)";#N/A,#N/A,FALSE,"ProdLine97P ";#N/A,#N/A,FALSE,"HEADCOUNT-YTD";#N/A,#N/A,FALSE,"HEADCOUNT-BOY";#N/A,#N/A,FALSE,"HEADCOUNT-PLAN";#N/A,#N/A,FALSE,"WCPERFORM (2)";#N/A,#N/A,FALSE,"WCPERFORM (4)";#N/A,#N/A,FALSE,"PLANCORPCASHFLOW";#N/A,#N/A,FALSE,"CASHFLOW BY QTR";#N/A,#N/A,FALSE,"CASHFLOWW_C (2)";#N/A,#N/A,FALSE,"CF_W_C BY QTR";#N/A,#N/A,FALSE,"CAPITAL EXPENDITURES (2)";#N/A,#N/A,FALSE,"BALANCE SHEET";#N/A,#N/A,FALSE,"97RISKS&amp;OPP (3)";#N/A,#N/A,FALSE,"KeyActions (2)";#N/A,#N/A,FALSE,"Cover (5)";#N/A,#N/A,FALSE,"RDMAP FCST VOL";#N/A,#N/A,FALSE,"Cover (4)";#N/A,#N/A,FALSE,"RDMAPVOLUME";#N/A,#N/A,FALSE,"RDMAPPRICEMIX";#N/A,#N/A,FALSE,"RDMAPMGNRECON";#N/A,#N/A,FALSE,"RDMAPPRODUC";#N/A,#N/A,FALSE,"RDMAPFXPARITY";#N/A,#N/A,FALSE,"RDMAPINFLM";#N/A,#N/A,FALSE,"RDMAPINFLP";#N/A,#N/A,FALSE,"RDMAPOTHER"}</definedName>
    <definedName name="z" localSheetId="0" hidden="1">{#N/A,#N/A,FALSE,"SUMMARY REPORT"}</definedName>
    <definedName name="z" hidden="1">{#N/A,#N/A,FALSE,"SUMMARY REPORT"}</definedName>
    <definedName name="Z_0272B722_7267_11D8_901D_00A0246E60D6_.wvu.FilterData" hidden="1">'[12]PEB list 2006'!#REF!</definedName>
    <definedName name="Z_0272B725_7267_11D8_901D_00A0246E60D6_.wvu.FilterData" hidden="1">'[12]PEB list 2006'!#REF!</definedName>
    <definedName name="Z_0334B065_4504_11D8_AB57_006097C90182_.wvu.FilterData" hidden="1">'[12]PEB list 2006'!#REF!</definedName>
    <definedName name="Z_06C5AD60_66BD_11D8_901D_00A0246E60D6_.wvu.FilterData" hidden="1">#REF!</definedName>
    <definedName name="Z_074E0BC5_6121_11D8_901D_00A0246E60D6_.wvu.FilterData" hidden="1">'[12]PEB list 2006'!#REF!</definedName>
    <definedName name="Z_094E5656_595E_4C49_BAAA_A935778E8260_.wvu.FilterData" hidden="1">#REF!</definedName>
    <definedName name="Z_0ADC7E61_879C_11D8_A2E2_0050DA76E772_.wvu.FilterData" hidden="1">'[12]PEB list 2006'!#REF!</definedName>
    <definedName name="Z_0ADC7E68_879C_11D8_A2E2_0050DA76E772_.wvu.FilterData" hidden="1">'[12]PEB list 2006'!#REF!</definedName>
    <definedName name="Z_11A2C60D_F347_423E_B6B1_66CC9B52019C_.wvu.FilterData" hidden="1">#REF!</definedName>
    <definedName name="Z_13279290_30C2_11DA_901F_00A0246E60D6_.wvu.FilterData" hidden="1">#REF!</definedName>
    <definedName name="Z_132792AC_30C2_11DA_901F_00A0246E60D6_.wvu.FilterData" hidden="1">#REF!</definedName>
    <definedName name="Z_186BF581_A34C_11D8_901D_00A0246E60D6_.wvu.FilterData" hidden="1">'[12]PEB list 2006'!#REF!</definedName>
    <definedName name="Z_18919041_9435_11D8_901D_00A0246E60D6_.wvu.FilterData" hidden="1">'[12]PEB list 2006'!#REF!</definedName>
    <definedName name="Z_18919044_9435_11D8_901D_00A0246E60D6_.wvu.FilterData" hidden="1">'[12]PEB list 2006'!#REF!</definedName>
    <definedName name="Z_1971F7EF_E93D_4F92_BE0D_5C31F5674BA1_.wvu.FilterData" hidden="1">'[12]PEB list 2006'!#REF!</definedName>
    <definedName name="Z_1B041AA9_2724_11D9_93FC_0050DA76E772_.wvu.FilterData" hidden="1">#REF!</definedName>
    <definedName name="Z_1D9ED423_DCB1_11D8_901D_00A0246E60D6_.wvu.FilterData" hidden="1">#REF!</definedName>
    <definedName name="Z_208FD602_7B6D_11DA_901F_00A0246E60D6_.wvu.FilterData" hidden="1">#REF!</definedName>
    <definedName name="Z_234809D0_32EA_11D9_901E_00A0246E60D6_.wvu.FilterData" hidden="1">#REF!</definedName>
    <definedName name="Z_29BC86AA_2723_11D9_901E_00A0246E60D6_.wvu.FilterData" hidden="1">#REF!</definedName>
    <definedName name="Z_31FAF208_981E_11D8_A2E3_0050DA76E772_.wvu.FilterData" hidden="1">'[12]PEB list 2006'!#REF!</definedName>
    <definedName name="Z_33A3A7C4_396E_11DA_901F_00A0246E60D6_.wvu.FilterData" hidden="1">#REF!</definedName>
    <definedName name="Z_34B76E6A_AFA9_11D8_8ACA_0050DA76E772_.wvu.FilterData" hidden="1">'[12]PEB list 2006'!#REF!</definedName>
    <definedName name="Z_371FA365_83B1_11D8_901D_00A0246E60D6_.wvu.FilterData" hidden="1">'[12]PEB list 2006'!#REF!</definedName>
    <definedName name="Z_37DE0DA2_E7B0_11D9_901F_00A0246E60D6_.wvu.FilterData" hidden="1">#REF!</definedName>
    <definedName name="Z_38E7B6A2_7723_11D8_901D_00A0246E60D6_.wvu.FilterData" hidden="1">'[12]PEB list 2006'!#REF!</definedName>
    <definedName name="Z_38E7B6A3_7723_11D8_901D_00A0246E60D6_.wvu.FilterData" hidden="1">'[12]PEB list 2006'!#REF!</definedName>
    <definedName name="Z_39499AF0_8C5A_11D8_A2E2_0050DA76E772_.wvu.FilterData" hidden="1">'[12]PEB list 2006'!#REF!</definedName>
    <definedName name="Z_394CE334_67A3_11D8_AB57_006097C90182_.wvu.FilterData" hidden="1">'[12]PEB list 2006'!#REF!</definedName>
    <definedName name="Z_394CE33D_67A3_11D8_AB57_006097C90182_.wvu.FilterData" hidden="1">'[12]PEB list 2006'!#REF!</definedName>
    <definedName name="Z_394CE399_67A3_11D8_AB57_006097C90182_.wvu.FilterData" hidden="1">'[12]PEB list 2006'!#REF!</definedName>
    <definedName name="Z_400E2263_3B0E_11DA_A925_006097C66E4F_.wvu.FilterData" hidden="1">#REF!</definedName>
    <definedName name="Z_416C2CCA_665B_49E0_AD58_A4033CE0732B_.wvu.FilterData" hidden="1">#REF!</definedName>
    <definedName name="Z_41D66481_E51E_11DA_99F6_006097C66E4F_.wvu.FilterData" hidden="1">#REF!</definedName>
    <definedName name="Z_45B033B2_1EAA_11DA_901F_00A0246E60D6_.wvu.FilterData" hidden="1">#REF!</definedName>
    <definedName name="Z_4C0AB4FA_7DDF_11DA_901F_00A0246E60D6_.wvu.FilterData" hidden="1">#REF!</definedName>
    <definedName name="Z_4DD0B182_67A1_48C5_8C58_2FA90F7977E5_.wvu.FilterData" hidden="1">#REF!</definedName>
    <definedName name="Z_4E047BDE_B3FF_11DA_901F_00A0246E60D6_.wvu.FilterData" hidden="1">#REF!</definedName>
    <definedName name="Z_5C9FC061_5716_11D8_AB57_006097C90182_.wvu.FilterData" hidden="1">'[12]PEB list 2006'!#REF!</definedName>
    <definedName name="Z_66888820_0D66_11DA_901F_00A0246E60D6_.wvu.FilterData" hidden="1">#REF!</definedName>
    <definedName name="Z_6C549BB4_193B_11DA_A924_006097C66E4F_.wvu.FilterData" hidden="1">#REF!</definedName>
    <definedName name="Z_6FA3F6E9_5E5F_4A6C_B3AB_F4462E712100_.wvu.FilterData" hidden="1">#REF!</definedName>
    <definedName name="Z_6FD7D8EA_3FB8_11DA_901F_00A0246E60D6_.wvu.FilterData" hidden="1">#REF!</definedName>
    <definedName name="Z_732C4E80_0D71_11DA_A924_006097C66E4F_.wvu.FilterData" hidden="1">#REF!</definedName>
    <definedName name="Z_769915C1_B607_11D8_901D_00A0246E60D6_.wvu.FilterData" hidden="1">'[12]PEB list 2006'!#REF!</definedName>
    <definedName name="Z_769915C3_B607_11D8_901D_00A0246E60D6_.wvu.FilterData" hidden="1">'[12]PEB list 2006'!#REF!</definedName>
    <definedName name="Z_76999B35_79B6_4917_AFAE_8B7250CB480D_.wvu.FilterData" hidden="1">'[12]PEB list 2006'!#REF!</definedName>
    <definedName name="Z_7CFA496F_D3E5_11DA_BF36_006097C66E4F_.wvu.FilterData" hidden="1">#REF!</definedName>
    <definedName name="Z_83DA6A99_2BD8_11D9_901E_00A0246E60D6_.wvu.FilterData" hidden="1">#REF!</definedName>
    <definedName name="Z_88CF0E60_12E6_11DA_901F_00A0246E60D6_.wvu.FilterData" hidden="1">#REF!</definedName>
    <definedName name="Z_88CF0E95_12E6_11DA_901F_00A0246E60D6_.wvu.FilterData" hidden="1">#REF!</definedName>
    <definedName name="Z_88CF0EC8_12E6_11DA_901F_00A0246E60D6_.wvu.FilterData" hidden="1">#REF!</definedName>
    <definedName name="Z_88CF0EEC_12E6_11DA_901F_00A0246E60D6_.wvu.FilterData" hidden="1">#REF!</definedName>
    <definedName name="Z_8B864B8B_DFAD_11D8_901D_00A0246E60D6_.wvu.FilterData" hidden="1">#REF!</definedName>
    <definedName name="Z_8DDB8461_A8CF_11D8_AA58_0050DA76E772_.wvu.FilterData" hidden="1">'[12]PEB list 2006'!#REF!</definedName>
    <definedName name="Z_8DDB846A_A8CF_11D8_AA58_0050DA76E772_.wvu.FilterData" hidden="1">'[12]PEB list 2006'!#REF!</definedName>
    <definedName name="Z_8E06CDE0_1F7B_11DA_A924_006097C66E4F_.wvu.FilterData" hidden="1">#REF!</definedName>
    <definedName name="Z_900C542C_E459_11DA_BF36_006097C66E4F_.wvu.FilterData" hidden="1">#REF!</definedName>
    <definedName name="Z_90A0A61E_F136_4CC3_B580_B6F87148ABD2_.wvu.FilterData" hidden="1">#REF!</definedName>
    <definedName name="Z_996F75BF_9412_48EA_A4C9_E7C36D451CC3_.wvu.FilterData" hidden="1">#REF!</definedName>
    <definedName name="Z_9F12EF42_1866_11DA_901F_00A0246E60D6_.wvu.FilterData" hidden="1">#REF!</definedName>
    <definedName name="Z_9F12EF44_1866_11DA_901F_00A0246E60D6_.wvu.FilterData" hidden="1">#REF!</definedName>
    <definedName name="Z_9F2EC438_7F25_11D9_901F_00A0246E60D6_.wvu.FilterData" hidden="1">#REF!</definedName>
    <definedName name="Z_A06B3078_9765_11D8_A2E3_0050DA76E772_.wvu.FilterData" hidden="1">'[12]PEB list 2006'!#REF!</definedName>
    <definedName name="Z_A0A9BDA8_363B_11DA_901F_00A0246E60D6_.wvu.FilterData" hidden="1">#REF!</definedName>
    <definedName name="Z_A0A9BDAB_363B_11DA_901F_00A0246E60D6_.wvu.FilterData" hidden="1">#REF!</definedName>
    <definedName name="Z_A0A9BDAD_363B_11DA_901F_00A0246E60D6_.wvu.FilterData" hidden="1">#REF!</definedName>
    <definedName name="Z_A49C2343_36C9_477C_9BEC_72981BE9B636_.wvu.FilterData" hidden="1">#REF!</definedName>
    <definedName name="Z_A49C2343_36C9_477C_9BEC_72981BE9B636_.wvu.Rows" hidden="1">'[12]PEB list 2006'!#REF!</definedName>
    <definedName name="Z_A9262182_6CF7_11D8_901D_00A0246E60D6_.wvu.FilterData" hidden="1">'[12]PEB list 2006'!#REF!</definedName>
    <definedName name="Z_A96A83E2_98F1_11D8_901D_00A0246E60D6_.wvu.FilterData" hidden="1">'[12]PEB list 2006'!#REF!</definedName>
    <definedName name="Z_AFC87343_83FA_4CCD_9AEE_9B4772B94C2E_.wvu.FilterData" hidden="1">'[12]PEB list 2006'!#REF!</definedName>
    <definedName name="Z_AFCA2E35_91E9_11D8_A2E2_0050DA76E772_.wvu.FilterData" hidden="1">'[12]PEB list 2006'!#REF!</definedName>
    <definedName name="Z_AFCA2E36_91E9_11D8_A2E2_0050DA76E772_.wvu.FilterData" hidden="1">'[12]PEB list 2006'!#REF!</definedName>
    <definedName name="Z_B0D226B7_8128_4A41_AE41_46C204090F4E_.wvu.FilterData" hidden="1">'[12]PEB list 2006'!#REF!</definedName>
    <definedName name="Z_B2FF1853_F9A5_46F9_BFBC_F7AF74B629CB_.wvu.FilterData" hidden="1">#REF!</definedName>
    <definedName name="Z_B74B4740_1A2F_11DA_901F_00A0246E60D6_.wvu.FilterData" hidden="1">#REF!</definedName>
    <definedName name="Z_B808E7A1_3BBD_11DA_901F_00A0246E60D6_.wvu.FilterData" hidden="1">#REF!</definedName>
    <definedName name="Z_B8A6B26A_8ECA_11D8_901D_00A0246E60D6_.wvu.FilterData" hidden="1">'[12]PEB list 2006'!#REF!</definedName>
    <definedName name="Z_B9BCBDE0_70DC_11D8_901D_00A0246E60D6_.wvu.FilterData" hidden="1">'[12]PEB list 2006'!#REF!</definedName>
    <definedName name="Z_BC531109_F4EA_4BB7_A03F_994F141BA629_.wvu.FilterData" hidden="1">#REF!</definedName>
    <definedName name="Z_BCC17601_9505_11D8_901D_00A0246E60D6_.wvu.FilterData" hidden="1">'[12]PEB list 2006'!#REF!</definedName>
    <definedName name="Z_BDE31FB0_003B_11DA_901F_00A0246E60D6_.wvu.FilterData" hidden="1">#REF!</definedName>
    <definedName name="Z_BE237221_7668_11D8_A2E1_0050DA76E772_.wvu.FilterData" hidden="1">'[12]PEB list 2006'!#REF!</definedName>
    <definedName name="Z_C08CABA0_50A5_11D8_901D_00A0246E60D6_.wvu.Cols" hidden="1">#REF!</definedName>
    <definedName name="Z_C08CABA0_50A5_11D8_901D_00A0246E60D6_.wvu.FilterData" hidden="1">'[12]PEB list 2006'!#REF!</definedName>
    <definedName name="Z_CF25647C_045D_4F34_BD40_BD744481E7AD_.wvu.FilterData" hidden="1">#REF!</definedName>
    <definedName name="Z_D063E2BF_97B6_11DA_901F_00A0246E60D6_.wvu.FilterData" hidden="1">#REF!</definedName>
    <definedName name="Z_D4ACD760_522E_11D8_901D_00A0246E60D6_.wvu.FilterData" hidden="1">'[12]PEB list 2006'!#REF!</definedName>
    <definedName name="Z_D4ACD761_522E_11D8_901D_00A0246E60D6_.wvu.FilterData" hidden="1">'[12]PEB list 2006'!#REF!</definedName>
    <definedName name="Z_D5C26481_73F8_11D8_901D_00A0246E60D6_.wvu.FilterData" hidden="1">'[12]PEB list 2006'!#REF!</definedName>
    <definedName name="Z_DC22F5E1_97E3_11DA_BF35_006097C66E4F_.wvu.FilterData" hidden="1">#REF!</definedName>
    <definedName name="Z_DD2BB68E_6DB4_11D8_AB57_006097C90182_.wvu.FilterData" hidden="1">'[12]PEB list 2006'!#REF!</definedName>
    <definedName name="Z_DD2BB690_6DB4_11D8_AB57_006097C90182_.wvu.FilterData" hidden="1">'[12]PEB list 2006'!#REF!</definedName>
    <definedName name="Z_DD2BB6DC_6DB4_11D8_AB57_006097C90182_.wvu.FilterData" hidden="1">'[12]PEB list 2006'!#REF!</definedName>
    <definedName name="Z_E2330A81_46E2_11DA_901F_00A0246E60D6_.wvu.FilterData" hidden="1">#REF!</definedName>
    <definedName name="Z_E573E4BB_82EC_11D8_901D_00A0246E60D6_.wvu.FilterData" hidden="1">'[12]PEB list 2006'!#REF!</definedName>
    <definedName name="Z_E97AAB83_815A_11D8_901D_00A0246E60D6_.wvu.FilterData" hidden="1">'[12]PEB list 2006'!#REF!</definedName>
    <definedName name="Z_E9BAFD2B_92A3_11D8_A2E2_0050DA76E772_.wvu.FilterData" hidden="1">'[12]PEB list 2006'!#REF!</definedName>
    <definedName name="Z_E9BFF3C1_9DA7_11D8_901D_00A0246E60D6_.wvu.FilterData" hidden="1">'[12]PEB list 2006'!#REF!</definedName>
    <definedName name="Z_E9BFF3C4_9DA7_11D8_901D_00A0246E60D6_.wvu.FilterData" hidden="1">'[12]PEB list 2006'!#REF!</definedName>
    <definedName name="Z_EA8B7356_7338_11D8_AB57_006097C90182_.wvu.FilterData" hidden="1">'[12]PEB list 2006'!#REF!</definedName>
    <definedName name="Z_F30381C2_7108_11D8_AB57_006097C90182_.wvu.FilterData" hidden="1">'[12]PEB list 2006'!#REF!</definedName>
    <definedName name="Z_F30381E3_7108_11D8_AB57_006097C90182_.wvu.FilterData" hidden="1">'[12]PEB list 2006'!#REF!</definedName>
    <definedName name="Z0" localSheetId="0" hidden="1">{#N/A,#N/A,FALSE,"KMC최종회의(7월) 자료"}</definedName>
    <definedName name="Z0" hidden="1">{#N/A,#N/A,FALSE,"KMC최종회의(7월) 자료"}</definedName>
    <definedName name="za" localSheetId="0" hidden="1">{#N/A,#N/A,FALSE,"SUMMARY REPORT"}</definedName>
    <definedName name="za" hidden="1">{#N/A,#N/A,FALSE,"SUMMARY REPORT"}</definedName>
    <definedName name="zae" localSheetId="0" hidden="1">{#N/A,#N/A,FALSE,"SUMMARY REPORT"}</definedName>
    <definedName name="zae" hidden="1">{#N/A,#N/A,FALSE,"SUMMARY REPORT"}</definedName>
    <definedName name="zfdf" localSheetId="0" hidden="1">{#N/A,#N/A,FALSE,"SUMMARY REPORT"}</definedName>
    <definedName name="zfdf" hidden="1">{#N/A,#N/A,FALSE,"SUMMARY REPORT"}</definedName>
    <definedName name="zs" localSheetId="0" hidden="1">{#N/A,#N/A,FALSE,"SUMMARY REPORT"}</definedName>
    <definedName name="zs" hidden="1">{#N/A,#N/A,FALSE,"SUMMARY REPORT"}</definedName>
    <definedName name="zsr" localSheetId="0" hidden="1">{#N/A,#N/A,FALSE,"SUMMARY REPORT"}</definedName>
    <definedName name="zsr" hidden="1">{#N/A,#N/A,FALSE,"SUMMARY REPORT"}</definedName>
    <definedName name="ZX" localSheetId="0" hidden="1">{#N/A,#N/A,FALSE,"초도품";#N/A,#N/A,FALSE,"초도품 (2)";#N/A,#N/A,FALSE,"초도품 (3)";#N/A,#N/A,FALSE,"초도품 (4)";#N/A,#N/A,FALSE,"초도품 (5)";#N/A,#N/A,FALSE,"초도품 (6)"}</definedName>
    <definedName name="ZX" hidden="1">{#N/A,#N/A,FALSE,"초도품";#N/A,#N/A,FALSE,"초도품 (2)";#N/A,#N/A,FALSE,"초도품 (3)";#N/A,#N/A,FALSE,"초도품 (4)";#N/A,#N/A,FALSE,"초도품 (5)";#N/A,#N/A,FALSE,"초도품 (6)"}</definedName>
    <definedName name="zyx" localSheetId="0" hidden="1">{#N/A,#N/A,FALSE,"SUMMARY REPORT"}</definedName>
    <definedName name="zyx" hidden="1">{#N/A,#N/A,FALSE,"SUMMARY REPORT"}</definedName>
    <definedName name="zzz" localSheetId="0" hidden="1">{#N/A,#N/A,FALSE,"RECEIVABLES";#N/A,#N/A,FALSE,"TRADE RECEIVABLES";#N/A,#N/A,FALSE,"COLLECTION DAYS";#N/A,#N/A,FALSE,"PRODUCTION INVENTORY";#N/A,#N/A,FALSE,"PITO";#N/A,#N/A,FALSE,"NOA"}</definedName>
    <definedName name="zzz" hidden="1">{#N/A,#N/A,FALSE,"RECEIVABLES";#N/A,#N/A,FALSE,"TRADE RECEIVABLES";#N/A,#N/A,FALSE,"COLLECTION DAYS";#N/A,#N/A,FALSE,"PRODUCTION INVENTORY";#N/A,#N/A,FALSE,"PITO";#N/A,#N/A,FALSE,"NOA"}</definedName>
    <definedName name="zzzz" localSheetId="0" hidden="1">{#N/A,#N/A,FALSE,"Hoja10";#N/A,#N/A,FALSE,"Hoja9";#N/A,#N/A,FALSE,"Hoja8";#N/A,#N/A,FALSE,"Hoja7";#N/A,#N/A,FALSE,"Hoja6";#N/A,#N/A,FALSE,"Hoja5";#N/A,#N/A,FALSE,"Hoja4";#N/A,#N/A,FALSE,"Hoja2";#N/A,#N/A,FALSE,"Hoja3";#N/A,#N/A,FALSE,"HOJA1";#N/A,#N/A,FALSE,"CashFlow";#N/A,#N/A,FALSE,"FinStmts"}</definedName>
    <definedName name="zzzz" hidden="1">{#N/A,#N/A,FALSE,"Hoja10";#N/A,#N/A,FALSE,"Hoja9";#N/A,#N/A,FALSE,"Hoja8";#N/A,#N/A,FALSE,"Hoja7";#N/A,#N/A,FALSE,"Hoja6";#N/A,#N/A,FALSE,"Hoja5";#N/A,#N/A,FALSE,"Hoja4";#N/A,#N/A,FALSE,"Hoja2";#N/A,#N/A,FALSE,"Hoja3";#N/A,#N/A,FALSE,"HOJA1";#N/A,#N/A,FALSE,"CashFlow";#N/A,#N/A,FALSE,"FinStmts"}</definedName>
    <definedName name="ㄱㄷ" localSheetId="0" hidden="1">{#N/A,#N/A,FALSE,"UNIT";#N/A,#N/A,FALSE,"UNIT";#N/A,#N/A,FALSE,"계정"}</definedName>
    <definedName name="ㄱㄷ" hidden="1">{#N/A,#N/A,FALSE,"UNIT";#N/A,#N/A,FALSE,"UNIT";#N/A,#N/A,FALSE,"계정"}</definedName>
    <definedName name="ㄱ쇼" localSheetId="0" hidden="1">{#N/A,#N/A,FALSE,"KMC최종회의(7월) 자료"}</definedName>
    <definedName name="ㄱ쇼" hidden="1">{#N/A,#N/A,FALSE,"KMC최종회의(7월) 자료"}</definedName>
    <definedName name="ㄱㅇ" localSheetId="0" hidden="1">{#N/A,#N/A,FALSE,"단축1";#N/A,#N/A,FALSE,"단축2";#N/A,#N/A,FALSE,"단축3";#N/A,#N/A,FALSE,"장축";#N/A,#N/A,FALSE,"4WD"}</definedName>
    <definedName name="ㄱㅇ" hidden="1">{#N/A,#N/A,FALSE,"단축1";#N/A,#N/A,FALSE,"단축2";#N/A,#N/A,FALSE,"단축3";#N/A,#N/A,FALSE,"장축";#N/A,#N/A,FALSE,"4WD"}</definedName>
    <definedName name="가가" hidden="1">#REF!</definedName>
    <definedName name="가각가가" hidden="1">#REF!</definedName>
    <definedName name="개나리" localSheetId="0" hidden="1">{#N/A,#N/A,FALSE,"UNIT";#N/A,#N/A,FALSE,"UNIT";#N/A,#N/A,FALSE,"계정"}</definedName>
    <definedName name="개나리" hidden="1">{#N/A,#N/A,FALSE,"UNIT";#N/A,#N/A,FALSE,"UNIT";#N/A,#N/A,FALSE,"계정"}</definedName>
    <definedName name="경비" localSheetId="0" hidden="1">{#N/A,#N/A,FALSE,"KMC최종회의(7월) 자료"}</definedName>
    <definedName name="경비" hidden="1">{#N/A,#N/A,FALSE,"KMC최종회의(7월) 자료"}</definedName>
    <definedName name="고" localSheetId="0" hidden="1">{#N/A,#N/A,FALSE,"KMC최종회의(7월) 자료"}</definedName>
    <definedName name="고" hidden="1">{#N/A,#N/A,FALSE,"KMC최종회의(7월) 자료"}</definedName>
    <definedName name="고1" localSheetId="0" hidden="1">{#N/A,#N/A,FALSE,"KMC최종회의(7월) 자료"}</definedName>
    <definedName name="고1" hidden="1">{#N/A,#N/A,FALSE,"KMC최종회의(7월) 자료"}</definedName>
    <definedName name="공" localSheetId="0" hidden="1">{#N/A,#N/A,FALSE,"KMC최종회의(7월) 자료"}</definedName>
    <definedName name="공" hidden="1">{#N/A,#N/A,FALSE,"KMC최종회의(7월) 자료"}</definedName>
    <definedName name="공우석" localSheetId="0" hidden="1">{#N/A,#N/A,FALSE,"KMC최종회의(7월) 자료"}</definedName>
    <definedName name="공우석" hidden="1">{#N/A,#N/A,FALSE,"KMC최종회의(7월) 자료"}</definedName>
    <definedName name="공우석aa" localSheetId="0" hidden="1">{#N/A,#N/A,FALSE,"KMC최종회의(7월) 자료"}</definedName>
    <definedName name="공우석aa" hidden="1">{#N/A,#N/A,FALSE,"KMC최종회의(7월) 자료"}</definedName>
    <definedName name="공작" localSheetId="0" hidden="1">{#N/A,#N/A,FALSE,"KMC최종회의(7월) 자료"}</definedName>
    <definedName name="공작" hidden="1">{#N/A,#N/A,FALSE,"KMC최종회의(7월) 자료"}</definedName>
    <definedName name="공작1" localSheetId="0" hidden="1">{#N/A,#N/A,FALSE,"KMC최종회의(7월) 자료"}</definedName>
    <definedName name="공작1" hidden="1">{#N/A,#N/A,FALSE,"KMC최종회의(7월) 자료"}</definedName>
    <definedName name="공작부문2" localSheetId="0" hidden="1">{#N/A,#N/A,FALSE,"KMC최종회의(7월) 자료"}</definedName>
    <definedName name="공작부문2" hidden="1">{#N/A,#N/A,FALSE,"KMC최종회의(7월) 자료"}</definedName>
    <definedName name="기타" localSheetId="0" hidden="1">{#N/A,#N/A,FALSE,"BS";#N/A,#N/A,FALSE,"PL";#N/A,#N/A,FALSE,"처분";#N/A,#N/A,FALSE,"현금";#N/A,#N/A,FALSE,"매출";#N/A,#N/A,FALSE,"원가";#N/A,#N/A,FALSE,"경영"}</definedName>
    <definedName name="기타" hidden="1">{#N/A,#N/A,FALSE,"BS";#N/A,#N/A,FALSE,"PL";#N/A,#N/A,FALSE,"처분";#N/A,#N/A,FALSE,"현금";#N/A,#N/A,FALSE,"매출";#N/A,#N/A,FALSE,"원가";#N/A,#N/A,FALSE,"경영"}</definedName>
    <definedName name="김" localSheetId="0" hidden="1">{#N/A,#N/A,FALSE,"A장";#N/A,#N/A,FALSE,"B장"}</definedName>
    <definedName name="김" hidden="1">{#N/A,#N/A,FALSE,"A장";#N/A,#N/A,FALSE,"B장"}</definedName>
    <definedName name="김석기" localSheetId="0" hidden="1">{#N/A,#N/A,FALSE,"UNIT";#N/A,#N/A,FALSE,"UNIT";#N/A,#N/A,FALSE,"계정"}</definedName>
    <definedName name="김석기" hidden="1">{#N/A,#N/A,FALSE,"UNIT";#N/A,#N/A,FALSE,"UNIT";#N/A,#N/A,FALSE,"계정"}</definedName>
    <definedName name="ㄴ" localSheetId="0" hidden="1">{#N/A,#N/A,FALSE,"KMC최종회의(7월) 자료"}</definedName>
    <definedName name="ㄴ" hidden="1">{#N/A,#N/A,FALSE,"KMC최종회의(7월) 자료"}</definedName>
    <definedName name="ㄴ1" localSheetId="0" hidden="1">{#N/A,#N/A,FALSE,"KMC최종회의(7월) 자료"}</definedName>
    <definedName name="ㄴ1" hidden="1">{#N/A,#N/A,FALSE,"KMC최종회의(7월) 자료"}</definedName>
    <definedName name="ㄴㄴㄴㄴ" localSheetId="0" hidden="1">{#N/A,#N/A,FALSE,"UNIT";#N/A,#N/A,FALSE,"UNIT";#N/A,#N/A,FALSE,"계정"}</definedName>
    <definedName name="ㄴㄴㄴㄴ" hidden="1">{#N/A,#N/A,FALSE,"UNIT";#N/A,#N/A,FALSE,"UNIT";#N/A,#N/A,FALSE,"계정"}</definedName>
    <definedName name="ㄴㄹ" localSheetId="0" hidden="1">{#N/A,#N/A,FALSE,"KMC최종회의(7월) 자료"}</definedName>
    <definedName name="ㄴㄹ" hidden="1">{#N/A,#N/A,FALSE,"KMC최종회의(7월) 자료"}</definedName>
    <definedName name="ㄴㄹㄴ" localSheetId="0" hidden="1">{#N/A,#N/A,FALSE,"UNIT";#N/A,#N/A,FALSE,"UNIT";#N/A,#N/A,FALSE,"계정"}</definedName>
    <definedName name="ㄴㄹㄴ" hidden="1">{#N/A,#N/A,FALSE,"UNIT";#N/A,#N/A,FALSE,"UNIT";#N/A,#N/A,FALSE,"계정"}</definedName>
    <definedName name="ㄴㄹㄴㅇ" localSheetId="0" hidden="1">{#N/A,#N/A,FALSE,"UNIT";#N/A,#N/A,FALSE,"UNIT";#N/A,#N/A,FALSE,"계정"}</definedName>
    <definedName name="ㄴㄹㄴㅇ" hidden="1">{#N/A,#N/A,FALSE,"UNIT";#N/A,#N/A,FALSE,"UNIT";#N/A,#N/A,FALSE,"계정"}</definedName>
    <definedName name="ㄴㄹㅇㄴ" localSheetId="0" hidden="1">{#N/A,#N/A,FALSE,"UNIT";#N/A,#N/A,FALSE,"UNIT";#N/A,#N/A,FALSE,"계정"}</definedName>
    <definedName name="ㄴㄹㅇㄴ" hidden="1">{#N/A,#N/A,FALSE,"UNIT";#N/A,#N/A,FALSE,"UNIT";#N/A,#N/A,FALSE,"계정"}</definedName>
    <definedName name="ㄴㄹㅈㄷ" localSheetId="0" hidden="1">{#N/A,#N/A,FALSE,"UNIT";#N/A,#N/A,FALSE,"UNIT";#N/A,#N/A,FALSE,"계정"}</definedName>
    <definedName name="ㄴㄹㅈㄷ" hidden="1">{#N/A,#N/A,FALSE,"UNIT";#N/A,#N/A,FALSE,"UNIT";#N/A,#N/A,FALSE,"계정"}</definedName>
    <definedName name="ㄴㅁㄴㅁㅁ" localSheetId="0" hidden="1">{#N/A,#N/A,FALSE,"UNIT";#N/A,#N/A,FALSE,"UNIT";#N/A,#N/A,FALSE,"계정"}</definedName>
    <definedName name="ㄴㅁㄴㅁㅁ" hidden="1">{#N/A,#N/A,FALSE,"UNIT";#N/A,#N/A,FALSE,"UNIT";#N/A,#N/A,FALSE,"계정"}</definedName>
    <definedName name="ㄴㅇㄹㄴㅇ" localSheetId="0" hidden="1">{#N/A,#N/A,FALSE,"UNIT";#N/A,#N/A,FALSE,"UNIT";#N/A,#N/A,FALSE,"계정"}</definedName>
    <definedName name="ㄴㅇㄹㄴㅇ" hidden="1">{#N/A,#N/A,FALSE,"UNIT";#N/A,#N/A,FALSE,"UNIT";#N/A,#N/A,FALSE,"계정"}</definedName>
    <definedName name="ㄴㅇㄹㄴㅇㄹ" localSheetId="0" hidden="1">{#N/A,#N/A,FALSE,"UNIT";#N/A,#N/A,FALSE,"UNIT";#N/A,#N/A,FALSE,"계정"}</definedName>
    <definedName name="ㄴㅇㄹㄴㅇㄹ" hidden="1">{#N/A,#N/A,FALSE,"UNIT";#N/A,#N/A,FALSE,"UNIT";#N/A,#N/A,FALSE,"계정"}</definedName>
    <definedName name="년간전망" localSheetId="0" hidden="1">{#N/A,#N/A,FALSE,"KMC최종회의(7월) 자료"}</definedName>
    <definedName name="년간전망" hidden="1">{#N/A,#N/A,FALSE,"KMC최종회의(7월) 자료"}</definedName>
    <definedName name="년간종합2" localSheetId="0" hidden="1">{#N/A,#N/A,FALSE,"KMC최종회의(7월) 자료"}</definedName>
    <definedName name="년간종합2" hidden="1">{#N/A,#N/A,FALSE,"KMC최종회의(7월) 자료"}</definedName>
    <definedName name="노" localSheetId="0" hidden="1">{#N/A,#N/A,FALSE,"KMC최종회의(7월) 자료"}</definedName>
    <definedName name="노" hidden="1">{#N/A,#N/A,FALSE,"KMC최종회의(7월) 자료"}</definedName>
    <definedName name="노1" localSheetId="0" hidden="1">{#N/A,#N/A,FALSE,"KMC최종회의(7월) 자료"}</definedName>
    <definedName name="노1" hidden="1">{#N/A,#N/A,FALSE,"KMC최종회의(7월) 자료"}</definedName>
    <definedName name="노무비" localSheetId="0" hidden="1">{#N/A,#N/A,FALSE,"KMC최종회의(7월) 자료"}</definedName>
    <definedName name="노무비" hidden="1">{#N/A,#N/A,FALSE,"KMC최종회의(7월) 자료"}</definedName>
    <definedName name="ㄷㄳ" localSheetId="0" hidden="1">{#N/A,#N/A,FALSE,"UNIT";#N/A,#N/A,FALSE,"UNIT";#N/A,#N/A,FALSE,"계정"}</definedName>
    <definedName name="ㄷㄳ" hidden="1">{#N/A,#N/A,FALSE,"UNIT";#N/A,#N/A,FALSE,"UNIT";#N/A,#N/A,FALSE,"계정"}</definedName>
    <definedName name="ㄷㅂㅈㄷ" hidden="1">#REF!</definedName>
    <definedName name="ㄷ야ㅗㅔㅐㄹㅈ대ㅈㄷㅈㄷㄱ" hidden="1">#REF!</definedName>
    <definedName name="ㄷㅈㄱㅈㄷ" localSheetId="0" hidden="1">{#N/A,#N/A,FALSE,"UNIT";#N/A,#N/A,FALSE,"UNIT";#N/A,#N/A,FALSE,"계정"}</definedName>
    <definedName name="ㄷㅈㄱㅈㄷ" hidden="1">{#N/A,#N/A,FALSE,"UNIT";#N/A,#N/A,FALSE,"UNIT";#N/A,#N/A,FALSE,"계정"}</definedName>
    <definedName name="단기대여금" localSheetId="0" hidden="1">{#N/A,#N/A,FALSE,"BS";#N/A,#N/A,FALSE,"PL";#N/A,#N/A,FALSE,"처분";#N/A,#N/A,FALSE,"현금";#N/A,#N/A,FALSE,"매출";#N/A,#N/A,FALSE,"원가";#N/A,#N/A,FALSE,"경영"}</definedName>
    <definedName name="단기대여금" hidden="1">{#N/A,#N/A,FALSE,"BS";#N/A,#N/A,FALSE,"PL";#N/A,#N/A,FALSE,"처분";#N/A,#N/A,FALSE,"현금";#N/A,#N/A,FALSE,"매출";#N/A,#N/A,FALSE,"원가";#N/A,#N/A,FALSE,"경영"}</definedName>
    <definedName name="당분석" localSheetId="0" hidden="1">{#N/A,#N/A,FALSE,"KMC최종회의(7월) 자료"}</definedName>
    <definedName name="당분석" hidden="1">{#N/A,#N/A,FALSE,"KMC최종회의(7월) 자료"}</definedName>
    <definedName name="도" localSheetId="0" hidden="1">{#N/A,#N/A,FALSE,"KMC최종회의(7월) 자료"}</definedName>
    <definedName name="도" hidden="1">{#N/A,#N/A,FALSE,"KMC최종회의(7월) 자료"}</definedName>
    <definedName name="도어" hidden="1">#REF!</definedName>
    <definedName name="도어1" hidden="1">#REF!</definedName>
    <definedName name="동10" localSheetId="0" hidden="1">{#N/A,#N/A,FALSE,"KMC최종회의(7월) 자료"}</definedName>
    <definedName name="동10" hidden="1">{#N/A,#N/A,FALSE,"KMC최종회의(7월) 자료"}</definedName>
    <definedName name="동3" localSheetId="0" hidden="1">{#N/A,#N/A,FALSE,"KMC최종회의(7월) 자료"}</definedName>
    <definedName name="동3" hidden="1">{#N/A,#N/A,FALSE,"KMC최종회의(7월) 자료"}</definedName>
    <definedName name="동4" localSheetId="0" hidden="1">{#N/A,#N/A,FALSE,"KMC최종회의(7월) 자료"}</definedName>
    <definedName name="동4" hidden="1">{#N/A,#N/A,FALSE,"KMC최종회의(7월) 자료"}</definedName>
    <definedName name="동6" localSheetId="0" hidden="1">{#N/A,#N/A,FALSE,"KMC최종회의(7월) 자료"}</definedName>
    <definedName name="동6" hidden="1">{#N/A,#N/A,FALSE,"KMC최종회의(7월) 자료"}</definedName>
    <definedName name="등속1" localSheetId="0" hidden="1">{#N/A,#N/A,FALSE,"KMC최종회의(7월) 자료"}</definedName>
    <definedName name="등속1" hidden="1">{#N/A,#N/A,FALSE,"KMC최종회의(7월) 자료"}</definedName>
    <definedName name="ㄹ" localSheetId="0" hidden="1">{#N/A,#N/A,FALSE,"A장";#N/A,#N/A,FALSE,"B장"}</definedName>
    <definedName name="ㄹ" hidden="1">{#N/A,#N/A,FALSE,"A장";#N/A,#N/A,FALSE,"B장"}</definedName>
    <definedName name="ㄹㄴㅇㄹㄴ" localSheetId="0" hidden="1">{#N/A,#N/A,FALSE,"UNIT";#N/A,#N/A,FALSE,"UNIT";#N/A,#N/A,FALSE,"계정"}</definedName>
    <definedName name="ㄹㄴㅇㄹㄴ" hidden="1">{#N/A,#N/A,FALSE,"UNIT";#N/A,#N/A,FALSE,"UNIT";#N/A,#N/A,FALSE,"계정"}</definedName>
    <definedName name="ㄹㄹㄹ" localSheetId="0" hidden="1">{#N/A,#N/A,FALSE,"KMC최종회의(7월) 자료"}</definedName>
    <definedName name="ㄹㄹㄹ" hidden="1">{#N/A,#N/A,FALSE,"KMC최종회의(7월) 자료"}</definedName>
    <definedName name="로" localSheetId="0" hidden="1">{#N/A,#N/A,FALSE,"KMC최종회의(7월) 자료"}</definedName>
    <definedName name="로" hidden="1">{#N/A,#N/A,FALSE,"KMC최종회의(7월) 자료"}</definedName>
    <definedName name="로커커버" localSheetId="0" hidden="1">{#N/A,#N/A,FALSE,"단축1";#N/A,#N/A,FALSE,"단축2";#N/A,#N/A,FALSE,"단축3";#N/A,#N/A,FALSE,"장축";#N/A,#N/A,FALSE,"4WD"}</definedName>
    <definedName name="로커커버" hidden="1">{#N/A,#N/A,FALSE,"단축1";#N/A,#N/A,FALSE,"단축2";#N/A,#N/A,FALSE,"단축3";#N/A,#N/A,FALSE,"장축";#N/A,#N/A,FALSE,"4WD"}</definedName>
    <definedName name="루" localSheetId="0" hidden="1">{#N/A,#N/A,FALSE,"KMC최종회의(7월) 자료"}</definedName>
    <definedName name="루" hidden="1">{#N/A,#N/A,FALSE,"KMC최종회의(7월) 자료"}</definedName>
    <definedName name="ㅀ미리밀ㅎ밈림" localSheetId="0" hidden="1">{#N/A,#N/A,FALSE,"을지 (4)";#N/A,#N/A,FALSE,"을지 (5)";#N/A,#N/A,FALSE,"을지 (6)"}</definedName>
    <definedName name="ㅀ미리밀ㅎ밈림" hidden="1">{#N/A,#N/A,FALSE,"을지 (4)";#N/A,#N/A,FALSE,"을지 (5)";#N/A,#N/A,FALSE,"을지 (6)"}</definedName>
    <definedName name="ㅁㄴㄹㅇㄴㄹ" localSheetId="0" hidden="1">{#N/A,#N/A,FALSE,"UNIT";#N/A,#N/A,FALSE,"UNIT";#N/A,#N/A,FALSE,"계정"}</definedName>
    <definedName name="ㅁㄴㄹㅇㄴㄹ" hidden="1">{#N/A,#N/A,FALSE,"UNIT";#N/A,#N/A,FALSE,"UNIT";#N/A,#N/A,FALSE,"계정"}</definedName>
    <definedName name="ㅁㄴㅇ" localSheetId="0" hidden="1">{#N/A,#N/A,FALSE,"UNIT";#N/A,#N/A,FALSE,"UNIT";#N/A,#N/A,FALSE,"계정"}</definedName>
    <definedName name="ㅁㄴㅇ" hidden="1">{#N/A,#N/A,FALSE,"UNIT";#N/A,#N/A,FALSE,"UNIT";#N/A,#N/A,FALSE,"계정"}</definedName>
    <definedName name="ㅁㅁ" localSheetId="0" hidden="1">{#N/A,#N/A,FALSE,"UNIT";#N/A,#N/A,FALSE,"UNIT";#N/A,#N/A,FALSE,"계정"}</definedName>
    <definedName name="ㅁㅁ" hidden="1">{#N/A,#N/A,FALSE,"UNIT";#N/A,#N/A,FALSE,"UNIT";#N/A,#N/A,FALSE,"계정"}</definedName>
    <definedName name="ㅁㅁㅁ" localSheetId="0" hidden="1">{#N/A,#N/A,FALSE,"UNIT";#N/A,#N/A,FALSE,"UNIT";#N/A,#N/A,FALSE,"계정"}</definedName>
    <definedName name="ㅁㅁㅁ" hidden="1">{#N/A,#N/A,FALSE,"UNIT";#N/A,#N/A,FALSE,"UNIT";#N/A,#N/A,FALSE,"계정"}</definedName>
    <definedName name="ㅁㅁㅁㅁ" localSheetId="0" hidden="1">{#N/A,#N/A,FALSE,"UNIT";#N/A,#N/A,FALSE,"UNIT";#N/A,#N/A,FALSE,"계정"}</definedName>
    <definedName name="ㅁㅁㅁㅁ" hidden="1">{#N/A,#N/A,FALSE,"UNIT";#N/A,#N/A,FALSE,"UNIT";#N/A,#N/A,FALSE,"계정"}</definedName>
    <definedName name="ㅁㅁㅁㅁㅁ" localSheetId="0" hidden="1">{#N/A,#N/A,FALSE,"UNIT";#N/A,#N/A,FALSE,"UNIT";#N/A,#N/A,FALSE,"계정"}</definedName>
    <definedName name="ㅁㅁㅁㅁㅁ" hidden="1">{#N/A,#N/A,FALSE,"UNIT";#N/A,#N/A,FALSE,"UNIT";#N/A,#N/A,FALSE,"계정"}</definedName>
    <definedName name="ㅁㅈㄷㄹㅈㄷㄹ" hidden="1">#REF!</definedName>
    <definedName name="미선" localSheetId="0" hidden="1">{#N/A,#N/A,FALSE,"A장";#N/A,#N/A,FALSE,"B장"}</definedName>
    <definedName name="미선" hidden="1">{#N/A,#N/A,FALSE,"A장";#N/A,#N/A,FALSE,"B장"}</definedName>
    <definedName name="민총2" localSheetId="0" hidden="1">{#N/A,#N/A,FALSE,"을지 (4)";#N/A,#N/A,FALSE,"을지 (5)";#N/A,#N/A,FALSE,"을지 (6)"}</definedName>
    <definedName name="민총2" hidden="1">{#N/A,#N/A,FALSE,"을지 (4)";#N/A,#N/A,FALSE,"을지 (5)";#N/A,#N/A,FALSE,"을지 (6)"}</definedName>
    <definedName name="ㅂ" localSheetId="0" hidden="1">{#N/A,#N/A,FALSE,"KMC최종회의(7월) 자료"}</definedName>
    <definedName name="ㅂ" hidden="1">{#N/A,#N/A,FALSE,"KMC최종회의(7월) 자료"}</definedName>
    <definedName name="ㅂㅂ" localSheetId="0" hidden="1">{#N/A,#N/A,FALSE,"UNIT";#N/A,#N/A,FALSE,"UNIT";#N/A,#N/A,FALSE,"계정"}</definedName>
    <definedName name="ㅂㅂ" hidden="1">{#N/A,#N/A,FALSE,"UNIT";#N/A,#N/A,FALSE,"UNIT";#N/A,#N/A,FALSE,"계정"}</definedName>
    <definedName name="ㅂㅈ" localSheetId="0" hidden="1">{#N/A,#N/A,FALSE,"KMC최종회의(7월) 자료"}</definedName>
    <definedName name="ㅂㅈ" hidden="1">{#N/A,#N/A,FALSE,"KMC최종회의(7월) 자료"}</definedName>
    <definedName name="변" localSheetId="0" hidden="1">{#N/A,#N/A,FALSE,"KMC최종회의(7월) 자료"}</definedName>
    <definedName name="변" hidden="1">{#N/A,#N/A,FALSE,"KMC최종회의(7월) 자료"}</definedName>
    <definedName name="보전" localSheetId="0" hidden="1">{#N/A,#N/A,FALSE,"KMC최종회의(7월) 자료"}</definedName>
    <definedName name="보전" hidden="1">{#N/A,#N/A,FALSE,"KMC최종회의(7월) 자료"}</definedName>
    <definedName name="보증료" hidden="1">[31]구매차입!$B$1:$K$23</definedName>
    <definedName name="보험료" hidden="1">[31]구매차입!$B$1:$B$23</definedName>
    <definedName name="보험료2" hidden="1">[31]구매차입!$B$1:$K$23</definedName>
    <definedName name="볼트수정" localSheetId="0" hidden="1">{#N/A,#N/A,FALSE,"단축1";#N/A,#N/A,FALSE,"단축2";#N/A,#N/A,FALSE,"단축3";#N/A,#N/A,FALSE,"장축";#N/A,#N/A,FALSE,"4WD"}</definedName>
    <definedName name="볼트수정" hidden="1">{#N/A,#N/A,FALSE,"단축1";#N/A,#N/A,FALSE,"단축2";#N/A,#N/A,FALSE,"단축3";#N/A,#N/A,FALSE,"장축";#N/A,#N/A,FALSE,"4WD"}</definedName>
    <definedName name="부서종합" localSheetId="0" hidden="1">{#N/A,#N/A,FALSE,"KMC최종회의(7월) 자료"}</definedName>
    <definedName name="부서종합" hidden="1">{#N/A,#N/A,FALSE,"KMC최종회의(7월) 자료"}</definedName>
    <definedName name="ㅅ" localSheetId="0" hidden="1">{#N/A,#N/A,FALSE,"UNIT";#N/A,#N/A,FALSE,"UNIT";#N/A,#N/A,FALSE,"계정"}</definedName>
    <definedName name="ㅅ" hidden="1">{#N/A,#N/A,FALSE,"UNIT";#N/A,#N/A,FALSE,"UNIT";#N/A,#N/A,FALSE,"계정"}</definedName>
    <definedName name="ㅅㅅㅅ" localSheetId="0" hidden="1">{#N/A,#N/A,FALSE,"KMC최종회의(7월) 자료"}</definedName>
    <definedName name="ㅅㅅㅅ" hidden="1">{#N/A,#N/A,FALSE,"KMC최종회의(7월) 자료"}</definedName>
    <definedName name="사업계획" localSheetId="0" hidden="1">{#N/A,#N/A,FALSE,"A장";#N/A,#N/A,FALSE,"B장"}</definedName>
    <definedName name="사업계획" hidden="1">{#N/A,#N/A,FALSE,"A장";#N/A,#N/A,FALSE,"B장"}</definedName>
    <definedName name="생기" localSheetId="0" hidden="1">{#N/A,#N/A,FALSE,"KMC최종회의(7월) 자료"}</definedName>
    <definedName name="생기" hidden="1">{#N/A,#N/A,FALSE,"KMC최종회의(7월) 자료"}</definedName>
    <definedName name="생기수정" localSheetId="0" hidden="1">{#N/A,#N/A,FALSE,"KMC최종회의(7월) 자료"}</definedName>
    <definedName name="생기수정" hidden="1">{#N/A,#N/A,FALSE,"KMC최종회의(7월) 자료"}</definedName>
    <definedName name="생기종합수정MH" localSheetId="0" hidden="1">{#N/A,#N/A,FALSE,"KMC최종회의(7월) 자료"}</definedName>
    <definedName name="생기종합수정MH" hidden="1">{#N/A,#N/A,FALSE,"KMC최종회의(7월) 자료"}</definedName>
    <definedName name="서" localSheetId="0" hidden="1">{#N/A,#N/A,FALSE,"KMC최종회의(7월) 자료"}</definedName>
    <definedName name="서" hidden="1">{#N/A,#N/A,FALSE,"KMC최종회의(7월) 자료"}</definedName>
    <definedName name="선급" hidden="1">[31]구매차입!$B$1:$B$23</definedName>
    <definedName name="선급2" hidden="1">[31]구매차입!$C$1:$C$23</definedName>
    <definedName name="선급금2" localSheetId="0" hidden="1">{#N/A,#N/A,FALSE,"BS";#N/A,#N/A,FALSE,"PL";#N/A,#N/A,FALSE,"처분";#N/A,#N/A,FALSE,"현금";#N/A,#N/A,FALSE,"매출";#N/A,#N/A,FALSE,"원가";#N/A,#N/A,FALSE,"경영"}</definedName>
    <definedName name="선급금2" hidden="1">{#N/A,#N/A,FALSE,"BS";#N/A,#N/A,FALSE,"PL";#N/A,#N/A,FALSE,"처분";#N/A,#N/A,FALSE,"현금";#N/A,#N/A,FALSE,"매출";#N/A,#N/A,FALSE,"원가";#N/A,#N/A,FALSE,"경영"}</definedName>
    <definedName name="설" localSheetId="0" hidden="1">{#N/A,#N/A,FALSE,"KMC최종회의(7월) 자료"}</definedName>
    <definedName name="설" hidden="1">{#N/A,#N/A,FALSE,"KMC최종회의(7월) 자료"}</definedName>
    <definedName name="설변" localSheetId="0" hidden="1">{#N/A,#N/A,FALSE,"KMC최종회의(7월) 자료"}</definedName>
    <definedName name="설변" hidden="1">{#N/A,#N/A,FALSE,"KMC최종회의(7월) 자료"}</definedName>
    <definedName name="셀리카" hidden="1">#REF!</definedName>
    <definedName name="소ㅓ" localSheetId="0" hidden="1">{#N/A,#N/A,FALSE,"KMC최종회의(7월) 자료"}</definedName>
    <definedName name="소ㅓ" hidden="1">{#N/A,#N/A,FALSE,"KMC최종회의(7월) 자료"}</definedName>
    <definedName name="손익3" localSheetId="0" hidden="1">{#N/A,#N/A,FALSE,"UNIT";#N/A,#N/A,FALSE,"UNIT";#N/A,#N/A,FALSE,"계정"}</definedName>
    <definedName name="손익3" hidden="1">{#N/A,#N/A,FALSE,"UNIT";#N/A,#N/A,FALSE,"UNIT";#N/A,#N/A,FALSE,"계정"}</definedName>
    <definedName name="솔" localSheetId="0" hidden="1">{#N/A,#N/A,FALSE,"KMC최종회의(7월) 자료"}</definedName>
    <definedName name="솔" hidden="1">{#N/A,#N/A,FALSE,"KMC최종회의(7월) 자료"}</definedName>
    <definedName name="쇼바2" localSheetId="0" hidden="1">{#N/A,#N/A,FALSE,"단축1";#N/A,#N/A,FALSE,"단축2";#N/A,#N/A,FALSE,"단축3";#N/A,#N/A,FALSE,"장축";#N/A,#N/A,FALSE,"4WD"}</definedName>
    <definedName name="쇼바2" hidden="1">{#N/A,#N/A,FALSE,"단축1";#N/A,#N/A,FALSE,"단축2";#N/A,#N/A,FALSE,"단축3";#N/A,#N/A,FALSE,"장축";#N/A,#N/A,FALSE,"4WD"}</definedName>
    <definedName name="수정15변속기MH" localSheetId="0" hidden="1">{#N/A,#N/A,FALSE,"KMC최종회의(7월) 자료"}</definedName>
    <definedName name="수정15변속기MH" hidden="1">{#N/A,#N/A,FALSE,"KMC최종회의(7월) 자료"}</definedName>
    <definedName name="시" localSheetId="0" hidden="1">{#N/A,#N/A,FALSE,"KMC최종회의(7월) 자료"}</definedName>
    <definedName name="시" hidden="1">{#N/A,#N/A,FALSE,"KMC최종회의(7월) 자료"}</definedName>
    <definedName name="시1" localSheetId="0" hidden="1">{#N/A,#N/A,FALSE,"KMC최종회의(7월) 자료"}</definedName>
    <definedName name="시1" hidden="1">{#N/A,#N/A,FALSE,"KMC최종회의(7월) 자료"}</definedName>
    <definedName name="ㅇㄴㄹㄴㅇ" localSheetId="0" hidden="1">{#N/A,#N/A,FALSE,"UNIT";#N/A,#N/A,FALSE,"UNIT";#N/A,#N/A,FALSE,"계정"}</definedName>
    <definedName name="ㅇㄴㄹㄴㅇ" hidden="1">{#N/A,#N/A,FALSE,"UNIT";#N/A,#N/A,FALSE,"UNIT";#N/A,#N/A,FALSE,"계정"}</definedName>
    <definedName name="ㅇㄴㅁㄴ" localSheetId="0" hidden="1">{#N/A,#N/A,FALSE,"A장";#N/A,#N/A,FALSE,"B장"}</definedName>
    <definedName name="ㅇㄴㅁㄴ" hidden="1">{#N/A,#N/A,FALSE,"A장";#N/A,#N/A,FALSE,"B장"}</definedName>
    <definedName name="ㅇㄹㄴㄷㄱㅈ" hidden="1">#REF!</definedName>
    <definedName name="ㅇㅇㅇㅇ" localSheetId="0" hidden="1">{#N/A,#N/A,FALSE,"KMC최종회의(7월) 자료"}</definedName>
    <definedName name="ㅇㅇㅇㅇ" hidden="1">{#N/A,#N/A,FALSE,"KMC최종회의(7월) 자료"}</definedName>
    <definedName name="연료펌프" hidden="1">[32]CAUDIT!#REF!</definedName>
    <definedName name="오" localSheetId="0" hidden="1">{#N/A,#N/A,FALSE,"단축1";#N/A,#N/A,FALSE,"단축2";#N/A,#N/A,FALSE,"단축3";#N/A,#N/A,FALSE,"장축";#N/A,#N/A,FALSE,"4WD"}</definedName>
    <definedName name="오" hidden="1">{#N/A,#N/A,FALSE,"단축1";#N/A,#N/A,FALSE,"단축2";#N/A,#N/A,FALSE,"단축3";#N/A,#N/A,FALSE,"장축";#N/A,#N/A,FALSE,"4WD"}</definedName>
    <definedName name="운영" localSheetId="0" hidden="1">{#N/A,#N/A,FALSE,"KMC최종회의(7월) 자료"}</definedName>
    <definedName name="운영" hidden="1">{#N/A,#N/A,FALSE,"KMC최종회의(7월) 자료"}</definedName>
    <definedName name="월노무비절1" localSheetId="0" hidden="1">{#N/A,#N/A,FALSE,"KMC최종회의(7월) 자료"}</definedName>
    <definedName name="월노무비절1" hidden="1">{#N/A,#N/A,FALSE,"KMC최종회의(7월) 자료"}</definedName>
    <definedName name="일일" localSheetId="0" hidden="1">{#N/A,#N/A,FALSE,"KMC최종회의(7월) 자료"}</definedName>
    <definedName name="일일" hidden="1">{#N/A,#N/A,FALSE,"KMC최종회의(7월) 자료"}</definedName>
    <definedName name="ㅈㄷ" localSheetId="0" hidden="1">{#N/A,#N/A,FALSE,"KMC최종회의(7월) 자료"}</definedName>
    <definedName name="ㅈㄷ" hidden="1">{#N/A,#N/A,FALSE,"KMC최종회의(7월) 자료"}</definedName>
    <definedName name="ㅈㄷㄱ" localSheetId="0" hidden="1">{#N/A,#N/A,FALSE,"UNIT";#N/A,#N/A,FALSE,"UNIT";#N/A,#N/A,FALSE,"계정"}</definedName>
    <definedName name="ㅈㄷㄱ" hidden="1">{#N/A,#N/A,FALSE,"UNIT";#N/A,#N/A,FALSE,"UNIT";#N/A,#N/A,FALSE,"계정"}</definedName>
    <definedName name="ㅈㄷㄱㅈ" localSheetId="0" hidden="1">{#N/A,#N/A,FALSE,"UNIT";#N/A,#N/A,FALSE,"UNIT";#N/A,#N/A,FALSE,"계정"}</definedName>
    <definedName name="ㅈㄷㄱㅈ" hidden="1">{#N/A,#N/A,FALSE,"UNIT";#N/A,#N/A,FALSE,"UNIT";#N/A,#N/A,FALSE,"계정"}</definedName>
    <definedName name="ㅈㄷㄱㅈㄷ" localSheetId="0" hidden="1">{#N/A,#N/A,FALSE,"UNIT";#N/A,#N/A,FALSE,"UNIT";#N/A,#N/A,FALSE,"계정"}</definedName>
    <definedName name="ㅈㄷㄱㅈㄷ" hidden="1">{#N/A,#N/A,FALSE,"UNIT";#N/A,#N/A,FALSE,"UNIT";#N/A,#N/A,FALSE,"계정"}</definedName>
    <definedName name="ㅈㄷㅇ" localSheetId="0" hidden="1">{#N/A,#N/A,FALSE,"UNIT";#N/A,#N/A,FALSE,"UNIT";#N/A,#N/A,FALSE,"계정"}</definedName>
    <definedName name="ㅈㄷㅇ" hidden="1">{#N/A,#N/A,FALSE,"UNIT";#N/A,#N/A,FALSE,"UNIT";#N/A,#N/A,FALSE,"계정"}</definedName>
    <definedName name="ㅈㄷㅈㄷㄱㄷ" hidden="1">#REF!</definedName>
    <definedName name="ㅈㄹ" localSheetId="0" hidden="1">{#N/A,#N/A,FALSE,"KMC최종회의(7월) 자료"}</definedName>
    <definedName name="ㅈㄹ" hidden="1">{#N/A,#N/A,FALSE,"KMC최종회의(7월) 자료"}</definedName>
    <definedName name="ㅈㅇㅈㅇㅈㅇ" localSheetId="0" hidden="1">{#N/A,#N/A,FALSE,"A장";#N/A,#N/A,FALSE,"B장"}</definedName>
    <definedName name="ㅈㅇㅈㅇㅈㅇ" hidden="1">{#N/A,#N/A,FALSE,"A장";#N/A,#N/A,FALSE,"B장"}</definedName>
    <definedName name="ㅈㅈㄷ" localSheetId="0" hidden="1">{#N/A,#N/A,FALSE,"UNIT";#N/A,#N/A,FALSE,"UNIT";#N/A,#N/A,FALSE,"계정"}</definedName>
    <definedName name="ㅈㅈㄷ" hidden="1">{#N/A,#N/A,FALSE,"UNIT";#N/A,#N/A,FALSE,"UNIT";#N/A,#N/A,FALSE,"계정"}</definedName>
    <definedName name="ㅈㅈㅈ" localSheetId="0" hidden="1">{#N/A,#N/A,FALSE,"KMC최종회의(7월) 자료"}</definedName>
    <definedName name="ㅈㅈㅈ" hidden="1">{#N/A,#N/A,FALSE,"KMC최종회의(7월) 자료"}</definedName>
    <definedName name="자자ㅏㅈ자" hidden="1">#REF!</definedName>
    <definedName name="재" localSheetId="0" hidden="1">{#N/A,#N/A,FALSE,"KMC최종회의(7월) 자료"}</definedName>
    <definedName name="재" hidden="1">{#N/A,#N/A,FALSE,"KMC최종회의(7월) 자료"}</definedName>
    <definedName name="재노경" localSheetId="0" hidden="1">{#N/A,#N/A,FALSE,"KMC최종회의(7월) 자료"}</definedName>
    <definedName name="재노경" hidden="1">{#N/A,#N/A,FALSE,"KMC최종회의(7월) 자료"}</definedName>
    <definedName name="재노경1" localSheetId="0" hidden="1">{#N/A,#N/A,FALSE,"KMC최종회의(7월) 자료"}</definedName>
    <definedName name="재노경1" hidden="1">{#N/A,#N/A,FALSE,"KMC최종회의(7월) 자료"}</definedName>
    <definedName name="재노경종합2" localSheetId="0" hidden="1">{#N/A,#N/A,FALSE,"KMC최종회의(7월) 자료"}</definedName>
    <definedName name="재노경종합2" hidden="1">{#N/A,#N/A,FALSE,"KMC최종회의(7월) 자료"}</definedName>
    <definedName name="재노종" localSheetId="0" hidden="1">{#N/A,#N/A,FALSE,"KMC최종회의(7월) 자료"}</definedName>
    <definedName name="재노종" hidden="1">{#N/A,#N/A,FALSE,"KMC최종회의(7월) 자료"}</definedName>
    <definedName name="쟈" localSheetId="0" hidden="1">{#N/A,#N/A,FALSE,"KMC최종회의(7월) 자료"}</definedName>
    <definedName name="쟈" hidden="1">{#N/A,#N/A,FALSE,"KMC최종회의(7월) 자료"}</definedName>
    <definedName name="저" localSheetId="0" hidden="1">{#N/A,#N/A,FALSE,"KMC최종회의(7월) 자료"}</definedName>
    <definedName name="저" hidden="1">{#N/A,#N/A,FALSE,"KMC최종회의(7월) 자료"}</definedName>
    <definedName name="저1" localSheetId="0" hidden="1">{#N/A,#N/A,FALSE,"KMC최종회의(7월) 자료"}</definedName>
    <definedName name="저1" hidden="1">{#N/A,#N/A,FALSE,"KMC최종회의(7월) 자료"}</definedName>
    <definedName name="전" localSheetId="0" hidden="1">{#N/A,#N/A,FALSE,"KMC최종회의(7월) 자료"}</definedName>
    <definedName name="전" hidden="1">{#N/A,#N/A,FALSE,"KMC최종회의(7월) 자료"}</definedName>
    <definedName name="전2" localSheetId="0" hidden="1">{#N/A,#N/A,FALSE,"KMC최종회의(7월) 자료"}</definedName>
    <definedName name="전2" hidden="1">{#N/A,#N/A,FALSE,"KMC최종회의(7월) 자료"}</definedName>
    <definedName name="전망" localSheetId="0" hidden="1">{#N/A,#N/A,FALSE,"KMC최종회의(7월) 자료"}</definedName>
    <definedName name="전망" hidden="1">{#N/A,#N/A,FALSE,"KMC최종회의(7월) 자료"}</definedName>
    <definedName name="전망환산" localSheetId="0" hidden="1">{#N/A,#N/A,FALSE,"KMC최종회의(7월) 자료"}</definedName>
    <definedName name="전망환산" hidden="1">{#N/A,#N/A,FALSE,"KMC최종회의(7월) 자료"}</definedName>
    <definedName name="전체" localSheetId="0" hidden="1">{#N/A,#N/A,FALSE,"KMC최종회의(7월) 자료"}</definedName>
    <definedName name="전체" hidden="1">{#N/A,#N/A,FALSE,"KMC최종회의(7월) 자료"}</definedName>
    <definedName name="정동종합수정" localSheetId="0" hidden="1">{#N/A,#N/A,FALSE,"KMC최종회의(7월) 자료"}</definedName>
    <definedName name="정동종합수정" hidden="1">{#N/A,#N/A,FALSE,"KMC최종회의(7월) 자료"}</definedName>
    <definedName name="조합보고" localSheetId="0" hidden="1">{#N/A,#N/A,FALSE,"KMC최종회의(7월) 자료"}</definedName>
    <definedName name="조합보고" hidden="1">{#N/A,#N/A,FALSE,"KMC최종회의(7월) 자료"}</definedName>
    <definedName name="종1" localSheetId="0" hidden="1">{#N/A,#N/A,FALSE,"KMC최종회의(7월) 자료"}</definedName>
    <definedName name="종1" hidden="1">{#N/A,#N/A,FALSE,"KMC최종회의(7월) 자료"}</definedName>
    <definedName name="종합" localSheetId="0" hidden="1">{#N/A,#N/A,FALSE,"KMC최종회의(7월) 자료"}</definedName>
    <definedName name="종합" hidden="1">{#N/A,#N/A,FALSE,"KMC최종회의(7월) 자료"}</definedName>
    <definedName name="종합1" localSheetId="0" hidden="1">{#N/A,#N/A,FALSE,"KMC최종회의(7월) 자료"}</definedName>
    <definedName name="종합1" hidden="1">{#N/A,#N/A,FALSE,"KMC최종회의(7월) 자료"}</definedName>
    <definedName name="종합2" localSheetId="0" hidden="1">{#N/A,#N/A,FALSE,"KMC최종회의(7월) 자료"}</definedName>
    <definedName name="종합2" hidden="1">{#N/A,#N/A,FALSE,"KMC최종회의(7월) 자료"}</definedName>
    <definedName name="중간요약" localSheetId="0" hidden="1">{#N/A,#N/A,FALSE,"BS";#N/A,#N/A,FALSE,"PL";#N/A,#N/A,FALSE,"처분";#N/A,#N/A,FALSE,"현금";#N/A,#N/A,FALSE,"매출";#N/A,#N/A,FALSE,"원가";#N/A,#N/A,FALSE,"경영"}</definedName>
    <definedName name="중간요약" hidden="1">{#N/A,#N/A,FALSE,"BS";#N/A,#N/A,FALSE,"PL";#N/A,#N/A,FALSE,"처분";#N/A,#N/A,FALSE,"현금";#N/A,#N/A,FALSE,"매출";#N/A,#N/A,FALSE,"원가";#N/A,#N/A,FALSE,"경영"}</definedName>
    <definedName name="중앙" localSheetId="0" hidden="1">{#N/A,#N/A,FALSE,"단축1";#N/A,#N/A,FALSE,"단축2";#N/A,#N/A,FALSE,"단축3";#N/A,#N/A,FALSE,"장축";#N/A,#N/A,FALSE,"4WD"}</definedName>
    <definedName name="중앙" hidden="1">{#N/A,#N/A,FALSE,"단축1";#N/A,#N/A,FALSE,"단축2";#N/A,#N/A,FALSE,"단축3";#N/A,#N/A,FALSE,"장축";#N/A,#N/A,FALSE,"4WD"}</definedName>
    <definedName name="중진공" localSheetId="0" hidden="1">{#N/A,#N/A,FALSE,"A장";#N/A,#N/A,FALSE,"B장"}</definedName>
    <definedName name="중진공" hidden="1">{#N/A,#N/A,FALSE,"A장";#N/A,#N/A,FALSE,"B장"}</definedName>
    <definedName name="ㅊ" localSheetId="0" hidden="1">{#N/A,#N/A,FALSE,"KMC최종회의(7월) 자료"}</definedName>
    <definedName name="ㅊ" hidden="1">{#N/A,#N/A,FALSE,"KMC최종회의(7월) 자료"}</definedName>
    <definedName name="ㅊㅊㅊ" localSheetId="0" hidden="1">{#N/A,#N/A,FALSE,"KMC최종회의(7월) 자료"}</definedName>
    <definedName name="ㅊㅊㅊ" hidden="1">{#N/A,#N/A,FALSE,"KMC최종회의(7월) 자료"}</definedName>
    <definedName name="차량SVC" localSheetId="0" hidden="1">{#N/A,#N/A,FALSE,"UNIT";#N/A,#N/A,FALSE,"UNIT";#N/A,#N/A,FALSE,"계정"}</definedName>
    <definedName name="차량SVC" hidden="1">{#N/A,#N/A,FALSE,"UNIT";#N/A,#N/A,FALSE,"UNIT";#N/A,#N/A,FALSE,"계정"}</definedName>
    <definedName name="차월분석2" localSheetId="0" hidden="1">{#N/A,#N/A,FALSE,"KMC최종회의(7월) 자료"}</definedName>
    <definedName name="차월분석2" hidden="1">{#N/A,#N/A,FALSE,"KMC최종회의(7월) 자료"}</definedName>
    <definedName name="첨부양식" localSheetId="0" hidden="1">{#N/A,#N/A,FALSE,"KMC최종회의(7월) 자료"}</definedName>
    <definedName name="첨부양식" hidden="1">{#N/A,#N/A,FALSE,"KMC최종회의(7월) 자료"}</definedName>
    <definedName name="ㅋㅋ" localSheetId="0" hidden="1">{#N/A,#N/A,FALSE,"KMC최종회의(7월) 자료"}</definedName>
    <definedName name="ㅋㅋ" hidden="1">{#N/A,#N/A,FALSE,"KMC최종회의(7월) 자료"}</definedName>
    <definedName name="ㅋㅋㅋㅋ" localSheetId="0" hidden="1">{#N/A,#N/A,FALSE,"KMC최종회의(7월) 자료"}</definedName>
    <definedName name="ㅋㅋㅋㅋ" hidden="1">{#N/A,#N/A,FALSE,"KMC최종회의(7월) 자료"}</definedName>
    <definedName name="카니발연료누유" hidden="1">#REF!</definedName>
    <definedName name="키프코" localSheetId="0" hidden="1">{#N/A,#N/A,FALSE,"을지 (4)";#N/A,#N/A,FALSE,"을지 (5)";#N/A,#N/A,FALSE,"을지 (6)"}</definedName>
    <definedName name="키프코" hidden="1">{#N/A,#N/A,FALSE,"을지 (4)";#N/A,#N/A,FALSE,"을지 (5)";#N/A,#N/A,FALSE,"을지 (6)"}</definedName>
    <definedName name="ㅌㄴ" localSheetId="0" hidden="1">{#N/A,#N/A,FALSE,"A장";#N/A,#N/A,FALSE,"B장"}</definedName>
    <definedName name="ㅌㄴ" hidden="1">{#N/A,#N/A,FALSE,"A장";#N/A,#N/A,FALSE,"B장"}</definedName>
    <definedName name="ㅌㅌ" localSheetId="0" hidden="1">{#N/A,#N/A,FALSE,"KMC최종회의(7월) 자료"}</definedName>
    <definedName name="ㅌㅌ" hidden="1">{#N/A,#N/A,FALSE,"KMC최종회의(7월) 자료"}</definedName>
    <definedName name="테스ㅡㅌ" localSheetId="0" hidden="1">{#N/A,#N/A,FALSE,"BS";#N/A,#N/A,FALSE,"PL";#N/A,#N/A,FALSE,"처분";#N/A,#N/A,FALSE,"현금";#N/A,#N/A,FALSE,"매출";#N/A,#N/A,FALSE,"원가";#N/A,#N/A,FALSE,"경영"}</definedName>
    <definedName name="테스ㅡㅌ" hidden="1">{#N/A,#N/A,FALSE,"BS";#N/A,#N/A,FALSE,"PL";#N/A,#N/A,FALSE,"처분";#N/A,#N/A,FALSE,"현금";#N/A,#N/A,FALSE,"매출";#N/A,#N/A,FALSE,"원가";#N/A,#N/A,FALSE,"경영"}</definedName>
    <definedName name="특" localSheetId="0" hidden="1">{#N/A,#N/A,FALSE,"KMC최종회의(7월) 자료"}</definedName>
    <definedName name="특" hidden="1">{#N/A,#N/A,FALSE,"KMC최종회의(7월) 자료"}</definedName>
    <definedName name="ㅍ" localSheetId="0" hidden="1">{#N/A,#N/A,FALSE,"A장";#N/A,#N/A,FALSE,"B장"}</definedName>
    <definedName name="ㅍ" hidden="1">{#N/A,#N/A,FALSE,"A장";#N/A,#N/A,FALSE,"B장"}</definedName>
    <definedName name="표준공수" localSheetId="0" hidden="1">{#N/A,#N/A,FALSE,"KMC최종회의(7월) 자료"}</definedName>
    <definedName name="표준공수" hidden="1">{#N/A,#N/A,FALSE,"KMC최종회의(7월) 자료"}</definedName>
    <definedName name="품보부" localSheetId="0" hidden="1">{#N/A,#N/A,FALSE,"KMC최종회의(7월) 자료"}</definedName>
    <definedName name="품보부" hidden="1">{#N/A,#N/A,FALSE,"KMC최종회의(7월) 자료"}</definedName>
    <definedName name="품질지수" localSheetId="0" hidden="1">{#N/A,#N/A,FALSE,"KMC최종회의(7월) 자료"}</definedName>
    <definedName name="품질지수" hidden="1">{#N/A,#N/A,FALSE,"KMC최종회의(7월) 자료"}</definedName>
    <definedName name="ㅎ" localSheetId="0" hidden="1">{#N/A,#N/A,FALSE,"UNIT";#N/A,#N/A,FALSE,"UNIT";#N/A,#N/A,FALSE,"계정"}</definedName>
    <definedName name="ㅎ" hidden="1">{#N/A,#N/A,FALSE,"UNIT";#N/A,#N/A,FALSE,"UNIT";#N/A,#N/A,FALSE,"계정"}</definedName>
    <definedName name="하반기추정" localSheetId="0" hidden="1">{#N/A,#N/A,FALSE,"KMC최종회의(7월) 자료"}</definedName>
    <definedName name="하반기추정" hidden="1">{#N/A,#N/A,FALSE,"KMC최종회의(7월) 자료"}</definedName>
    <definedName name="한" localSheetId="0" hidden="1">{#N/A,#N/A,FALSE,"KMC최종회의(7월) 자료"}</definedName>
    <definedName name="한" hidden="1">{#N/A,#N/A,FALSE,"KMC최종회의(7월) 자료"}</definedName>
    <definedName name="한진" localSheetId="0" hidden="1">{#N/A,#N/A,FALSE,"KMC최종회의(7월) 자료"}</definedName>
    <definedName name="한진" hidden="1">{#N/A,#N/A,FALSE,"KMC최종회의(7월) 자료"}</definedName>
    <definedName name="한총2" localSheetId="0" hidden="1">{#N/A,#N/A,FALSE,"을지 (4)";#N/A,#N/A,FALSE,"을지 (5)";#N/A,#N/A,FALSE,"을지 (6)"}</definedName>
    <definedName name="한총2" hidden="1">{#N/A,#N/A,FALSE,"을지 (4)";#N/A,#N/A,FALSE,"을지 (5)";#N/A,#N/A,FALSE,"을지 (6)"}</definedName>
    <definedName name="항" localSheetId="0" hidden="1">{#N/A,#N/A,FALSE,"KMC최종회의(7월) 자료"}</definedName>
    <definedName name="항" hidden="1">{#N/A,#N/A,FALSE,"KMC최종회의(7월) 자료"}</definedName>
    <definedName name="형호꺼" hidden="1">0</definedName>
    <definedName name="호" localSheetId="0" hidden="1">{#N/A,#N/A,FALSE,"KMC최종회의(7월) 자료"}</definedName>
    <definedName name="호" hidden="1">{#N/A,#N/A,FALSE,"KMC최종회의(7월) 자료"}</definedName>
    <definedName name="환" localSheetId="0" hidden="1">{#N/A,#N/A,FALSE,"KMC최종회의(7월) 자료"}</definedName>
    <definedName name="환" hidden="1">{#N/A,#N/A,FALSE,"KMC최종회의(7월) 자료"}</definedName>
    <definedName name="환산수량수정" localSheetId="0" hidden="1">{#N/A,#N/A,FALSE,"KMC최종회의(7월) 자료"}</definedName>
    <definedName name="환산수량수정" hidden="1">{#N/A,#N/A,FALSE,"KMC최종회의(7월) 자료"}</definedName>
    <definedName name="회의운영" localSheetId="0" hidden="1">{#N/A,#N/A,FALSE,"KMC최종회의(7월) 자료"}</definedName>
    <definedName name="회의운영" hidden="1">{#N/A,#N/A,FALSE,"KMC최종회의(7월) 자료"}</definedName>
    <definedName name="ㅏㅣㅑ" localSheetId="0" hidden="1">{#N/A,#N/A,FALSE,"UNIT";#N/A,#N/A,FALSE,"UNIT";#N/A,#N/A,FALSE,"계정"}</definedName>
    <definedName name="ㅏㅣㅑ" hidden="1">{#N/A,#N/A,FALSE,"UNIT";#N/A,#N/A,FALSE,"UNIT";#N/A,#N/A,FALSE,"계정"}</definedName>
    <definedName name="ㅕ" localSheetId="0" hidden="1">{#N/A,#N/A,FALSE,"BS";#N/A,#N/A,FALSE,"PL";#N/A,#N/A,FALSE,"처분";#N/A,#N/A,FALSE,"현금";#N/A,#N/A,FALSE,"매출";#N/A,#N/A,FALSE,"원가";#N/A,#N/A,FALSE,"경영"}</definedName>
    <definedName name="ㅕ" hidden="1">{#N/A,#N/A,FALSE,"BS";#N/A,#N/A,FALSE,"PL";#N/A,#N/A,FALSE,"처분";#N/A,#N/A,FALSE,"현금";#N/A,#N/A,FALSE,"매출";#N/A,#N/A,FALSE,"원가";#N/A,#N/A,FALSE,"경영"}</definedName>
    <definedName name="ㅕㅏㅏㅣ" localSheetId="0" hidden="1">{#N/A,#N/A,FALSE,"UNIT";#N/A,#N/A,FALSE,"UNIT";#N/A,#N/A,FALSE,"계정"}</definedName>
    <definedName name="ㅕㅏㅏㅣ" hidden="1">{#N/A,#N/A,FALSE,"UNIT";#N/A,#N/A,FALSE,"UNIT";#N/A,#N/A,FALSE,"계정"}</definedName>
    <definedName name="ㅗㅓㅠㅗ" localSheetId="0" hidden="1">{#N/A,#N/A,FALSE,"KMC최종회의(7월) 자료"}</definedName>
    <definedName name="ㅗㅓㅠㅗ" hidden="1">{#N/A,#N/A,FALSE,"KMC최종회의(7월) 자료"}</definedName>
    <definedName name="ㅛㅗ" localSheetId="0" hidden="1">{#N/A,#N/A,FALSE,"KMC최종회의(7월) 자료"}</definedName>
    <definedName name="ㅛㅗ" hidden="1">{#N/A,#N/A,FALSE,"KMC최종회의(7월) 자료"}</definedName>
    <definedName name="ㅜ" localSheetId="0" hidden="1">{#N/A,#N/A,FALSE,"KMC최종회의(7월) 자료"}</definedName>
    <definedName name="ㅜ" hidden="1">{#N/A,#N/A,FALSE,"KMC최종회의(7월) 자료"}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" i="5" l="1"/>
  <c r="I9" i="5"/>
  <c r="I8" i="5"/>
  <c r="I7" i="5"/>
  <c r="I6" i="5"/>
  <c r="I5" i="5"/>
  <c r="I4" i="5"/>
  <c r="I3" i="5"/>
  <c r="W43" i="2"/>
  <c r="G4" i="5"/>
  <c r="G5" i="5"/>
  <c r="G6" i="5"/>
  <c r="G7" i="5"/>
  <c r="G8" i="5"/>
  <c r="G9" i="5"/>
  <c r="G10" i="5"/>
  <c r="G3" i="5"/>
  <c r="W49" i="2"/>
  <c r="W48" i="2"/>
  <c r="W47" i="2"/>
  <c r="Q49" i="2"/>
  <c r="Q48" i="2"/>
  <c r="Q47" i="2"/>
  <c r="V3" i="2" l="1"/>
  <c r="W3" i="2" s="1"/>
  <c r="W46" i="2"/>
  <c r="Q46" i="2"/>
  <c r="V39" i="2"/>
  <c r="W39" i="2" s="1"/>
  <c r="Q39" i="2"/>
  <c r="V38" i="2"/>
  <c r="W38" i="2" s="1"/>
  <c r="Q38" i="2"/>
  <c r="V37" i="2"/>
  <c r="W37" i="2" s="1"/>
  <c r="Q37" i="2"/>
  <c r="V36" i="2"/>
  <c r="W36" i="2" s="1"/>
  <c r="Q36" i="2"/>
  <c r="V35" i="2"/>
  <c r="W35" i="2" s="1"/>
  <c r="Q35" i="2"/>
  <c r="V34" i="2"/>
  <c r="W34" i="2" s="1"/>
  <c r="Q34" i="2"/>
  <c r="V33" i="2"/>
  <c r="W33" i="2" s="1"/>
  <c r="Q33" i="2"/>
  <c r="V32" i="2"/>
  <c r="W32" i="2" s="1"/>
  <c r="Q32" i="2"/>
  <c r="V31" i="2"/>
  <c r="W31" i="2" s="1"/>
  <c r="Q31" i="2"/>
  <c r="V30" i="2"/>
  <c r="W30" i="2" s="1"/>
  <c r="Q30" i="2"/>
  <c r="V29" i="2"/>
  <c r="W29" i="2" s="1"/>
  <c r="Q29" i="2"/>
  <c r="V28" i="2"/>
  <c r="W28" i="2" s="1"/>
  <c r="Q28" i="2"/>
  <c r="V27" i="2"/>
  <c r="W27" i="2" s="1"/>
  <c r="Q27" i="2"/>
  <c r="V26" i="2"/>
  <c r="W26" i="2" s="1"/>
  <c r="V25" i="2"/>
  <c r="W25" i="2" s="1"/>
  <c r="Q25" i="2"/>
  <c r="V24" i="2"/>
  <c r="W24" i="2" s="1"/>
  <c r="Q24" i="2"/>
  <c r="V23" i="2"/>
  <c r="W23" i="2" s="1"/>
  <c r="Q23" i="2"/>
  <c r="V22" i="2"/>
  <c r="W22" i="2" s="1"/>
  <c r="Q22" i="2"/>
  <c r="V21" i="2"/>
  <c r="W21" i="2" s="1"/>
  <c r="Q21" i="2"/>
  <c r="V20" i="2"/>
  <c r="W20" i="2" s="1"/>
  <c r="Q20" i="2"/>
  <c r="V19" i="2"/>
  <c r="W19" i="2" s="1"/>
  <c r="Q19" i="2"/>
  <c r="V18" i="2"/>
  <c r="W18" i="2" s="1"/>
  <c r="Q18" i="2"/>
  <c r="V17" i="2"/>
  <c r="W17" i="2" s="1"/>
  <c r="Q17" i="2"/>
  <c r="V16" i="2"/>
  <c r="W16" i="2" s="1"/>
  <c r="Q16" i="2"/>
  <c r="V15" i="2"/>
  <c r="W15" i="2" s="1"/>
  <c r="Q15" i="2"/>
  <c r="V14" i="2"/>
  <c r="W14" i="2" s="1"/>
  <c r="Q14" i="2"/>
  <c r="V13" i="2"/>
  <c r="W13" i="2" s="1"/>
  <c r="Q13" i="2"/>
  <c r="V12" i="2"/>
  <c r="W12" i="2" s="1"/>
  <c r="Q12" i="2"/>
  <c r="V11" i="2"/>
  <c r="W11" i="2" s="1"/>
  <c r="Q11" i="2"/>
  <c r="V10" i="2"/>
  <c r="W10" i="2" s="1"/>
  <c r="Q10" i="2"/>
  <c r="V9" i="2"/>
  <c r="W9" i="2" s="1"/>
  <c r="Q9" i="2"/>
  <c r="V8" i="2"/>
  <c r="W8" i="2" s="1"/>
  <c r="Q8" i="2"/>
  <c r="V7" i="2"/>
  <c r="W7" i="2" s="1"/>
  <c r="Q7" i="2"/>
  <c r="V6" i="2"/>
  <c r="W6" i="2" s="1"/>
  <c r="Q6" i="2"/>
  <c r="V5" i="2"/>
  <c r="W5" i="2" s="1"/>
  <c r="Q5" i="2"/>
  <c r="V4" i="2"/>
  <c r="W4" i="2" s="1"/>
  <c r="Q4" i="2"/>
  <c r="Q3" i="2"/>
  <c r="K3" i="5" l="1"/>
  <c r="L3" i="5" s="1"/>
  <c r="K7" i="5"/>
  <c r="L7" i="5" s="1"/>
  <c r="K4" i="5"/>
  <c r="L4" i="5" s="1"/>
  <c r="K8" i="5"/>
  <c r="L8" i="5" s="1"/>
  <c r="K5" i="5"/>
  <c r="L5" i="5" s="1"/>
  <c r="K9" i="5"/>
  <c r="L9" i="5" s="1"/>
  <c r="K6" i="5"/>
  <c r="L6" i="5" s="1"/>
  <c r="K10" i="5"/>
  <c r="L10" i="5" s="1"/>
  <c r="W42" i="2"/>
  <c r="M10" i="5" l="1"/>
  <c r="N10" i="5"/>
  <c r="N6" i="5"/>
  <c r="M6" i="5"/>
  <c r="N9" i="5"/>
  <c r="M9" i="5"/>
  <c r="O9" i="5" s="1"/>
  <c r="M5" i="5"/>
  <c r="N5" i="5"/>
  <c r="N8" i="5"/>
  <c r="M8" i="5"/>
  <c r="N4" i="5"/>
  <c r="M4" i="5"/>
  <c r="M7" i="5"/>
  <c r="N7" i="5"/>
  <c r="M3" i="5"/>
  <c r="N3" i="5"/>
  <c r="W44" i="2"/>
  <c r="W50" i="2" s="1"/>
  <c r="W51" i="2" s="1"/>
  <c r="O4" i="5" l="1"/>
  <c r="O6" i="5"/>
  <c r="O8" i="5"/>
  <c r="O3" i="5"/>
  <c r="O10" i="5"/>
  <c r="O7" i="5"/>
  <c r="O5" i="5"/>
  <c r="O14" i="5" l="1"/>
  <c r="O12" i="5"/>
  <c r="O15" i="5" l="1"/>
</calcChain>
</file>

<file path=xl/sharedStrings.xml><?xml version="1.0" encoding="utf-8"?>
<sst xmlns="http://schemas.openxmlformats.org/spreadsheetml/2006/main" count="647" uniqueCount="337">
  <si>
    <t>NO</t>
  </si>
  <si>
    <t>PART REF.</t>
  </si>
  <si>
    <t>Qty</t>
  </si>
  <si>
    <t>VALUE/SPECIFICATION</t>
  </si>
  <si>
    <t>PACKAGE/PCB FOOTPRINT</t>
  </si>
  <si>
    <t>SUPPLIER CODE</t>
  </si>
  <si>
    <t>SUPPLIER NAME</t>
  </si>
  <si>
    <t>ELECTROLUX P/N</t>
  </si>
  <si>
    <t>COMPONENT CLASS (A/B)</t>
  </si>
  <si>
    <t>SUBSYSTEM
CODE</t>
  </si>
  <si>
    <t>Top/Bottom</t>
  </si>
  <si>
    <t>SMD/TH</t>
  </si>
  <si>
    <t>Category</t>
  </si>
  <si>
    <t>Total Pin Count</t>
  </si>
  <si>
    <t>Unit</t>
  </si>
  <si>
    <t>EAU</t>
  </si>
  <si>
    <t>Total Qty/Annum</t>
  </si>
  <si>
    <t>Manufacturer Name</t>
  </si>
  <si>
    <t>Manufacturer Part Number / Orderable Part Number</t>
  </si>
  <si>
    <t>Volume Unit Price ($)</t>
  </si>
  <si>
    <t>Discount %</t>
  </si>
  <si>
    <t>Unit price ($)</t>
  </si>
  <si>
    <t>Extended Unit Price ($)</t>
  </si>
  <si>
    <t>Remarks</t>
  </si>
  <si>
    <t>Pricing Source</t>
  </si>
  <si>
    <t>HT SCR 600V 20A TO263 AECQ</t>
  </si>
  <si>
    <t>TO-263-3</t>
  </si>
  <si>
    <t xml:space="preserve">
SHENGYI S1600
NANYA FR4-86-PY
DOOSAN DS-7405S
KINGBOARD KB6160C</t>
  </si>
  <si>
    <t>Littelfuse Inc.</t>
  </si>
  <si>
    <t>PB0006696/001</t>
  </si>
  <si>
    <t>A</t>
  </si>
  <si>
    <t/>
  </si>
  <si>
    <t>Top</t>
  </si>
  <si>
    <t>SMD</t>
  </si>
  <si>
    <t>Active</t>
  </si>
  <si>
    <t>NA</t>
  </si>
  <si>
    <t>each</t>
  </si>
  <si>
    <t>SJ6020N1ATP</t>
  </si>
  <si>
    <t>https://www.digikey.com/en/products/detail/littelfuse-inc/SJ6020N1ATP/11505877?curr=usd&amp;utm_campaign=buynow&amp;utm_medium=aggregator&amp;utm_source=octopart</t>
  </si>
  <si>
    <t>Multilayer Ceramic Capacitors MLCC - SMD/SMT KAM15AR72A223KT NEW GLOBAL PN .022UF 100 A 581-KAM15AR72A223KT</t>
  </si>
  <si>
    <t>0603 (1608 metric)</t>
  </si>
  <si>
    <t>X7R tolerance ±20%</t>
  </si>
  <si>
    <t>KYOCERA AVX</t>
  </si>
  <si>
    <t>VC9999860</t>
  </si>
  <si>
    <t>B</t>
  </si>
  <si>
    <t xml:space="preserve"> </t>
  </si>
  <si>
    <t>SignalDrive</t>
  </si>
  <si>
    <t>Passive</t>
  </si>
  <si>
    <t>06031C223K4T2A</t>
  </si>
  <si>
    <t>https://www.mouser.com/ProductDetail/KYOCERA-AVX/06031C223K4T2A?qs=xhbEVWpZdWeoFw5uxdy8jw%3D%3D</t>
  </si>
  <si>
    <t>WSL-1206 .01 1% EA e3</t>
  </si>
  <si>
    <t>COG tolerance ±5%</t>
  </si>
  <si>
    <t>Vishay</t>
  </si>
  <si>
    <t>VC9999719</t>
  </si>
  <si>
    <t>WSL1206R0100FEA</t>
  </si>
  <si>
    <t>https://www.avnet.com/shop/us/products/vishay/wsl1206r0100fea-3074457345625291305?CMP=EMA_Octopart_inventoryfeed_VSE</t>
  </si>
  <si>
    <t>Thick Film Resistors - SMD RLW73P A3 1% R010 600ppm 1k RL</t>
  </si>
  <si>
    <t>X5R tolerance ±20%</t>
  </si>
  <si>
    <t>TE Connectivity / CGS</t>
  </si>
  <si>
    <t>VC9999582</t>
  </si>
  <si>
    <t>Connectors</t>
  </si>
  <si>
    <t>RLW73PA3FR010TDF</t>
  </si>
  <si>
    <t>https://www.mouser.com/ProductDetail/TE-Connectivity-CGS/RLW73PA3FR010TDF?qs=8Wlm6%252BaMh8R9r5N9GC0%2FKw%3D%3D&amp;srsltid=AfmBOopUfUczM-okoX4Mp45P4v04yg4fRXAPquK4-878ODMXdbe2ny1f</t>
  </si>
  <si>
    <t>630V 10 000pF C0G 12 06 5% AEC-Q200</t>
  </si>
  <si>
    <t>1206 (3216 mm)</t>
  </si>
  <si>
    <t>VC9999829</t>
  </si>
  <si>
    <t>LvDisp</t>
  </si>
  <si>
    <t>KAM31GCG2J103JU</t>
  </si>
  <si>
    <t>https://www.mouser.com/ProductDetail/KYOCERA-AVX/KAM31GCG2J103JU?qs=Jm2GQyTW%2Fbgo0D%252B5IFLfEQ%3D%3D</t>
  </si>
  <si>
    <t>IPD60N10 - 75V-100V N-Channel Automotive MOSFET</t>
  </si>
  <si>
    <t>PG-TO252-3</t>
  </si>
  <si>
    <t>2000h D=6.3mm H=8mm Ref. Part number: NICHICON - UCL1V101MCL6GS</t>
  </si>
  <si>
    <t>Infineon</t>
  </si>
  <si>
    <t>VC9999511</t>
  </si>
  <si>
    <t>IPD60N10S4L12ATMA1</t>
  </si>
  <si>
    <t>https://www.rocelec.com/part/01t4w00000PPBJpAAP-IPD60N10S4L12ATMA1</t>
  </si>
  <si>
    <t>Thin Film Resistors - SMD 10Kohms .1% 25ppm</t>
  </si>
  <si>
    <t>VC9999809</t>
  </si>
  <si>
    <t>Decoupling</t>
  </si>
  <si>
    <t>https://www.avnet.com/shop/us/products/vishay/tnpw060310k0been-3074457345624830694?CMP=EMA_Octopart_inventoryfeed_VSE</t>
  </si>
  <si>
    <t>Thick Film Resistors 0.25watt 2.2ohms 5% 200ppm</t>
  </si>
  <si>
    <t>Vishay / Dale</t>
  </si>
  <si>
    <t>VC9999674</t>
  </si>
  <si>
    <t>TOUCH</t>
  </si>
  <si>
    <t>RCS06032R20JNEA</t>
  </si>
  <si>
    <t>https://www.mouser.com/ProductDetail/Panasonic/ERJ-PA2J2R2X?qs=IKkN%2F947nfCnLCMYZgM9JQ%3D%3D</t>
  </si>
  <si>
    <t>50V 1000pF X8 A 581-KAM21BR81H102KM</t>
  </si>
  <si>
    <t>0805 (2012 metric)</t>
  </si>
  <si>
    <t>VC9995438</t>
  </si>
  <si>
    <t>LoadSwitch</t>
  </si>
  <si>
    <t>08055F102K4T4A</t>
  </si>
  <si>
    <t>https://www.mouser.com/ProductDetail/KYOCERA-AVX/08055F102K4T4A?qs=%252BdQmOuGyFcG1iuFvnGB2rg%3D%3D</t>
  </si>
  <si>
    <t>Current Sense Resistors ResMetalStrip 2010 R0 Jumper 1.5W</t>
  </si>
  <si>
    <t>Tol. ±20%, Op. Temp. Range (-20 / +105)°C, 1000hrs, D=6.3mm, H=10.0mm MAX</t>
  </si>
  <si>
    <t>Bourns</t>
  </si>
  <si>
    <t>VC9999470</t>
  </si>
  <si>
    <t>CRF2010-J/-000ELF</t>
  </si>
  <si>
    <t>https://www.mouser.com/ProductDetail/Bourns/CRF2010-J-000ELF?qs=sGAEpiMZZMvdGkrng054tx4c7YuULGmGugn2efdB5y0t2nrqxi1I%252Bg%3D%3D</t>
  </si>
  <si>
    <t>2010 R0 Jumper 1.5W</t>
  </si>
  <si>
    <t>VC1010928</t>
  </si>
  <si>
    <t>TVS Diodes 27V 4A 30kV 12pF SOD323 Diode Array</t>
  </si>
  <si>
    <t>SOD-323-3</t>
  </si>
  <si>
    <t>NP0 tolerance ±5%</t>
  </si>
  <si>
    <t>Littelfuse</t>
  </si>
  <si>
    <t>VC9999698</t>
  </si>
  <si>
    <t>AQ27COM-01FTG</t>
  </si>
  <si>
    <t>https://www.mouser.com/ProductDetail/Littelfuse/AQ27COM-01FTG?qs=sGAEpiMZZMvxHShE6Whpu8jG9FO6%252BvaPW4UQ%2FZiLpXs%3D</t>
  </si>
  <si>
    <t>Thick Film Resistors 1watt 470ohms 1% 100ppm</t>
  </si>
  <si>
    <t>VC9999667</t>
  </si>
  <si>
    <t>Microcontroller</t>
  </si>
  <si>
    <t>CRCW1218470RFKTK</t>
  </si>
  <si>
    <t>https://www.mouser.com/ProductDetail/Vishay-Dale/CRCW1218470RFKTK?qs=sGAEpiMZZMvdGkrng054t27BJPkTiAfYHce9UbzKfLo%3D</t>
  </si>
  <si>
    <t>022UF 100 A 581</t>
  </si>
  <si>
    <t>VC1011809</t>
  </si>
  <si>
    <t>Switching Controllers WIDE RANGE SYNCH BUC K CONTROLLER A 926</t>
  </si>
  <si>
    <t>HTSSOP-20</t>
  </si>
  <si>
    <t>Texas Instruments</t>
  </si>
  <si>
    <t>VC9999818</t>
  </si>
  <si>
    <t>LM5116MHX/NOPB</t>
  </si>
  <si>
    <t>https://www.mouser.com/ProductDetail/Texas-Instruments/LM5116MHX-NOPB?qs=QbsRYf82W3EaCl%2FW15P7yA%3D%3D</t>
  </si>
  <si>
    <t>200V 100pF A 581</t>
  </si>
  <si>
    <t>0805(2012)</t>
  </si>
  <si>
    <t>VC9998432</t>
  </si>
  <si>
    <t>MACS</t>
  </si>
  <si>
    <t>08052U101FAT2A</t>
  </si>
  <si>
    <t>https://www.mouser.com/ProductDetail/KYOCERA-AVX/08052U101FAT2A?qs=ZBeOGGPQgEFQ1bbr%252B%2Fh%2FDQ%3D%3D</t>
  </si>
  <si>
    <t>1m Ohms 1/10 W 0603% 1% AEC-Q200</t>
  </si>
  <si>
    <t>1N4148 150mA 75V</t>
  </si>
  <si>
    <t>YAGEO</t>
  </si>
  <si>
    <t>VC9998547</t>
  </si>
  <si>
    <t>ExternalInputs</t>
  </si>
  <si>
    <t>AR0603FR-071ML</t>
  </si>
  <si>
    <t>https://www.mouser.com/ProductDetail/YAGEO/AR0603FR-071ML?qs=sGAEpiMZZMvdGkrng054t3GzUHVMl1SeG3UrYP8aWJHmY%252B9Ea3hbYQ%3D%3D</t>
  </si>
  <si>
    <t>Resistor de Precisão 750kΩ 1% 1/8W SMD 0805</t>
  </si>
  <si>
    <t>Outros</t>
  </si>
  <si>
    <t>VC9998428</t>
  </si>
  <si>
    <t>https://www.ryndackcomponentes.com.br/resistor-de-precis-o-750k-1-1-8w-smd-0805.html</t>
  </si>
  <si>
    <t>Thin Film Resistors - SMD 1/16W 27Kohm 0.5% 25ppm</t>
  </si>
  <si>
    <t>Schottky 0.5A 40V</t>
  </si>
  <si>
    <t>Susumu</t>
  </si>
  <si>
    <t>VC9998608</t>
  </si>
  <si>
    <t>RR0816P-273-D</t>
  </si>
  <si>
    <t>https://www.mouser.in/ProductDetail/Susumu/RR0816P-273-D?qs=nCAm%252BcMdy9zBVcQEyxI7VA%3D%3D</t>
  </si>
  <si>
    <t>Thick Film, AEC-Q200 CRCW Series, 82 ohm, 200 mW, 1%, 50</t>
  </si>
  <si>
    <t xml:space="preserve">
VISHAY</t>
  </si>
  <si>
    <t>VC9998461</t>
  </si>
  <si>
    <t>CRCW040282R0FKEDHP</t>
  </si>
  <si>
    <t>https://www.newark.com/vishay/crcw040282r0fkedhp/surface-mount-chip-resistor-thick/dp/41R4596</t>
  </si>
  <si>
    <t>Thick Film Resistors 1/4watt 62Kohms 5%</t>
  </si>
  <si>
    <t>VC9998539</t>
  </si>
  <si>
    <t>DAAS</t>
  </si>
  <si>
    <t>CRCW120662K0JNEA</t>
  </si>
  <si>
    <t>https://www.mouser.com/ProductDetail/Vishay-Dale/CRCW120662K0JNEA?qs=sGAEpiMZZMvdGkrng054t27YQJ%252BwbTvXlwYrxsvc9PI%3D</t>
  </si>
  <si>
    <t xml:space="preserve">
Thick Film Resistors 1/4watt 9.1Kohms 5%</t>
  </si>
  <si>
    <t>LTW-C191DS5</t>
  </si>
  <si>
    <t>VC1012556</t>
  </si>
  <si>
    <t>LedMux</t>
  </si>
  <si>
    <t>CRCW12069K10JNEA</t>
  </si>
  <si>
    <t>https://www.mouser.com/ProductDetail/Vishay-Dale/CRCW12069K10JNEA?qs=sGAEpiMZZMvdGkrng054txtDEx%2FRoWGKskbw6g%252Blib4%3D</t>
  </si>
  <si>
    <t>Thick Film Resistors 1206 120Kohms 5% AEC-Q200</t>
  </si>
  <si>
    <t>AM-A10961201</t>
  </si>
  <si>
    <t>Panasonic</t>
  </si>
  <si>
    <t>VC1008215</t>
  </si>
  <si>
    <t>Touch</t>
  </si>
  <si>
    <t>ERJ-8GEYJ124V</t>
  </si>
  <si>
    <t>https://www.mouser.com/ProductDetail/Panasonic/ERJ-8GEYJ124V?qs=sGAEpiMZZMvdGkrng054tx7%2F6%252BNA3LAJwwEXY4KYL6w%3D</t>
  </si>
  <si>
    <t>Thick Film Resistors 1/8watt 51Kohms 5%</t>
  </si>
  <si>
    <t>LTG-1626SM-01</t>
  </si>
  <si>
    <t>VC1006352</t>
  </si>
  <si>
    <t>CRCW080551K0JNEA</t>
  </si>
  <si>
    <t>https://www.mouser.com/ProductDetail/Vishay-Dale/CRCW080551K0JNEA?qs=sGAEpiMZZMvdGkrng054tygjBeyq%2FOAOEUdqBiTRmxk%3D</t>
  </si>
  <si>
    <t>Thick Film Resistors 1206 300ohm 5% High VoltageAEC-Q200</t>
  </si>
  <si>
    <t>LTG-1626SMD-01-T2</t>
  </si>
  <si>
    <t>ROHM Semiconductor</t>
  </si>
  <si>
    <t>KTR18EZPJ301</t>
  </si>
  <si>
    <t>https://www.mouser.com/ProductDetail/ROHM-Semiconductor/KTR18EZPJ301?qs=sGAEpiMZZMvdGkrng054t4QdAY%2FQ0LweIZGcAYPvcrM%3D</t>
  </si>
  <si>
    <t>PKLCS1212E4001-R1</t>
  </si>
  <si>
    <t>VC9999905</t>
  </si>
  <si>
    <t>Buzzer</t>
  </si>
  <si>
    <t>Power Inductors - Leaded 80uH 5A 20% DCR=35.6mOhms</t>
  </si>
  <si>
    <t>Tray</t>
  </si>
  <si>
    <t>Ref component: NXP BC807-25</t>
  </si>
  <si>
    <t>KEMET</t>
  </si>
  <si>
    <t>VC9999947</t>
  </si>
  <si>
    <t>TH</t>
  </si>
  <si>
    <t>SHBC12-1R0A0080V</t>
  </si>
  <si>
    <t>https://us.rs-online.com/product/kemet/shbc12-1r0a0080v/71823287/?utm_source=octopart&amp;utm_medium=part_sourcing&amp;utm_campaign=partsourcing_octopart_IMP_EX_GR</t>
  </si>
  <si>
    <t>CAP ALUM 330UF 20% 100V RADIAL</t>
  </si>
  <si>
    <t>Radial, Can</t>
  </si>
  <si>
    <t>LP2301BLT1G</t>
  </si>
  <si>
    <t>Nichicon</t>
  </si>
  <si>
    <t>VC9997811</t>
  </si>
  <si>
    <t>Bot</t>
  </si>
  <si>
    <t>UPS2A331MHD</t>
  </si>
  <si>
    <t>https://www.digikey.lv/en/products/detail/nichicon/UPS2A331MHD/2600047</t>
  </si>
  <si>
    <t>Aluminum Electrolytic Capacitors - SMD</t>
  </si>
  <si>
    <t>Ref. Pn: ON SEMICONDUCTOR BC817-25LT1G</t>
  </si>
  <si>
    <t>Chemi-Con</t>
  </si>
  <si>
    <t>VC9999954</t>
  </si>
  <si>
    <t>LedDispDrivers</t>
  </si>
  <si>
    <t>EMLA250ARA331MHA0G</t>
  </si>
  <si>
    <t>https://www.mouser.com/ProductDetail/Chemi-Con/EMLA250ARA331MHA0G?qs=wT7LY0lnAe3000icBfgtBg%3D%3D</t>
  </si>
  <si>
    <t xml:space="preserve"> SMD 16V 470uf 20% AEC-Q200</t>
  </si>
  <si>
    <t>Reel</t>
  </si>
  <si>
    <t>VC9997372</t>
  </si>
  <si>
    <t>UCQ1C471MCL1GS</t>
  </si>
  <si>
    <t>https://www.mouser.com/ProductDetail/Nichicon/UCQ1C471MCL1GS?qs=55YtniHzbhBvwO81ezFqGg%3D%3D</t>
  </si>
  <si>
    <t>2.5 Ohm, 8A, NTC Thermistor</t>
  </si>
  <si>
    <t xml:space="preserve">Voltts </t>
  </si>
  <si>
    <t>VC9997159</t>
  </si>
  <si>
    <t>SCK-2R58</t>
  </si>
  <si>
    <t>https://www.ebay.com/itm/355742133181?_trkparms=amclksrc%3DITM%26aid%3D1110006%26algo%3DHOMESPLICE.SIM%26ao%3D1%26asc%3D281955%2C282393%2C282314%26meid%3D85182a6b43434cc780d585ca0487fab7%26pid%3D101875%26rk%3D2%26rkt%3D4%26sd%3D395529645706%26itm%3D355742133181%26pmt%3D1%26noa%3D0%26pg%3D2332490%26algv%3DSimVIDwebV3WithCPCExpansionEmbeddingSearchQuerySemanticBroadMatchSingularityRecall%26brand%3DUnbranded&amp;_trksid=p2332490.c101875.m1851&amp;itmprp=cksum%3A35574213318185182a6b43434cc780d585ca0487fab7%7Cenc%3AAQAKAAABQOqalcCsb07ituDYLOrUrH2eG1DBUcAU1siB%252B881ennut1KqikNJ--C2JmJJYbnGBSq9s1cAaLR3u1P2GFHP6cOkMtiQrPwhnArZTi0NFnCkYNs9wPMPnRY0lLYAH0ZUZAibqDPJ%252BbgBETW62dsqLTkadiuzdSV45OfRGieK40izU5dajW0VR3EM8gPgcxvm0tX%252Buzzj%252BII0%252FH1qW1rG4xFo7nXqNmF1u%252BOOcUyZ53oWnYah0Yc6JWdpV0SjCzi64NQseG4%252FPtKndJqVnU7s08uKv2F4apoQtegG4UN00gVF%252BWYwDlmCZrT9c6e0z0p1tnarvCqhwrgPphW%252B%252FsXXsInJCcCFNOlGeWFSdO%252F4KvS0tirl4U6IqbaIio1hqDfl0%252FmZ0%252FPjVU6EaMonOxgB8pDaSTynhTySy39KYOhxEhEg%7Campid%3APL_CLK%7Cclp%3A2332490&amp;itmmeta=01JP9GR4SVCQGP6ZAD5FC4VQEP</t>
  </si>
  <si>
    <t>VC9997399</t>
  </si>
  <si>
    <t>SMD 1210 1Kohms 1% Tol AEC-Q200</t>
  </si>
  <si>
    <t>1210 (3225)</t>
  </si>
  <si>
    <t>VC9996824</t>
  </si>
  <si>
    <t>ERJ-14NF1001U</t>
  </si>
  <si>
    <t>https://www.mouser.com/ProductDetail/Panasonic/ERJ-14NF1001U?qs=SsWZTgbPiDCVzC74r8dULw%3D%3D</t>
  </si>
  <si>
    <t xml:space="preserve"> ERJ Series, 1 kohm, ± 5%, 100 mW, 0402 [1005 Metric]</t>
  </si>
  <si>
    <t xml:space="preserve"> 0402 [1005 Metric]</t>
  </si>
  <si>
    <t>PANASONIC</t>
  </si>
  <si>
    <t>VC9997254</t>
  </si>
  <si>
    <t>ERJ-2GEJ102X</t>
  </si>
  <si>
    <t>https://canada.newark.com/panasonic/erj-2gej102x/res-thick-film-1k-5-0-1w-0402/dp/65T8247</t>
  </si>
  <si>
    <t>Rectifiers 5 Amp 600 Volts Ultrafast - Low VF</t>
  </si>
  <si>
    <t>Vishay Semiconductors</t>
  </si>
  <si>
    <t>VC9996566</t>
  </si>
  <si>
    <t>VS-5ECU06-M3/9AT</t>
  </si>
  <si>
    <t>https://www.mouser.com/ProductDetail/Vishay-Semiconductors/VS-5ECU06-M3-9AT?qs=sGAEpiMZZMtbRapU8LlZD86AqDIWVFU%2Fqmw%252BGvu4AfI%3D</t>
  </si>
  <si>
    <t>Zener Diodes</t>
  </si>
  <si>
    <t>VC9996341</t>
  </si>
  <si>
    <t>MMSZ5244C-HE3_A-08</t>
  </si>
  <si>
    <t>https://www.mouser.com/ProductDetail/Vishay/MMSZ5244C-HE3_A-08?qs=sGAEpiMZZMtbRapU8LlZD8qu4xuMq4%252BSw7PUO5LvpGF2X%252B6jRMr%2FDQ%3D%3D</t>
  </si>
  <si>
    <t>2L STD PCB, HASL, Silk, 1.6mm thick.</t>
  </si>
  <si>
    <t>Pcs</t>
  </si>
  <si>
    <t>India</t>
  </si>
  <si>
    <t>VC9996755</t>
  </si>
  <si>
    <t>SE-59-009-015-00</t>
  </si>
  <si>
    <t>As per the calculation</t>
  </si>
  <si>
    <t>BoM Cost</t>
  </si>
  <si>
    <t>Mtl. OH</t>
  </si>
  <si>
    <t>PCBA BoM Cost</t>
  </si>
  <si>
    <t>Label</t>
  </si>
  <si>
    <t>Add description</t>
  </si>
  <si>
    <t>AM-A253508-Label</t>
  </si>
  <si>
    <t>Sl.No.</t>
  </si>
  <si>
    <t>Part No.</t>
  </si>
  <si>
    <t>Manufacturer</t>
  </si>
  <si>
    <t>Class</t>
  </si>
  <si>
    <t>Qtys</t>
  </si>
  <si>
    <t>Total
Qty</t>
  </si>
  <si>
    <t>Currency</t>
  </si>
  <si>
    <t>INR</t>
  </si>
  <si>
    <t>Amount(INR)</t>
  </si>
  <si>
    <t>Freight</t>
  </si>
  <si>
    <t>Duty</t>
  </si>
  <si>
    <t>Landed Cost</t>
  </si>
  <si>
    <t>Reference1</t>
  </si>
  <si>
    <t>3 Pin male Connector</t>
  </si>
  <si>
    <t>HOUS</t>
  </si>
  <si>
    <t>USD</t>
  </si>
  <si>
    <t>https://prd.sws.co.jp/components/en/detail.php?number_s=61873231</t>
  </si>
  <si>
    <t>Av Wire Terminal 2.3 mm</t>
  </si>
  <si>
    <t>TRML</t>
  </si>
  <si>
    <t>https://prd.sws.co.jp/components/en/detail.php?number_s=15000105</t>
  </si>
  <si>
    <t>Wire Seal</t>
  </si>
  <si>
    <t>SEAL</t>
  </si>
  <si>
    <t>自動車用部品:Sumitomo Wiring Systems, Ltd</t>
  </si>
  <si>
    <t>TUBING SHRINK BLK OD-</t>
  </si>
  <si>
    <t>TUBE</t>
  </si>
  <si>
    <t>https://www.mouser.com/ProductDetail/Panduit/TV105-.38D20Y?qs=KwArPi4cUoiZh3Qh202YFQ%3D%3D</t>
  </si>
  <si>
    <t>Rubber Cable Grommet</t>
  </si>
  <si>
    <t>GROM</t>
  </si>
  <si>
    <t>https://www.mouser.com/ProductDetail/Essentra/1342664?qs=sGAEpiMZZMsAepjoiJLcxrBr2lVp79XOMDJP%252BK6iKRzPTiq9wiVAhw%3D%3D</t>
  </si>
  <si>
    <t>12 RED</t>
  </si>
  <si>
    <t>CABL</t>
  </si>
  <si>
    <t>https://www.awcwire.com/product/gxl-12</t>
  </si>
  <si>
    <t>12 YELLOW</t>
  </si>
  <si>
    <t>12 BLACK</t>
  </si>
  <si>
    <t>Wire</t>
  </si>
  <si>
    <t>Components</t>
  </si>
  <si>
    <t>Total BoM Costin INR</t>
  </si>
  <si>
    <t>Total BoM Cost in UDS</t>
  </si>
  <si>
    <t>DC-PCBA-1</t>
  </si>
  <si>
    <t>DC-PCBA-2</t>
  </si>
  <si>
    <t>DC-PCBA-3</t>
  </si>
  <si>
    <t>DC-PCBA-4</t>
  </si>
  <si>
    <t>DC-PCBA-5</t>
  </si>
  <si>
    <t>DC-PCBA-6</t>
  </si>
  <si>
    <t>DC-PCBA-7</t>
  </si>
  <si>
    <t>DC-PCBA-8</t>
  </si>
  <si>
    <t>DC-PCBA-9</t>
  </si>
  <si>
    <t>DC-PCBA-10</t>
  </si>
  <si>
    <t>DC-PCBA-11</t>
  </si>
  <si>
    <t>DC-PCBA-12</t>
  </si>
  <si>
    <t>DC-PCBA-13</t>
  </si>
  <si>
    <t>DC-PCBA-14</t>
  </si>
  <si>
    <t>DC-PCBA-15</t>
  </si>
  <si>
    <t>DC-PCBA-16</t>
  </si>
  <si>
    <t>DC-PCBA-17</t>
  </si>
  <si>
    <t>DC-PCBA-18</t>
  </si>
  <si>
    <t>DC-PCBA-19</t>
  </si>
  <si>
    <t>DC-PCBA-20</t>
  </si>
  <si>
    <t>DC-PCBA-21</t>
  </si>
  <si>
    <t>DC-PCBA-22</t>
  </si>
  <si>
    <t>DC-PCBA-23</t>
  </si>
  <si>
    <t>DC-PCBA-24</t>
  </si>
  <si>
    <t>DC-PCBA-25</t>
  </si>
  <si>
    <t>DC-PCBA-26</t>
  </si>
  <si>
    <t>DC-PCBA-27</t>
  </si>
  <si>
    <t>DC-PCBA-28</t>
  </si>
  <si>
    <t>DC-PCBA-29</t>
  </si>
  <si>
    <t>DC-PCBA-30</t>
  </si>
  <si>
    <t>DC-PCBA-31</t>
  </si>
  <si>
    <t>DC-PCBA-32</t>
  </si>
  <si>
    <t>DC-PCBA-33</t>
  </si>
  <si>
    <t>DC-PCBA-34</t>
  </si>
  <si>
    <t>DC-PCBA-35</t>
  </si>
  <si>
    <t>DC-PCBA-36</t>
  </si>
  <si>
    <t>DC-PCBA-37</t>
  </si>
  <si>
    <t>DC-WH-01</t>
  </si>
  <si>
    <t>DC-WH-02</t>
  </si>
  <si>
    <t>DC-WH-03</t>
  </si>
  <si>
    <t>DC-WH-04</t>
  </si>
  <si>
    <t>DC-WH-05</t>
  </si>
  <si>
    <t>DC-WH-06</t>
  </si>
  <si>
    <t>DC-WH-07</t>
  </si>
  <si>
    <t>DC-WH-08</t>
  </si>
  <si>
    <t>Support</t>
  </si>
  <si>
    <t>EDW7200/7300 45/55/60cm</t>
  </si>
  <si>
    <t>Light guide double</t>
  </si>
  <si>
    <t>X 3 pcs each assembly</t>
  </si>
  <si>
    <t>Light guide central</t>
  </si>
  <si>
    <t>Mechanical</t>
  </si>
  <si>
    <t>Cost Per Pcs</t>
  </si>
  <si>
    <t>Wirig Harness BOM Cost</t>
  </si>
  <si>
    <t>PCBA BOM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</si>
</sst>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_);_(* \(#,##0\);_(* &quot;-&quot;_);_(@_)"/>
    <numFmt numFmtId="165" formatCode="0.000"/>
    <numFmt numFmtId="166" formatCode="[$$-409]#,##0.0000"/>
    <numFmt numFmtId="167" formatCode="_ [$₹-4009]\ * #,##0.00_ ;_ [$₹-4009]\ * \-#,##0.00_ ;_ [$₹-4009]\ * &quot;-&quot;??_ ;_ @_ "/>
    <numFmt numFmtId="168" formatCode="_-[$$-409]* #,##0.000_ ;_-[$$-409]* \-#,##0.000\ ;_-[$$-409]* &quot;-&quot;??_ ;_-@_ "/>
    <numFmt numFmtId="174" formatCode="_ [$₹-4009]\ * #,##0.000_ ;_ [$₹-4009]\ * \-#,##0.000_ ;_ [$₹-4009]\ * &quot;-&quot;??_ ;_ @_ "/>
  </numFmts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b/>
      <sz val="12"/>
      <name val="Rockwell"/>
      <family val="1"/>
    </font>
    <font>
      <sz val="12"/>
      <name val="Rockwell"/>
      <family val="1"/>
    </font>
    <font>
      <sz val="12"/>
      <color theme="1"/>
      <name val="Rockwell"/>
      <family val="1"/>
    </font>
    <font>
      <b/>
      <sz val="22"/>
      <name val="Rockwell"/>
      <family val="1"/>
    </font>
    <font>
      <sz val="22"/>
      <name val="Rockwell"/>
      <family val="1"/>
    </font>
    <font>
      <b/>
      <i/>
      <sz val="10"/>
      <color indexed="12"/>
      <name val="Rockwell"/>
      <family val="1"/>
    </font>
    <font>
      <b/>
      <sz val="10"/>
      <color indexed="12"/>
      <name val="Rockwell"/>
      <family val="1"/>
    </font>
    <font>
      <b/>
      <sz val="10"/>
      <color theme="1"/>
      <name val="Rockwell"/>
      <family val="1"/>
    </font>
    <font>
      <sz val="10"/>
      <name val="Rockwell"/>
      <family val="1"/>
    </font>
    <font>
      <sz val="10"/>
      <color theme="1"/>
      <name val="Rockwell"/>
      <family val="1"/>
    </font>
    <font>
      <u/>
      <sz val="10"/>
      <color theme="10"/>
      <name val="Rockwell"/>
      <family val="1"/>
    </font>
    <font>
      <sz val="10"/>
      <color indexed="8"/>
      <name val="Rockwell"/>
      <family val="1"/>
    </font>
    <font>
      <sz val="10"/>
      <color rgb="FFFF0000"/>
      <name val="Rockwell"/>
      <family val="1"/>
    </font>
    <font>
      <sz val="10"/>
      <color indexed="10"/>
      <name val="Rockwell"/>
      <family val="1"/>
    </font>
    <font>
      <sz val="10"/>
      <color theme="1"/>
      <name val="Aptos Narrow"/>
      <family val="2"/>
      <scheme val="minor"/>
    </font>
    <font>
      <sz val="10"/>
      <name val="Aptos Narrow"/>
      <family val="2"/>
      <scheme val="minor"/>
    </font>
    <font>
      <b/>
      <sz val="10"/>
      <name val="Rockwell"/>
      <family val="1"/>
    </font>
    <font>
      <b/>
      <sz val="10"/>
      <color rgb="FF000000"/>
      <name val="Rockwell"/>
      <family val="1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4" tint="0.59999389629810485"/>
        <bgColor indexed="64"/>
      </patternFill>
    </fill>
    <fill>
      <gradientFill degree="90">
        <stop position="0">
          <color theme="0"/>
        </stop>
        <stop position="1">
          <color rgb="FF92D050"/>
        </stop>
      </gradient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2" tint="-9.9978637043366805E-2"/>
        <bgColor rgb="FF000000"/>
      </patternFill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8">
    <xf numFmtId="0" fontId="0" fillId="0" borderId="0"/>
    <xf numFmtId="0" fontId="2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0" fontId="3" fillId="0" borderId="0"/>
    <xf numFmtId="0" fontId="1" fillId="0" borderId="0"/>
    <xf numFmtId="0" fontId="4" fillId="0" borderId="0"/>
    <xf numFmtId="9" fontId="1" fillId="0" borderId="0" applyFont="0" applyFill="0" applyBorder="0" applyAlignment="0" applyProtection="0"/>
  </cellStyleXfs>
  <cellXfs count="71">
    <xf numFmtId="0" fontId="0" fillId="0" borderId="0" xfId="0"/>
    <xf numFmtId="0" fontId="6" fillId="0" borderId="0" xfId="0" applyFont="1"/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left"/>
    </xf>
    <xf numFmtId="0" fontId="5" fillId="7" borderId="3" xfId="6" applyFont="1" applyFill="1" applyBorder="1" applyAlignment="1">
      <alignment vertical="center"/>
    </xf>
    <xf numFmtId="0" fontId="10" fillId="2" borderId="1" xfId="3" applyFont="1" applyFill="1" applyBorder="1" applyAlignment="1">
      <alignment horizontal="center" vertical="center"/>
    </xf>
    <xf numFmtId="0" fontId="11" fillId="2" borderId="1" xfId="3" applyFont="1" applyFill="1" applyBorder="1" applyAlignment="1">
      <alignment horizontal="center" vertical="center" wrapText="1"/>
    </xf>
    <xf numFmtId="0" fontId="11" fillId="2" borderId="1" xfId="3" applyFont="1" applyFill="1" applyBorder="1" applyAlignment="1">
      <alignment horizontal="center" vertical="center"/>
    </xf>
    <xf numFmtId="0" fontId="12" fillId="3" borderId="1" xfId="3" applyFont="1" applyFill="1" applyBorder="1" applyAlignment="1">
      <alignment horizontal="center" vertical="center" wrapText="1"/>
    </xf>
    <xf numFmtId="0" fontId="12" fillId="3" borderId="1" xfId="0" quotePrefix="1" applyFont="1" applyFill="1" applyBorder="1" applyAlignment="1">
      <alignment horizontal="center" vertical="center" wrapText="1"/>
    </xf>
    <xf numFmtId="0" fontId="12" fillId="3" borderId="1" xfId="0" quotePrefix="1" applyFont="1" applyFill="1" applyBorder="1" applyAlignment="1">
      <alignment horizontal="left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11" fillId="0" borderId="0" xfId="0" applyFont="1"/>
    <xf numFmtId="0" fontId="14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166" fontId="13" fillId="0" borderId="1" xfId="0" applyNumberFormat="1" applyFont="1" applyBorder="1" applyAlignment="1">
      <alignment horizontal="center" vertical="center"/>
    </xf>
    <xf numFmtId="9" fontId="13" fillId="0" borderId="1" xfId="0" applyNumberFormat="1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13" fillId="0" borderId="1" xfId="3" applyFont="1" applyBorder="1" applyAlignment="1">
      <alignment horizontal="center" vertical="center"/>
    </xf>
    <xf numFmtId="166" fontId="14" fillId="0" borderId="1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1" xfId="0" applyFont="1" applyBorder="1" applyAlignment="1">
      <alignment horizontal="left" vertical="center" wrapText="1"/>
    </xf>
    <xf numFmtId="166" fontId="13" fillId="0" borderId="1" xfId="4" applyNumberFormat="1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left" vertical="center" wrapText="1"/>
    </xf>
    <xf numFmtId="166" fontId="17" fillId="0" borderId="1" xfId="0" applyNumberFormat="1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3" fillId="0" borderId="1" xfId="4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left" vertical="center"/>
    </xf>
    <xf numFmtId="166" fontId="13" fillId="5" borderId="1" xfId="0" applyNumberFormat="1" applyFont="1" applyFill="1" applyBorder="1" applyAlignment="1">
      <alignment horizontal="center" vertical="center"/>
    </xf>
    <xf numFmtId="9" fontId="13" fillId="5" borderId="1" xfId="0" applyNumberFormat="1" applyFont="1" applyFill="1" applyBorder="1" applyAlignment="1">
      <alignment horizontal="center" vertical="center"/>
    </xf>
    <xf numFmtId="0" fontId="15" fillId="5" borderId="1" xfId="1" applyFont="1" applyFill="1" applyBorder="1" applyAlignment="1">
      <alignment horizontal="left" vertical="center"/>
    </xf>
    <xf numFmtId="0" fontId="13" fillId="5" borderId="0" xfId="0" applyFont="1" applyFill="1" applyAlignment="1">
      <alignment horizontal="center" vertical="center"/>
    </xf>
    <xf numFmtId="0" fontId="13" fillId="5" borderId="1" xfId="0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left" vertical="center" wrapText="1"/>
    </xf>
    <xf numFmtId="0" fontId="12" fillId="0" borderId="1" xfId="0" applyFont="1" applyBorder="1" applyAlignment="1">
      <alignment horizontal="center" vertical="center"/>
    </xf>
    <xf numFmtId="166" fontId="12" fillId="0" borderId="1" xfId="0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3" fillId="0" borderId="0" xfId="0" applyFont="1"/>
    <xf numFmtId="167" fontId="13" fillId="6" borderId="1" xfId="0" applyNumberFormat="1" applyFont="1" applyFill="1" applyBorder="1" applyAlignment="1">
      <alignment vertical="center"/>
    </xf>
    <xf numFmtId="0" fontId="21" fillId="3" borderId="1" xfId="6" applyFont="1" applyFill="1" applyBorder="1" applyAlignment="1">
      <alignment horizontal="center" vertical="center"/>
    </xf>
    <xf numFmtId="0" fontId="21" fillId="3" borderId="1" xfId="6" applyFont="1" applyFill="1" applyBorder="1" applyAlignment="1">
      <alignment horizontal="center" vertical="center" wrapText="1"/>
    </xf>
    <xf numFmtId="0" fontId="21" fillId="3" borderId="1" xfId="6" applyFont="1" applyFill="1" applyBorder="1" applyAlignment="1">
      <alignment horizontal="left" vertical="center"/>
    </xf>
    <xf numFmtId="0" fontId="21" fillId="0" borderId="0" xfId="6" applyFont="1" applyAlignment="1">
      <alignment horizontal="center" vertical="center"/>
    </xf>
    <xf numFmtId="0" fontId="14" fillId="0" borderId="1" xfId="0" applyFont="1" applyBorder="1" applyAlignment="1">
      <alignment horizontal="left" vertical="center"/>
    </xf>
    <xf numFmtId="165" fontId="14" fillId="0" borderId="1" xfId="0" applyNumberFormat="1" applyFont="1" applyBorder="1" applyAlignment="1">
      <alignment horizontal="center" vertical="center"/>
    </xf>
    <xf numFmtId="0" fontId="15" fillId="0" borderId="1" xfId="1" applyFont="1" applyBorder="1" applyAlignment="1">
      <alignment horizontal="left" vertical="center" wrapText="1"/>
    </xf>
    <xf numFmtId="0" fontId="14" fillId="0" borderId="0" xfId="0" applyFont="1" applyAlignment="1">
      <alignment horizontal="center" vertical="center"/>
    </xf>
    <xf numFmtId="0" fontId="15" fillId="0" borderId="1" xfId="1" applyFont="1" applyBorder="1" applyAlignment="1">
      <alignment wrapText="1"/>
    </xf>
    <xf numFmtId="2" fontId="14" fillId="0" borderId="1" xfId="0" applyNumberFormat="1" applyFont="1" applyBorder="1" applyAlignment="1">
      <alignment horizontal="center" vertical="center"/>
    </xf>
    <xf numFmtId="0" fontId="12" fillId="0" borderId="0" xfId="0" applyFont="1" applyAlignment="1">
      <alignment horizontal="right" vertical="center"/>
    </xf>
    <xf numFmtId="0" fontId="14" fillId="0" borderId="0" xfId="0" applyFont="1"/>
    <xf numFmtId="167" fontId="14" fillId="0" borderId="0" xfId="0" applyNumberFormat="1" applyFont="1" applyAlignment="1">
      <alignment horizontal="center" vertical="center"/>
    </xf>
    <xf numFmtId="2" fontId="15" fillId="0" borderId="1" xfId="1" applyNumberFormat="1" applyFont="1" applyBorder="1" applyAlignment="1">
      <alignment vertical="center" wrapText="1"/>
    </xf>
    <xf numFmtId="0" fontId="14" fillId="0" borderId="1" xfId="5" applyFont="1" applyBorder="1" applyAlignment="1">
      <alignment wrapText="1"/>
    </xf>
    <xf numFmtId="2" fontId="14" fillId="0" borderId="1" xfId="5" applyNumberFormat="1" applyFont="1" applyBorder="1" applyAlignment="1">
      <alignment vertical="center"/>
    </xf>
    <xf numFmtId="0" fontId="8" fillId="8" borderId="1" xfId="6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vertical="center"/>
    </xf>
    <xf numFmtId="0" fontId="9" fillId="9" borderId="1" xfId="0" applyFont="1" applyFill="1" applyBorder="1" applyAlignment="1">
      <alignment horizontal="center" vertical="center"/>
    </xf>
    <xf numFmtId="9" fontId="14" fillId="0" borderId="1" xfId="7" applyFont="1" applyBorder="1" applyAlignment="1">
      <alignment horizontal="center" vertical="center"/>
    </xf>
    <xf numFmtId="174" fontId="22" fillId="4" borderId="2" xfId="0" applyNumberFormat="1" applyFont="1" applyFill="1" applyBorder="1" applyAlignment="1" applyProtection="1">
      <alignment horizontal="center" vertical="center"/>
      <protection locked="0"/>
    </xf>
    <xf numFmtId="174" fontId="14" fillId="0" borderId="1" xfId="0" applyNumberFormat="1" applyFont="1" applyBorder="1" applyAlignment="1">
      <alignment horizontal="center" vertical="center"/>
    </xf>
    <xf numFmtId="0" fontId="13" fillId="0" borderId="1" xfId="0" applyFont="1" applyBorder="1"/>
    <xf numFmtId="0" fontId="13" fillId="0" borderId="1" xfId="0" applyFont="1" applyBorder="1" applyAlignment="1">
      <alignment horizontal="left"/>
    </xf>
    <xf numFmtId="168" fontId="13" fillId="6" borderId="1" xfId="0" applyNumberFormat="1" applyFont="1" applyFill="1" applyBorder="1" applyAlignment="1">
      <alignment vertical="center"/>
    </xf>
  </cellXfs>
  <cellStyles count="8">
    <cellStyle name="Comma [0] 2" xfId="2" xr:uid="{DAABF6D2-C6D6-4C85-BEA2-C994CFA4137A}"/>
    <cellStyle name="Hyperlink" xfId="1" builtinId="8"/>
    <cellStyle name="Normal" xfId="0" builtinId="0"/>
    <cellStyle name="Normal 10 3" xfId="4" xr:uid="{08A10ADA-A78C-4913-901C-6632C4B6A999}"/>
    <cellStyle name="Normal 7" xfId="5" xr:uid="{9BFE2D88-62BE-4213-80F2-DFB2A775C44C}"/>
    <cellStyle name="Normal 8_Sheet1 2" xfId="6" xr:uid="{6F829889-B202-4FA1-90F8-2103698FF5E8}"/>
    <cellStyle name="Normal_05-05-31 BOM_ERF2500_REL_PRE" xfId="3" xr:uid="{C6790839-BC40-42C7-8D42-9CE1A468534B}"/>
    <cellStyle name="Percent" xfId="7" builtinId="5"/>
  </cellStyles>
  <dxfs count="1">
    <dxf>
      <font>
        <condense val="0"/>
        <extend val="0"/>
        <color indexed="5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styles" Target="styles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theme" Target="theme/theme1.xml"/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PhamA\LOCALS~1\Temp\GWViewer\08&#45380;%20&#49345;&#48152;&#44592;%20financial%20statement_080910_&#51228;&#52636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fdm3351\TMC\windows\TEMP\&#65403;&#65420;&#65439;&#65431;&#65394;&#65409;&#65386;&#65392;&#65437;\&#27491;&#24335;&#37197;&#24067;&#29992;991025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8975532\c\My%20Documents\YONG\&#51208;&#44048;\&#51208;&#44048;\&#45432;&#47924;&#48708;\&#51208;&#44048;\96&#54788;&#51088;&#51064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gijutu/KURASUGI/&#65409;&#65390;&#65402;&#65411;&#65394;98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My%20Documents\2003\Plan\ProductLineData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orpowagateway.utc.com/Rschick/2004/TOS/Tyler%202004PLANbyTOS7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\gijutu\KURASUGI\&#65409;&#65390;&#65402;&#65411;&#65394;98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TEMP\JOE\96BUDGET\ABC\ABC-ALLC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teering_CQA\CQA\Ford\B%20Platform\2004%20-%20B2e%202nd%20Round\Mech%20Gear\Business%20Cases\BCII%20Rack-475k%20(Czechowice)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EATON\WIP\SC_%20EATON_PUMP_V01_17022015_ND_V01.xlsm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odine.com\userdata\CorpFinance\SF\BS-ANNPLAN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ERUDIA~1/LOCALS~1/Temp/Recon/Final%20Recon/2006-2007/Forex%20on%20Export%202006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odine.com\userdata\SRIPIN\MyDocuments\mmanikandan\Documents\Modine\Templates\Costing%20template%20Modine_15Feb_Master.xlsm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odine.com\userdata\3.%20TYCO\Gas%20Cylinder\6.%20Costing\Gas%20Cylinder.xlsm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nant022\rfq_confidential\loUiS\Capacity\Share%20Sept%20Cap\My%20Documents\Planning\Budget-2005\Budget-2005-v0.6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ERUDIA~1/LOCALS~1/Temp/ACQUISITIONS/Actaris/Istanbul%20Model%20v2%2021%2007%20NSS%20PE%2020x%20225%20Interest%20Spread%20125%20UW%20Fee%20-used%20for%20Rating%20Presentation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0577;&#54788;\2001&#45380;&#54408;&#51656;&#54924;\WINDOWS\TEMP\&#54217;&#53469;\&#48320;&#54872;&#54532;&#47196;&#44536;&#47016;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agnewi/My%20Documents/my%20client%20-%20data/My%20Documents/Ajin%20Sales%20Ind/2003/December%202003/K%20Section/4.Del-Eq-03-sales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nant022\RFQ_Confidential\DOCUME~1\SNA17006\LOCALS~1\Temp\P%20&amp;%20L%20-%20March%20v2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omain-rms\conso\LEVU\Working%20Capital%20Scope\Workingcapitalscope1.xls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Desktop\eMuski\Costing%20template\DC%20Convertor_New_PCBA%20Cost%20Model.xlsx" TargetMode="External"/><Relationship Id="rId1" Type="http://schemas.openxmlformats.org/officeDocument/2006/relationships/externalLinkPath" Target="/Users/Admin/Desktop/eMuski/Costing%20template/DC%20Convertor_New_PCBA%20Cost%20Model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odine.com\userdata\users\Complete%20Parts\Saravanakumar%20Rathinasamy\Saravanakumar%20Rathinasamy%201\Templates\Projects\SCSS%20V3.24%20Documentation\CatTemplate%20v3.24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OCUME~1\rflores\LOCALS~1\Temp\Production%20Inventory%20Forecast%207-19-2.2%20Presentation%20to%20Hugh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naw1246\D%20Drive\Quote%20formats\3%20Site%20Standardlize%20Quote\Melaka%20Quote%20Model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GNAS\MY%20DOCUMENTS\Es%20Ka%20Be\SKB%2025\Aruki\Lampiran%20nett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esh.h/Desktop/P&amp;G/Amiro%20ARH001/Final/Control%20Board/CBD_Amiro%20ARH001_Control%20Board%20PCBA_042121_China_V1.0_Internal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nant022\RFQ_CONFIDENTIAL\Sales_Quotation\CostEngineering\ZAL2(A)\Calculation\Xerox\Q4%202002\BRUNEL\BOM_pricing_Q4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nant022\IE\Documents%20and%20Settings\sna12567\Local%20Settings\Temporary%20Internet%20Files\OLK71\Six%20Sigma\Six%20Sigma\Analyze%20Phase\Pre-realization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nant022\rfq_confidential\loUiS\Capacity\Share%20Sept%20Cap\DOCUME~1\rflores\LOCALS~1\Temp\Budget-2005-v0.5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odine.com\userdata\Users\mummman\Documents\Mani\Quest%20training\Should%20cost%20tools\Should%20Costing%20Database%20and%20Tool%20V2.xlsm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4221;&#51452;\&#44221;&#47532;1_C\&#50629;&#47924;(&#49457;&#54872;)\&#44221;&#47532;\2000.&#50900;&#47560;&#44048;\9&#50900;&#47560;&#44048;\&#49352;%20&#54260;&#45908;\&#44221;&#47532;\99&#50900;&#47560;&#44048;\8&#50900;\MSOFFICE\HEXCEL\SANGSAN\ROUTENUM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4288;&#47532;&#48708;&#50696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come "/>
      <sheetName val="Manufacture"/>
      <sheetName val="statement "/>
      <sheetName val="Sheet1"/>
      <sheetName val="ﾁｮｺ停回数"/>
      <sheetName val="ﾁｮｺ停時間"/>
      <sheetName val="CD-실적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ﾀﾘﾌ"/>
      <sheetName val="Benteng Date"/>
      <sheetName val="StandardRates_RM"/>
      <sheetName val="Direct Commodity List"/>
      <sheetName val="テンプレート"/>
      <sheetName val="METAL"/>
      <sheetName val="全般生準進度狀況報告"/>
      <sheetName val="全客先分 (桃園)(x)"/>
      <sheetName val="全客先分 (桃園)"/>
      <sheetName val="總市場"/>
      <sheetName val="社員リスト"/>
      <sheetName val="MASTER "/>
      <sheetName val="Supp.List"/>
      <sheetName val="Summary"/>
      <sheetName val="CAUDIT"/>
      <sheetName val="Master"/>
      <sheetName val="Sales.BudgetFinal"/>
      <sheetName val="PP_Letter 389N"/>
      <sheetName val="06玉川生産状況報告"/>
      <sheetName val="前年度データ"/>
      <sheetName val="（炉集約）"/>
      <sheetName val="（大部屋横持ち）"/>
      <sheetName val="Sheet1"/>
      <sheetName val="成形廻り"/>
      <sheetName val="焼結3者"/>
      <sheetName val="焼結2者山積"/>
      <sheetName val="焼結1者山積表"/>
      <sheetName val="表紙"/>
      <sheetName val="（大部屋タテ持ち）"/>
      <sheetName val="多能工化計画"/>
      <sheetName val="新規調査表2003"/>
      <sheetName val="増減動向まとめ2003"/>
      <sheetName val="52号炉（下限）"/>
      <sheetName val="データ"/>
      <sheetName val="ﾀﾘﾌ O倀Ǥ멍"/>
      <sheetName val="ﾀﾘﾌ ك倀Ǥ멍"/>
      <sheetName val="s"/>
      <sheetName val="07年度予算（案）"/>
      <sheetName val="Sheet4"/>
      <sheetName val="ﾀﾘﾌ ഓꀀउ랴"/>
      <sheetName val="ﾀﾘﾌ +ʞ랴"/>
      <sheetName val="ﾀﾘﾌ ݇뀀Ո눧"/>
      <sheetName val="ﾀﾘﾌ ؐ뀀Ո눧"/>
      <sheetName val="達成729"/>
      <sheetName val="隠し"/>
      <sheetName val="内部構造編集要領_6"/>
      <sheetName val="全体"/>
      <sheetName val="正式配布用991025"/>
      <sheetName val="部門区分"/>
      <sheetName val="LIST"/>
      <sheetName val="89"/>
      <sheetName val="GM (2016NEW) (20160115)"/>
      <sheetName val="link用(勿刪)"/>
      <sheetName val="FAI"/>
      <sheetName val="849E15(20010)"/>
      <sheetName val="153W"/>
      <sheetName val="협조전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RS December 2002"/>
      <sheetName val="00'미수"/>
    </sheetNames>
    <sheetDataSet>
      <sheetData sheetId="0" refreshError="1"/>
      <sheetData sheetId="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ﾁｮｺ停回数"/>
      <sheetName val="ﾁｮｺ停時間"/>
      <sheetName val="??????"/>
      <sheetName val="ﾁｮｺﾃｲ98"/>
      <sheetName val="CD-실적"/>
      <sheetName val="3301 7512H"/>
    </sheetNames>
    <sheetDataSet>
      <sheetData sheetId="0" refreshError="1">
        <row r="5">
          <cell r="E5" t="str">
            <v>ｼｮｯﾄ～Ass'yAｾﾙ</v>
          </cell>
          <cell r="M5">
            <v>9168</v>
          </cell>
          <cell r="O5">
            <v>10.8</v>
          </cell>
        </row>
        <row r="6">
          <cell r="E6" t="str">
            <v>円筒～ｶﾑ研1(ｵﾘｴﾝﾃｰｼｮﾝ)</v>
          </cell>
          <cell r="M6">
            <v>8894</v>
          </cell>
          <cell r="O6">
            <v>21.318348569603934</v>
          </cell>
        </row>
        <row r="7">
          <cell r="E7" t="str">
            <v>円筒～ｶﾑ研2(ｵﾘｴﾝﾃｰｼｮﾝ)</v>
          </cell>
          <cell r="M7">
            <v>8458</v>
          </cell>
          <cell r="O7">
            <v>31.321068628262591</v>
          </cell>
        </row>
        <row r="8">
          <cell r="E8" t="str">
            <v>ﾎﾌﾞ～内径旋盤Aｾﾙ</v>
          </cell>
          <cell r="M8">
            <v>7342</v>
          </cell>
          <cell r="O8">
            <v>40.003968920373239</v>
          </cell>
        </row>
        <row r="9">
          <cell r="E9" t="str">
            <v>旋盤～箱詰めBｾﾙ</v>
          </cell>
          <cell r="M9">
            <v>7107</v>
          </cell>
          <cell r="O9">
            <v>48.408950175621179</v>
          </cell>
        </row>
        <row r="10">
          <cell r="E10" t="str">
            <v>高周波～歯振選別</v>
          </cell>
          <cell r="M10">
            <v>7032</v>
          </cell>
          <cell r="O10">
            <v>56.725233865912934</v>
          </cell>
        </row>
        <row r="11">
          <cell r="E11" t="str">
            <v>円筒～Ass'y 3</v>
          </cell>
          <cell r="M11">
            <v>5980</v>
          </cell>
          <cell r="O11">
            <v>63.79738637841929</v>
          </cell>
        </row>
        <row r="12">
          <cell r="E12" t="str">
            <v>ﾎﾌﾞ盤～ﾊﾞﾘ取りBｾﾙ</v>
          </cell>
          <cell r="M12">
            <v>5708</v>
          </cell>
          <cell r="O12">
            <v>70.54786238868455</v>
          </cell>
        </row>
        <row r="13">
          <cell r="E13" t="str">
            <v>旋盤～箱詰めAｾﾙ</v>
          </cell>
          <cell r="M13">
            <v>5525</v>
          </cell>
          <cell r="O13">
            <v>77.081916340456729</v>
          </cell>
        </row>
        <row r="14">
          <cell r="E14" t="str">
            <v>ｼｮｯﾄ～Ass'yBｾﾙ</v>
          </cell>
          <cell r="M14">
            <v>4941</v>
          </cell>
          <cell r="O14">
            <v>82.925311919770095</v>
          </cell>
        </row>
        <row r="15">
          <cell r="E15" t="str">
            <v>円筒～Ass'y 4</v>
          </cell>
          <cell r="M15">
            <v>4386</v>
          </cell>
          <cell r="O15">
            <v>88.112345518407707</v>
          </cell>
        </row>
        <row r="16">
          <cell r="E16" t="str">
            <v>pinion/T.bar Ass'y1号</v>
          </cell>
          <cell r="M16">
            <v>4342</v>
          </cell>
          <cell r="O16">
            <v>93.247343212271019</v>
          </cell>
        </row>
        <row r="17">
          <cell r="E17" t="str">
            <v>ﾋﾟﾆｵﾝ研磨1号</v>
          </cell>
          <cell r="M17">
            <v>3428</v>
          </cell>
          <cell r="O17">
            <v>97.301413247868311</v>
          </cell>
        </row>
        <row r="18">
          <cell r="E18" t="str">
            <v>pinion/T.bar Ass'y2号</v>
          </cell>
          <cell r="M18">
            <v>1505</v>
          </cell>
          <cell r="O18">
            <v>99.081277717989053</v>
          </cell>
        </row>
        <row r="19">
          <cell r="E19" t="str">
            <v>ﾋﾟﾆｵﾝ研磨2号</v>
          </cell>
          <cell r="M19">
            <v>379</v>
          </cell>
          <cell r="O19">
            <v>99.529496079567636</v>
          </cell>
        </row>
        <row r="20">
          <cell r="E20" t="str">
            <v>ﾋﾟﾆｵﾝ研磨3号</v>
          </cell>
          <cell r="M20">
            <v>362</v>
          </cell>
          <cell r="O20">
            <v>99.957609659756145</v>
          </cell>
        </row>
      </sheetData>
      <sheetData sheetId="1" refreshError="1">
        <row r="5">
          <cell r="O5">
            <v>1030.5453600000001</v>
          </cell>
          <cell r="Q5">
            <v>12.9</v>
          </cell>
        </row>
        <row r="6">
          <cell r="O6">
            <v>1009.29108</v>
          </cell>
          <cell r="Q6">
            <v>25.488536335721598</v>
          </cell>
        </row>
        <row r="7">
          <cell r="O7">
            <v>846.80662285714277</v>
          </cell>
          <cell r="Q7">
            <v>36.050460593654044</v>
          </cell>
        </row>
        <row r="8">
          <cell r="O8">
            <v>725.18946857142839</v>
          </cell>
          <cell r="Q8">
            <v>45.095496417604913</v>
          </cell>
        </row>
        <row r="9">
          <cell r="O9">
            <v>604.72119428571432</v>
          </cell>
          <cell r="Q9">
            <v>52.637973387922209</v>
          </cell>
        </row>
        <row r="10">
          <cell r="O10">
            <v>500.99374285714288</v>
          </cell>
          <cell r="Q10">
            <v>58.886693961105422</v>
          </cell>
        </row>
        <row r="11">
          <cell r="O11">
            <v>461.19325714285719</v>
          </cell>
          <cell r="Q11">
            <v>64.638996929375637</v>
          </cell>
        </row>
        <row r="12">
          <cell r="O12">
            <v>459.46993714285713</v>
          </cell>
          <cell r="Q12">
            <v>70.369805527123845</v>
          </cell>
        </row>
        <row r="13">
          <cell r="O13">
            <v>454.05378857142853</v>
          </cell>
          <cell r="Q13">
            <v>76.033060388945742</v>
          </cell>
        </row>
        <row r="14">
          <cell r="O14">
            <v>450.1968342857142</v>
          </cell>
          <cell r="Q14">
            <v>81.648208802456494</v>
          </cell>
        </row>
        <row r="15">
          <cell r="O15">
            <v>444.53449714285716</v>
          </cell>
          <cell r="Q15">
            <v>87.192732855680646</v>
          </cell>
        </row>
        <row r="16">
          <cell r="O16">
            <v>438.21565714285708</v>
          </cell>
          <cell r="Q16">
            <v>92.658444216990773</v>
          </cell>
        </row>
        <row r="17">
          <cell r="O17">
            <v>238.39259999999999</v>
          </cell>
          <cell r="Q17">
            <v>95.63183213920162</v>
          </cell>
        </row>
        <row r="18">
          <cell r="O18">
            <v>209.83472571428572</v>
          </cell>
          <cell r="Q18">
            <v>98.249027635619228</v>
          </cell>
        </row>
        <row r="19">
          <cell r="O19">
            <v>129.00281142857145</v>
          </cell>
          <cell r="Q19">
            <v>99.858034800409399</v>
          </cell>
        </row>
        <row r="20">
          <cell r="O20">
            <v>15.099565714285712</v>
          </cell>
          <cell r="Q20">
            <v>100.04636642784031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yler-Ext"/>
      <sheetName val="Tyler-Int"/>
      <sheetName val="M1-Ext"/>
      <sheetName val="M1-Int"/>
      <sheetName val="Airside-Ext"/>
      <sheetName val="Airside-Int"/>
      <sheetName val="Applied-Ext"/>
      <sheetName val="Applied-Int"/>
      <sheetName val="PRINT"/>
      <sheetName val="Cover"/>
      <sheetName val="Qrtrly Analysis"/>
      <sheetName val="monthly summary"/>
      <sheetName val="Units"/>
      <sheetName val="Sales"/>
      <sheetName val="COS"/>
      <sheetName val="Margin"/>
      <sheetName val="Margin %"/>
      <sheetName val="Forecast"/>
      <sheetName val="Prior Fcst"/>
      <sheetName val="Dev to PF"/>
      <sheetName val="04 Plan"/>
      <sheetName val="Dev to Plan"/>
      <sheetName val="2003"/>
      <sheetName val="Dev to 2003"/>
      <sheetName val="04 Prod Groups"/>
      <sheetName val="03 Prod Groups"/>
      <sheetName val="04 Dev to 03 Prod Groups"/>
      <sheetName val="AirH"/>
      <sheetName val="AirH PF"/>
      <sheetName val="AirH Dev to PF"/>
      <sheetName val="AirH 04 Plan"/>
      <sheetName val="AirH Dev to Plan"/>
      <sheetName val="AirH 2003"/>
      <sheetName val="AirH Dev to 2003"/>
      <sheetName val="Adjust"/>
      <sheetName val="2001 sales &amp; margin"/>
      <sheetName val="2002 Plan Sales &amp; Margins"/>
      <sheetName val="M-1 GM% Chart"/>
      <sheetName val="30G Chart"/>
      <sheetName val="Aquasnap Chart"/>
      <sheetName val="30GX Chart"/>
      <sheetName val="Splits Chart"/>
      <sheetName val="Fancoils"/>
      <sheetName val="TJ-HJ Chart"/>
      <sheetName val="Centurion"/>
      <sheetName val="F Series"/>
      <sheetName val="E Series 20-25"/>
      <sheetName val="E Series 27+"/>
      <sheetName val="MZones"/>
      <sheetName val="Qtr"/>
      <sheetName val="05F"/>
      <sheetName val="05PF"/>
      <sheetName val="Dev 05PF"/>
      <sheetName val="05P"/>
      <sheetName val="Dev 05P"/>
      <sheetName val="05Prods"/>
      <sheetName val="VTS"/>
      <sheetName val="Quality - Individual Plants"/>
      <sheetName val="Sch B 2010 Plan"/>
      <sheetName val="손익"/>
      <sheetName val="Sheet1"/>
      <sheetName val="Table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es by Brand"/>
      <sheetName val="COS by Brand"/>
      <sheetName val="Margins by Brand"/>
      <sheetName val="Margin % by Brand"/>
      <sheetName val="Units by Brand"/>
      <sheetName val="SPP 2004 plan by TOS"/>
      <sheetName val="SRT 2004 plan by TOS"/>
      <sheetName val="Adjust"/>
      <sheetName val="By Product Line"/>
      <sheetName val="MHicke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0">
          <cell r="B10">
            <v>320.84799731424238</v>
          </cell>
        </row>
        <row r="11">
          <cell r="B11">
            <v>737.22082978335811</v>
          </cell>
        </row>
        <row r="12">
          <cell r="B12">
            <v>1877.6309644985511</v>
          </cell>
        </row>
        <row r="13">
          <cell r="B13">
            <v>901.22120152049661</v>
          </cell>
        </row>
        <row r="14">
          <cell r="B14">
            <v>746.43757814623586</v>
          </cell>
        </row>
        <row r="15">
          <cell r="B15">
            <v>204.80143296348186</v>
          </cell>
        </row>
        <row r="16">
          <cell r="B16">
            <v>24.305561220198538</v>
          </cell>
        </row>
        <row r="17">
          <cell r="B17">
            <v>572.17323378305355</v>
          </cell>
        </row>
        <row r="18">
          <cell r="B18">
            <v>452.25683923045329</v>
          </cell>
        </row>
        <row r="19">
          <cell r="B19">
            <v>0</v>
          </cell>
        </row>
        <row r="20">
          <cell r="B20">
            <v>0</v>
          </cell>
        </row>
        <row r="21">
          <cell r="B21">
            <v>0</v>
          </cell>
        </row>
        <row r="22">
          <cell r="B22">
            <v>16.142452396609166</v>
          </cell>
        </row>
        <row r="23">
          <cell r="B23">
            <v>180.56079394004101</v>
          </cell>
        </row>
        <row r="24">
          <cell r="B24">
            <v>939.17059497326591</v>
          </cell>
        </row>
        <row r="25">
          <cell r="B25">
            <v>443.00042200557897</v>
          </cell>
        </row>
        <row r="26">
          <cell r="B26">
            <v>238.21390945330808</v>
          </cell>
        </row>
        <row r="27">
          <cell r="B27">
            <v>43.611246866126876</v>
          </cell>
        </row>
        <row r="28">
          <cell r="B28">
            <v>3.5793879109714291</v>
          </cell>
        </row>
        <row r="29">
          <cell r="B29">
            <v>176.08811885251336</v>
          </cell>
        </row>
        <row r="30">
          <cell r="B30">
            <v>90.618848183525699</v>
          </cell>
        </row>
        <row r="31">
          <cell r="B31">
            <v>0</v>
          </cell>
        </row>
        <row r="32">
          <cell r="B32">
            <v>0</v>
          </cell>
        </row>
        <row r="33">
          <cell r="B33">
            <v>0</v>
          </cell>
        </row>
        <row r="34">
          <cell r="B34">
            <v>0</v>
          </cell>
        </row>
        <row r="35">
          <cell r="B35">
            <v>11.521846820302034</v>
          </cell>
        </row>
        <row r="36">
          <cell r="B36">
            <v>487.83934803413462</v>
          </cell>
        </row>
        <row r="37">
          <cell r="B37">
            <v>58.095340700747315</v>
          </cell>
        </row>
        <row r="38">
          <cell r="B38">
            <v>61.924377315066778</v>
          </cell>
        </row>
        <row r="39">
          <cell r="B39">
            <v>0</v>
          </cell>
        </row>
        <row r="40">
          <cell r="B40">
            <v>332.7735115048942</v>
          </cell>
        </row>
        <row r="41">
          <cell r="B41">
            <v>398.24356625347923</v>
          </cell>
        </row>
        <row r="42">
          <cell r="B42">
            <v>79.804414651905077</v>
          </cell>
        </row>
        <row r="43">
          <cell r="B43">
            <v>19.282781387946059</v>
          </cell>
        </row>
      </sheetData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ﾁｮｺ停回数"/>
      <sheetName val="ﾁｮｺ停時間"/>
      <sheetName val="??????"/>
      <sheetName val="ﾁｮｺﾃｲ98"/>
      <sheetName val="CD-실적"/>
      <sheetName val="3301 7512H"/>
      <sheetName val="#REF"/>
      <sheetName val="______"/>
      <sheetName val="FIAT AB Plat. NRE WLP 12-04-07"/>
      <sheetName val="LM 650b"/>
      <sheetName val="2"/>
      <sheetName val="현금경비중역"/>
      <sheetName val="Data"/>
      <sheetName val="2.대외공문"/>
      <sheetName val="94B"/>
      <sheetName val="Input"/>
      <sheetName val="Financials_PU"/>
      <sheetName val="BOM"/>
      <sheetName val="EPB ECU 533K"/>
      <sheetName val="VOL"/>
      <sheetName val="EPB5 ECU 409K"/>
      <sheetName val="A0006538G"/>
      <sheetName val="exh 4"/>
      <sheetName val="車会集約"/>
      <sheetName val="二.POSITION.XLS"/>
      <sheetName val="Production Line(New Project)"/>
      <sheetName val="ECU_BOM"/>
      <sheetName val="시설투자"/>
      <sheetName val="Actual-Roller"/>
      <sheetName val="PRINT"/>
      <sheetName val="PQR"/>
      <sheetName val="部門並び"/>
      <sheetName val="COVER"/>
      <sheetName val="Financials_SWS PU"/>
      <sheetName val="班部番別"/>
      <sheetName val="ford data"/>
      <sheetName val="(10) Lists"/>
      <sheetName val="major"/>
    </sheetNames>
    <sheetDataSet>
      <sheetData sheetId="0" refreshError="1">
        <row r="5">
          <cell r="E5" t="str">
            <v>ｼｮｯﾄ～Ass'yAｾﾙ</v>
          </cell>
          <cell r="M5">
            <v>9168</v>
          </cell>
          <cell r="O5">
            <v>10.8</v>
          </cell>
        </row>
        <row r="6">
          <cell r="E6" t="str">
            <v>円筒～ｶﾑ研1(ｵﾘｴﾝﾃｰｼｮﾝ)</v>
          </cell>
          <cell r="M6">
            <v>8894</v>
          </cell>
          <cell r="O6">
            <v>21.318348569603934</v>
          </cell>
        </row>
        <row r="7">
          <cell r="E7" t="str">
            <v>円筒～ｶﾑ研2(ｵﾘｴﾝﾃｰｼｮﾝ)</v>
          </cell>
          <cell r="M7">
            <v>8458</v>
          </cell>
          <cell r="O7">
            <v>31.321068628262591</v>
          </cell>
        </row>
        <row r="8">
          <cell r="E8" t="str">
            <v>ﾎﾌﾞ～内径旋盤Aｾﾙ</v>
          </cell>
          <cell r="M8">
            <v>7342</v>
          </cell>
          <cell r="O8">
            <v>40.003968920373239</v>
          </cell>
        </row>
        <row r="9">
          <cell r="E9" t="str">
            <v>旋盤～箱詰めBｾﾙ</v>
          </cell>
          <cell r="M9">
            <v>7107</v>
          </cell>
          <cell r="O9">
            <v>48.408950175621179</v>
          </cell>
        </row>
        <row r="10">
          <cell r="E10" t="str">
            <v>高周波～歯振選別</v>
          </cell>
          <cell r="M10">
            <v>7032</v>
          </cell>
          <cell r="O10">
            <v>56.725233865912934</v>
          </cell>
        </row>
        <row r="11">
          <cell r="E11" t="str">
            <v>円筒～Ass'y 3</v>
          </cell>
          <cell r="M11">
            <v>5980</v>
          </cell>
          <cell r="O11">
            <v>63.79738637841929</v>
          </cell>
        </row>
        <row r="12">
          <cell r="E12" t="str">
            <v>ﾎﾌﾞ盤～ﾊﾞﾘ取りBｾﾙ</v>
          </cell>
          <cell r="M12">
            <v>5708</v>
          </cell>
          <cell r="O12">
            <v>70.54786238868455</v>
          </cell>
        </row>
        <row r="13">
          <cell r="E13" t="str">
            <v>旋盤～箱詰めAｾﾙ</v>
          </cell>
          <cell r="M13">
            <v>5525</v>
          </cell>
          <cell r="O13">
            <v>77.081916340456729</v>
          </cell>
        </row>
        <row r="14">
          <cell r="E14" t="str">
            <v>ｼｮｯﾄ～Ass'yBｾﾙ</v>
          </cell>
          <cell r="M14">
            <v>4941</v>
          </cell>
          <cell r="O14">
            <v>82.925311919770095</v>
          </cell>
        </row>
        <row r="15">
          <cell r="E15" t="str">
            <v>円筒～Ass'y 4</v>
          </cell>
          <cell r="M15">
            <v>4386</v>
          </cell>
          <cell r="O15">
            <v>88.112345518407707</v>
          </cell>
        </row>
        <row r="16">
          <cell r="E16" t="str">
            <v>pinion/T.bar Ass'y1号</v>
          </cell>
          <cell r="M16">
            <v>4342</v>
          </cell>
          <cell r="O16">
            <v>93.247343212271019</v>
          </cell>
        </row>
        <row r="17">
          <cell r="E17" t="str">
            <v>ﾋﾟﾆｵﾝ研磨1号</v>
          </cell>
          <cell r="M17">
            <v>3428</v>
          </cell>
          <cell r="O17">
            <v>97.301413247868311</v>
          </cell>
        </row>
        <row r="18">
          <cell r="E18" t="str">
            <v>pinion/T.bar Ass'y2号</v>
          </cell>
          <cell r="M18">
            <v>1505</v>
          </cell>
          <cell r="O18">
            <v>99.081277717989053</v>
          </cell>
        </row>
        <row r="19">
          <cell r="E19" t="str">
            <v>ﾋﾟﾆｵﾝ研磨2号</v>
          </cell>
          <cell r="M19">
            <v>379</v>
          </cell>
          <cell r="O19">
            <v>99.529496079567636</v>
          </cell>
        </row>
        <row r="20">
          <cell r="E20" t="str">
            <v>ﾋﾟﾆｵﾝ研磨3号</v>
          </cell>
          <cell r="M20">
            <v>362</v>
          </cell>
          <cell r="O20">
            <v>99.957609659756145</v>
          </cell>
        </row>
      </sheetData>
      <sheetData sheetId="1" refreshError="1">
        <row r="5">
          <cell r="O5">
            <v>1030.5453600000001</v>
          </cell>
          <cell r="Q5">
            <v>12.9</v>
          </cell>
        </row>
        <row r="6">
          <cell r="O6">
            <v>1009.29108</v>
          </cell>
          <cell r="Q6">
            <v>25.488536335721598</v>
          </cell>
        </row>
        <row r="7">
          <cell r="O7">
            <v>846.80662285714277</v>
          </cell>
          <cell r="Q7">
            <v>36.050460593654044</v>
          </cell>
        </row>
        <row r="8">
          <cell r="O8">
            <v>725.18946857142839</v>
          </cell>
          <cell r="Q8">
            <v>45.095496417604913</v>
          </cell>
        </row>
        <row r="9">
          <cell r="O9">
            <v>604.72119428571432</v>
          </cell>
          <cell r="Q9">
            <v>52.637973387922209</v>
          </cell>
        </row>
        <row r="10">
          <cell r="O10">
            <v>500.99374285714288</v>
          </cell>
          <cell r="Q10">
            <v>58.886693961105422</v>
          </cell>
        </row>
        <row r="11">
          <cell r="O11">
            <v>461.19325714285719</v>
          </cell>
          <cell r="Q11">
            <v>64.638996929375637</v>
          </cell>
        </row>
        <row r="12">
          <cell r="O12">
            <v>459.46993714285713</v>
          </cell>
          <cell r="Q12">
            <v>70.369805527123845</v>
          </cell>
        </row>
        <row r="13">
          <cell r="O13">
            <v>454.05378857142853</v>
          </cell>
          <cell r="Q13">
            <v>76.033060388945742</v>
          </cell>
        </row>
        <row r="14">
          <cell r="O14">
            <v>450.1968342857142</v>
          </cell>
          <cell r="Q14">
            <v>81.648208802456494</v>
          </cell>
        </row>
        <row r="15">
          <cell r="O15">
            <v>444.53449714285716</v>
          </cell>
          <cell r="Q15">
            <v>87.192732855680646</v>
          </cell>
        </row>
        <row r="16">
          <cell r="O16">
            <v>438.21565714285708</v>
          </cell>
          <cell r="Q16">
            <v>92.658444216990773</v>
          </cell>
        </row>
        <row r="17">
          <cell r="O17">
            <v>238.39259999999999</v>
          </cell>
          <cell r="Q17">
            <v>95.63183213920162</v>
          </cell>
        </row>
        <row r="18">
          <cell r="O18">
            <v>209.83472571428572</v>
          </cell>
          <cell r="Q18">
            <v>98.249027635619228</v>
          </cell>
        </row>
        <row r="19">
          <cell r="O19">
            <v>129.00281142857145</v>
          </cell>
          <cell r="Q19">
            <v>99.858034800409399</v>
          </cell>
        </row>
        <row r="20">
          <cell r="O20">
            <v>15.099565714285712</v>
          </cell>
          <cell r="Q20">
            <v>100.04636642784031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S"/>
      <sheetName val="Profitability by subsystem"/>
      <sheetName val="Sheet2"/>
      <sheetName val="Sheet3"/>
    </sheetNames>
    <sheetDataSet>
      <sheetData sheetId="0" refreshError="1">
        <row r="27">
          <cell r="D27">
            <v>31314.371999999999</v>
          </cell>
        </row>
        <row r="44">
          <cell r="A44">
            <v>24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ncials"/>
      <sheetName val="PRINT"/>
      <sheetName val="AME"/>
      <sheetName val="OH"/>
      <sheetName val="??????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ision History"/>
      <sheetName val="Cost Model Maturity"/>
      <sheetName val="Assumptions"/>
      <sheetName val="Summary"/>
      <sheetName val="BOM-1"/>
      <sheetName val="Process Plan"/>
      <sheetName val="Sand casting"/>
      <sheetName val="Bala"/>
      <sheetName val="Machined"/>
      <sheetName val="Forging"/>
      <sheetName val="Burden rates 1"/>
      <sheetName val="Sheet Metal"/>
      <sheetName val="Heat treatment"/>
      <sheetName val="Tool Amortization "/>
      <sheetName val="Sintering"/>
      <sheetName val="Inputs"/>
      <sheetName val="Burden rates"/>
      <sheetName val="Parts Details"/>
      <sheetName val="Reference documents"/>
      <sheetName val="Cycle Time for Machining"/>
      <sheetName val="Calc"/>
      <sheetName val="Sheet1"/>
      <sheetName val="Machining"/>
      <sheetName val="DirectworksLists"/>
      <sheetName val="Currency Conversions"/>
    </sheetNames>
    <sheetDataSet>
      <sheetData sheetId="0"/>
      <sheetData sheetId="1"/>
      <sheetData sheetId="2"/>
      <sheetData sheetId="3"/>
      <sheetData sheetId="4"/>
      <sheetData sheetId="5">
        <row r="5">
          <cell r="B5" t="str">
            <v>Sl.No</v>
          </cell>
          <cell r="C5" t="str">
            <v>Level</v>
          </cell>
          <cell r="D5" t="str">
            <v>Part No</v>
          </cell>
          <cell r="E5" t="str">
            <v>Part Description</v>
          </cell>
          <cell r="F5" t="str">
            <v xml:space="preserve"> Make / Bought-out</v>
          </cell>
          <cell r="G5" t="str">
            <v>Man.location</v>
          </cell>
          <cell r="H5" t="str">
            <v>BOM Qty</v>
          </cell>
          <cell r="I5" t="str">
            <v>Commodity</v>
          </cell>
          <cell r="J5" t="str">
            <v>Extended Quantity per Batch</v>
          </cell>
          <cell r="K5" t="str">
            <v xml:space="preserve">Material </v>
          </cell>
          <cell r="L5" t="str">
            <v>Material Grade</v>
          </cell>
          <cell r="M5" t="str">
            <v>Raw Material Form</v>
          </cell>
          <cell r="N5" t="str">
            <v>Finished Part Weight in gms</v>
          </cell>
          <cell r="O5" t="str">
            <v>Raw Material Length</v>
          </cell>
          <cell r="P5" t="str">
            <v xml:space="preserve">Raw Material Width / Ø  of the Raw Material </v>
          </cell>
          <cell r="Q5" t="str">
            <v>Raw Material Height</v>
          </cell>
          <cell r="R5" t="str">
            <v>Raw Material Thickness</v>
          </cell>
          <cell r="S5" t="str">
            <v>Manufacturing Process -I</v>
          </cell>
          <cell r="T5" t="str">
            <v>Manufacturing Process -II</v>
          </cell>
          <cell r="U5" t="str">
            <v>Manufacturing Process -III</v>
          </cell>
          <cell r="V5" t="str">
            <v>Manufacturing Process -IV</v>
          </cell>
          <cell r="W5" t="str">
            <v>Manufacturing Process -V</v>
          </cell>
          <cell r="X5" t="str">
            <v>Manufacturing Process -VI</v>
          </cell>
          <cell r="Y5" t="str">
            <v>Finishing Process</v>
          </cell>
          <cell r="Z5" t="str">
            <v>Assembly</v>
          </cell>
          <cell r="AA5" t="str">
            <v>Inspection/Testing</v>
          </cell>
          <cell r="AB5" t="str">
            <v>Remarks</v>
          </cell>
          <cell r="AC5" t="str">
            <v>Repeat / Unique Part</v>
          </cell>
          <cell r="AD5" t="str">
            <v>SL#</v>
          </cell>
        </row>
        <row r="6">
          <cell r="B6">
            <v>1</v>
          </cell>
          <cell r="C6">
            <v>1</v>
          </cell>
          <cell r="D6" t="str">
            <v>6026704-001</v>
          </cell>
          <cell r="E6" t="str">
            <v>Drive Shaft</v>
          </cell>
          <cell r="F6" t="str">
            <v>MAKE</v>
          </cell>
          <cell r="H6">
            <v>1</v>
          </cell>
          <cell r="I6" t="str">
            <v>MACHINED</v>
          </cell>
          <cell r="J6">
            <v>222.5</v>
          </cell>
          <cell r="K6" t="str">
            <v>L</v>
          </cell>
          <cell r="L6" t="str">
            <v>8620 ASTM A29 FINE GRAIN 5-8 inclusive</v>
          </cell>
          <cell r="M6" t="str">
            <v>Round Bar Stock</v>
          </cell>
          <cell r="N6">
            <v>628.5</v>
          </cell>
          <cell r="O6">
            <v>186.05</v>
          </cell>
          <cell r="P6">
            <v>39.25</v>
          </cell>
          <cell r="Q6">
            <v>0</v>
          </cell>
          <cell r="R6">
            <v>0</v>
          </cell>
          <cell r="S6" t="str">
            <v>CNC Turning</v>
          </cell>
          <cell r="T6" t="str">
            <v>Spline Rolling</v>
          </cell>
          <cell r="U6" t="str">
            <v>Case Caburising &amp; Hardening</v>
          </cell>
          <cell r="V6" t="str">
            <v>Cylindrical Grinding</v>
          </cell>
          <cell r="AA6" t="str">
            <v>Critical</v>
          </cell>
        </row>
        <row r="7">
          <cell r="B7">
            <v>2</v>
          </cell>
          <cell r="C7">
            <v>2</v>
          </cell>
          <cell r="D7" t="str">
            <v>6028118-XXX</v>
          </cell>
          <cell r="E7" t="str">
            <v>Spacer</v>
          </cell>
          <cell r="F7" t="str">
            <v>MAKE</v>
          </cell>
          <cell r="H7">
            <v>1</v>
          </cell>
          <cell r="I7" t="str">
            <v>MACHINED</v>
          </cell>
          <cell r="J7">
            <v>222.5</v>
          </cell>
          <cell r="K7" t="str">
            <v>SA</v>
          </cell>
          <cell r="L7" t="str">
            <v>STEEL ASTM A29</v>
          </cell>
          <cell r="M7" t="str">
            <v>Hollow Tube ?</v>
          </cell>
          <cell r="N7">
            <v>14.5</v>
          </cell>
          <cell r="O7">
            <v>5.07</v>
          </cell>
          <cell r="P7">
            <v>33.15</v>
          </cell>
          <cell r="Q7">
            <v>0</v>
          </cell>
          <cell r="R7">
            <v>0</v>
          </cell>
          <cell r="S7" t="str">
            <v>CNC Turning</v>
          </cell>
          <cell r="T7" t="str">
            <v>Grinding</v>
          </cell>
          <cell r="AA7" t="str">
            <v>Generic</v>
          </cell>
        </row>
        <row r="8">
          <cell r="B8">
            <v>4</v>
          </cell>
          <cell r="C8">
            <v>4</v>
          </cell>
          <cell r="D8" t="str">
            <v>6026786-001</v>
          </cell>
          <cell r="E8" t="str">
            <v>End Cover S/A</v>
          </cell>
          <cell r="F8" t="str">
            <v>MAKE</v>
          </cell>
          <cell r="H8">
            <v>1</v>
          </cell>
          <cell r="I8" t="str">
            <v>SUB ASSEMBLY</v>
          </cell>
          <cell r="J8">
            <v>222.5</v>
          </cell>
          <cell r="L8" t="str">
            <v>EN-GJS-450-15</v>
          </cell>
          <cell r="N8">
            <v>3380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B9">
            <v>5</v>
          </cell>
          <cell r="C9">
            <v>4.0999999999999996</v>
          </cell>
          <cell r="D9" t="str">
            <v>6026309-001</v>
          </cell>
          <cell r="E9" t="str">
            <v>End Cover</v>
          </cell>
          <cell r="F9" t="str">
            <v>MAKE</v>
          </cell>
          <cell r="H9">
            <v>1</v>
          </cell>
          <cell r="I9" t="str">
            <v>SAND CASTING</v>
          </cell>
          <cell r="J9">
            <v>667.5</v>
          </cell>
          <cell r="K9" t="str">
            <v>L</v>
          </cell>
          <cell r="L9" t="str">
            <v>65-45-12 DUCTILE IRON PER ASTM A536</v>
          </cell>
          <cell r="M9" t="str">
            <v>Ingot &amp; Bales</v>
          </cell>
          <cell r="N9">
            <v>3380</v>
          </cell>
          <cell r="O9">
            <v>114.14</v>
          </cell>
          <cell r="P9">
            <v>128.19999999999999</v>
          </cell>
          <cell r="Q9">
            <v>54</v>
          </cell>
          <cell r="R9">
            <v>0</v>
          </cell>
          <cell r="S9" t="str">
            <v>Green Sand Casting</v>
          </cell>
          <cell r="T9" t="str">
            <v>CNC VMC Milling</v>
          </cell>
          <cell r="U9" t="str">
            <v>CNC VTL</v>
          </cell>
          <cell r="V9" t="str">
            <v>Lapping</v>
          </cell>
          <cell r="Y9" t="str">
            <v>Cleaning</v>
          </cell>
          <cell r="AA9" t="str">
            <v>Critical</v>
          </cell>
        </row>
        <row r="10">
          <cell r="B10">
            <v>6</v>
          </cell>
          <cell r="C10">
            <v>4.2</v>
          </cell>
          <cell r="D10" t="str">
            <v>5992792-001</v>
          </cell>
          <cell r="E10" t="str">
            <v>SEAT</v>
          </cell>
          <cell r="F10" t="str">
            <v>MAKE</v>
          </cell>
          <cell r="H10">
            <v>1</v>
          </cell>
          <cell r="I10" t="str">
            <v>MACHINED</v>
          </cell>
          <cell r="J10">
            <v>222.5</v>
          </cell>
          <cell r="K10" t="str">
            <v>L</v>
          </cell>
          <cell r="L10" t="str">
            <v>VS-1-1-7-18 FATIGUE PROOF</v>
          </cell>
          <cell r="M10" t="str">
            <v>Round Bar Stock</v>
          </cell>
          <cell r="N10">
            <v>0</v>
          </cell>
          <cell r="O10">
            <v>5.206999999999999</v>
          </cell>
          <cell r="P10">
            <v>12.98194</v>
          </cell>
          <cell r="Q10">
            <v>0</v>
          </cell>
          <cell r="R10">
            <v>0</v>
          </cell>
          <cell r="S10" t="str">
            <v>CNC Turning</v>
          </cell>
          <cell r="T10" t="str">
            <v>Centerless Grinding</v>
          </cell>
          <cell r="U10" t="str">
            <v>Suface Grinding</v>
          </cell>
          <cell r="AA10" t="str">
            <v>Critical</v>
          </cell>
          <cell r="AB10" t="str">
            <v>Not removed</v>
          </cell>
        </row>
        <row r="11">
          <cell r="B11">
            <v>7</v>
          </cell>
          <cell r="C11">
            <v>4.3</v>
          </cell>
          <cell r="D11" t="str">
            <v>6026930-001</v>
          </cell>
          <cell r="E11" t="str">
            <v>POPPET</v>
          </cell>
          <cell r="F11" t="str">
            <v>MAKE</v>
          </cell>
          <cell r="H11">
            <v>1</v>
          </cell>
          <cell r="I11" t="str">
            <v>SHEET METAL</v>
          </cell>
          <cell r="J11">
            <v>222.5</v>
          </cell>
          <cell r="K11" t="str">
            <v>NA</v>
          </cell>
          <cell r="L11" t="str">
            <v>VS-1-1-7-19 CARBON SPRING STEEL</v>
          </cell>
          <cell r="M11" t="str">
            <v>??</v>
          </cell>
          <cell r="N11">
            <v>0</v>
          </cell>
          <cell r="O11">
            <v>0</v>
          </cell>
          <cell r="P11">
            <v>12.242799999999999</v>
          </cell>
          <cell r="Q11">
            <v>0</v>
          </cell>
          <cell r="R11">
            <v>1.016</v>
          </cell>
          <cell r="AB11" t="str">
            <v>Not removed</v>
          </cell>
        </row>
        <row r="12">
          <cell r="B12">
            <v>10</v>
          </cell>
          <cell r="C12">
            <v>6</v>
          </cell>
          <cell r="D12" t="str">
            <v>6029630-002</v>
          </cell>
          <cell r="E12" t="str">
            <v>Valve Plate LH</v>
          </cell>
          <cell r="F12" t="str">
            <v>MAKE</v>
          </cell>
          <cell r="H12">
            <v>1</v>
          </cell>
          <cell r="I12" t="str">
            <v>SHEET METAL</v>
          </cell>
          <cell r="J12">
            <v>222.5</v>
          </cell>
          <cell r="L12" t="str">
            <v>VS 1-1-2-28</v>
          </cell>
          <cell r="M12" t="str">
            <v>Flat CR Sheet</v>
          </cell>
          <cell r="N12">
            <v>122</v>
          </cell>
          <cell r="O12">
            <v>0</v>
          </cell>
          <cell r="P12">
            <v>83</v>
          </cell>
          <cell r="Q12">
            <v>5</v>
          </cell>
          <cell r="R12">
            <v>5</v>
          </cell>
          <cell r="S12" t="str">
            <v>Profile Cutting ( Abrasive Water Jet? )</v>
          </cell>
          <cell r="T12" t="str">
            <v>Bronze Metal Spraying</v>
          </cell>
          <cell r="U12" t="str">
            <v>CNC Turning</v>
          </cell>
          <cell r="V12" t="str">
            <v>CNC VMC Milling</v>
          </cell>
          <cell r="W12" t="str">
            <v>Lapping</v>
          </cell>
          <cell r="Y12" t="str">
            <v>Polishing (Emery)</v>
          </cell>
          <cell r="AA12" t="str">
            <v>Critical</v>
          </cell>
        </row>
        <row r="13">
          <cell r="B13">
            <v>12</v>
          </cell>
          <cell r="C13">
            <v>8</v>
          </cell>
          <cell r="D13" t="str">
            <v>6026919-002</v>
          </cell>
          <cell r="E13" t="str">
            <v xml:space="preserve">Housing </v>
          </cell>
          <cell r="F13" t="str">
            <v>MAKE</v>
          </cell>
          <cell r="H13">
            <v>1</v>
          </cell>
          <cell r="I13" t="str">
            <v>SAND CASTING</v>
          </cell>
          <cell r="J13">
            <v>667.5</v>
          </cell>
          <cell r="K13" t="str">
            <v>NA</v>
          </cell>
          <cell r="L13" t="str">
            <v>(CAST IRON PER SPEC 209-19C)</v>
          </cell>
          <cell r="M13" t="str">
            <v>Ingot &amp; Bales</v>
          </cell>
          <cell r="N13">
            <v>7436</v>
          </cell>
          <cell r="O13">
            <v>172</v>
          </cell>
          <cell r="P13">
            <v>173.54</v>
          </cell>
          <cell r="Q13">
            <v>144.5</v>
          </cell>
          <cell r="R13">
            <v>0</v>
          </cell>
          <cell r="S13" t="str">
            <v>Green Sand Casting</v>
          </cell>
          <cell r="T13" t="str">
            <v>CNC VMC Milling</v>
          </cell>
          <cell r="U13" t="str">
            <v>CNC VTL</v>
          </cell>
          <cell r="V13" t="str">
            <v>Lapping</v>
          </cell>
          <cell r="Y13" t="str">
            <v>Cleaning</v>
          </cell>
          <cell r="AA13" t="str">
            <v>Magnetism / Critical</v>
          </cell>
        </row>
        <row r="14">
          <cell r="B14">
            <v>15</v>
          </cell>
          <cell r="C14">
            <v>11</v>
          </cell>
          <cell r="D14" t="str">
            <v>6026924-001</v>
          </cell>
          <cell r="E14" t="str">
            <v>Bearing (Liner) - Swash Plate</v>
          </cell>
          <cell r="F14" t="str">
            <v>MAKE</v>
          </cell>
          <cell r="H14">
            <v>2</v>
          </cell>
          <cell r="I14" t="str">
            <v>SHEET METAL</v>
          </cell>
          <cell r="J14">
            <v>445</v>
          </cell>
          <cell r="L14" t="str">
            <v>Unindented HI Bearing Material Steel Backed</v>
          </cell>
          <cell r="M14" t="str">
            <v>CR Sheet</v>
          </cell>
          <cell r="N14">
            <v>0</v>
          </cell>
          <cell r="O14">
            <v>71.489999999999995</v>
          </cell>
          <cell r="P14">
            <v>22</v>
          </cell>
          <cell r="Q14">
            <v>30</v>
          </cell>
          <cell r="R14">
            <v>2.4500000000000002</v>
          </cell>
          <cell r="S14" t="str">
            <v>Press Tool Operations</v>
          </cell>
          <cell r="T14" t="str">
            <v>Drilling / CSK</v>
          </cell>
          <cell r="AB14" t="str">
            <v>Not removed</v>
          </cell>
        </row>
        <row r="15">
          <cell r="B15">
            <v>18</v>
          </cell>
          <cell r="C15">
            <v>14</v>
          </cell>
          <cell r="D15" t="str">
            <v>6026917-001</v>
          </cell>
          <cell r="E15" t="str">
            <v>Swash Plate</v>
          </cell>
          <cell r="F15" t="str">
            <v>MAKE</v>
          </cell>
          <cell r="H15">
            <v>1</v>
          </cell>
          <cell r="I15" t="str">
            <v>FORGING</v>
          </cell>
          <cell r="J15">
            <v>667.5</v>
          </cell>
          <cell r="K15" t="str">
            <v>SA</v>
          </cell>
          <cell r="L15" t="str">
            <v>8620 STEEL PER ASTM A788/A29</v>
          </cell>
          <cell r="M15" t="str">
            <v>Billet</v>
          </cell>
          <cell r="N15">
            <v>1032.5</v>
          </cell>
          <cell r="O15">
            <v>0</v>
          </cell>
          <cell r="P15">
            <v>0</v>
          </cell>
          <cell r="Q15" t="str">
            <v>111 x 97.68 x 29.67</v>
          </cell>
          <cell r="R15">
            <v>0</v>
          </cell>
          <cell r="S15" t="str">
            <v>Closed Die Forging</v>
          </cell>
          <cell r="T15" t="str">
            <v>VMC  Milling</v>
          </cell>
          <cell r="U15" t="str">
            <v>Case Carburize and Heat treat</v>
          </cell>
          <cell r="V15" t="str">
            <v>Suface Grinding / Profile Grinding</v>
          </cell>
          <cell r="W15" t="str">
            <v>Super Drilling</v>
          </cell>
          <cell r="X15" t="str">
            <v>Lapping</v>
          </cell>
          <cell r="Y15" t="str">
            <v>Cleaning</v>
          </cell>
          <cell r="AA15" t="str">
            <v>Critical</v>
          </cell>
        </row>
        <row r="16">
          <cell r="B16">
            <v>19</v>
          </cell>
          <cell r="C16">
            <v>15</v>
          </cell>
          <cell r="D16" t="str">
            <v>6026982-001</v>
          </cell>
          <cell r="E16" t="str">
            <v>Rotating Group S/A</v>
          </cell>
          <cell r="F16" t="str">
            <v>MAKE</v>
          </cell>
          <cell r="H16">
            <v>1</v>
          </cell>
          <cell r="I16" t="str">
            <v>SUB ASSEMBLY</v>
          </cell>
          <cell r="J16">
            <v>222.5</v>
          </cell>
          <cell r="L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</row>
        <row r="17">
          <cell r="B17">
            <v>20</v>
          </cell>
          <cell r="C17">
            <v>15.1</v>
          </cell>
          <cell r="D17">
            <v>943908</v>
          </cell>
          <cell r="E17" t="str">
            <v>CYLIDER BLOCK 28 cc</v>
          </cell>
          <cell r="F17" t="str">
            <v>MAKE</v>
          </cell>
          <cell r="H17">
            <v>1</v>
          </cell>
          <cell r="I17" t="str">
            <v>MACHINED</v>
          </cell>
          <cell r="J17">
            <v>222.5</v>
          </cell>
          <cell r="K17" t="str">
            <v>NA</v>
          </cell>
          <cell r="L17" t="str">
            <v xml:space="preserve">DUCTILE IRON 100/70/02 OR 100/70/03 - </v>
          </cell>
          <cell r="M17" t="str">
            <v>Continuous Cast Bar</v>
          </cell>
          <cell r="N17">
            <v>1171.5</v>
          </cell>
          <cell r="O17">
            <v>65.5</v>
          </cell>
          <cell r="P17">
            <v>85.5</v>
          </cell>
          <cell r="Q17">
            <v>0</v>
          </cell>
          <cell r="R17">
            <v>0</v>
          </cell>
          <cell r="S17" t="str">
            <v>CNC Turning</v>
          </cell>
          <cell r="T17" t="str">
            <v>CNC VMC Boring</v>
          </cell>
          <cell r="U17" t="str">
            <v>Internal Splines Broaching</v>
          </cell>
          <cell r="V17" t="str">
            <v>NiTempering  VS-1-3 -2-72  &amp; VS-1-3-5-26</v>
          </cell>
          <cell r="W17" t="str">
            <v>Surface Grinding</v>
          </cell>
          <cell r="X17" t="str">
            <v>Lapping</v>
          </cell>
          <cell r="Y17" t="str">
            <v>Cleaning</v>
          </cell>
          <cell r="AA17" t="str">
            <v>Critical</v>
          </cell>
        </row>
        <row r="18">
          <cell r="B18">
            <v>21</v>
          </cell>
          <cell r="C18">
            <v>15.2</v>
          </cell>
          <cell r="D18">
            <v>943909</v>
          </cell>
          <cell r="E18" t="str">
            <v>Shoe Retainer Plate</v>
          </cell>
          <cell r="F18" t="str">
            <v>MAKE</v>
          </cell>
          <cell r="H18">
            <v>1</v>
          </cell>
          <cell r="I18" t="str">
            <v>SINTERING</v>
          </cell>
          <cell r="J18">
            <v>2670</v>
          </cell>
          <cell r="K18" t="str">
            <v>NA</v>
          </cell>
          <cell r="L18" t="str">
            <v>Iron Powder (Copper Infiltrated)</v>
          </cell>
          <cell r="M18" t="str">
            <v>Powder</v>
          </cell>
          <cell r="N18">
            <v>98.5</v>
          </cell>
          <cell r="O18">
            <v>0</v>
          </cell>
          <cell r="P18">
            <v>0</v>
          </cell>
          <cell r="Q18" t="str">
            <v>83.97/98 x 10.2 x 30.5</v>
          </cell>
          <cell r="R18">
            <v>0</v>
          </cell>
          <cell r="S18" t="str">
            <v>PM Sintering</v>
          </cell>
          <cell r="T18" t="str">
            <v>Internal Spherical Seat Grinding</v>
          </cell>
          <cell r="U18" t="str">
            <v>Polishing</v>
          </cell>
          <cell r="V18" t="str">
            <v>NiTempering  VS-1-3 -2-72  &amp; VS-1-3-5-261</v>
          </cell>
        </row>
        <row r="19">
          <cell r="B19">
            <v>22</v>
          </cell>
          <cell r="C19">
            <v>15.3</v>
          </cell>
          <cell r="D19">
            <v>943910</v>
          </cell>
          <cell r="E19" t="str">
            <v>WASHER SPERICAL</v>
          </cell>
          <cell r="F19" t="str">
            <v>MAKE</v>
          </cell>
          <cell r="H19">
            <v>1</v>
          </cell>
          <cell r="I19" t="str">
            <v>SINTERING</v>
          </cell>
          <cell r="J19">
            <v>2670</v>
          </cell>
          <cell r="K19" t="str">
            <v>SA</v>
          </cell>
          <cell r="L19" t="str">
            <v>Iron Powder</v>
          </cell>
          <cell r="M19" t="str">
            <v>Powder</v>
          </cell>
          <cell r="N19">
            <v>17.5</v>
          </cell>
          <cell r="O19">
            <v>0</v>
          </cell>
          <cell r="P19">
            <v>0</v>
          </cell>
          <cell r="Q19" t="str">
            <v>35.26 x  x 7.12</v>
          </cell>
          <cell r="R19">
            <v>0</v>
          </cell>
          <cell r="S19" t="str">
            <v>PM Sintering</v>
          </cell>
          <cell r="T19" t="str">
            <v>External Spherical Seat Grinding</v>
          </cell>
          <cell r="U19" t="str">
            <v>Polishing</v>
          </cell>
          <cell r="V19" t="str">
            <v>Heat treat RB 105-115 per VS 2-3-2-25</v>
          </cell>
        </row>
        <row r="20">
          <cell r="B20">
            <v>23</v>
          </cell>
          <cell r="C20">
            <v>15.4</v>
          </cell>
          <cell r="D20" t="str">
            <v>6026928-001</v>
          </cell>
          <cell r="E20" t="str">
            <v>Piston &amp; Shoe</v>
          </cell>
          <cell r="F20" t="str">
            <v>MAKE</v>
          </cell>
          <cell r="H20">
            <v>1</v>
          </cell>
          <cell r="I20" t="str">
            <v>SUB ASSEMBLY</v>
          </cell>
          <cell r="J20">
            <v>222.5</v>
          </cell>
          <cell r="L20">
            <v>0</v>
          </cell>
          <cell r="N20">
            <v>46.5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Z20" t="str">
            <v>Crimping</v>
          </cell>
        </row>
        <row r="21">
          <cell r="B21">
            <v>24</v>
          </cell>
          <cell r="C21" t="str">
            <v>15.4.1</v>
          </cell>
          <cell r="D21" t="str">
            <v>6029038-001</v>
          </cell>
          <cell r="E21" t="str">
            <v>Piston</v>
          </cell>
          <cell r="F21" t="str">
            <v>MAKE</v>
          </cell>
          <cell r="H21">
            <v>9</v>
          </cell>
          <cell r="I21" t="str">
            <v>MACHINED</v>
          </cell>
          <cell r="J21">
            <v>2002.5</v>
          </cell>
          <cell r="L21" t="str">
            <v>8620 ASTM A29 FINE GRAIN 5-8 inclusive</v>
          </cell>
          <cell r="M21" t="str">
            <v>Round Bar Stock</v>
          </cell>
          <cell r="N21">
            <v>34</v>
          </cell>
          <cell r="O21">
            <v>50.708500000000001</v>
          </cell>
          <cell r="P21">
            <v>14.497999999999999</v>
          </cell>
          <cell r="Q21">
            <v>0</v>
          </cell>
          <cell r="R21">
            <v>0</v>
          </cell>
          <cell r="S21" t="str">
            <v>CNC Turning</v>
          </cell>
          <cell r="T21" t="str">
            <v>Cylindrical Grinding</v>
          </cell>
          <cell r="U21" t="str">
            <v>Case Caburising &amp; Hardening</v>
          </cell>
          <cell r="V21" t="str">
            <v>Polishing / Super finishing</v>
          </cell>
          <cell r="Y21" t="str">
            <v>Cleaning</v>
          </cell>
          <cell r="AA21" t="str">
            <v>Critical</v>
          </cell>
        </row>
        <row r="22">
          <cell r="B22">
            <v>25</v>
          </cell>
          <cell r="C22" t="str">
            <v>15.4.2</v>
          </cell>
          <cell r="D22" t="str">
            <v>6026685-009</v>
          </cell>
          <cell r="E22" t="str">
            <v xml:space="preserve">Shoe Piston </v>
          </cell>
          <cell r="F22" t="str">
            <v>MAKE</v>
          </cell>
          <cell r="H22">
            <v>9</v>
          </cell>
          <cell r="I22" t="str">
            <v>MACHINED</v>
          </cell>
          <cell r="J22">
            <v>2002.5</v>
          </cell>
          <cell r="K22" t="str">
            <v>L</v>
          </cell>
          <cell r="L22" t="str">
            <v>C6730 Bronze Half Hard as per HES - 02004</v>
          </cell>
          <cell r="M22" t="str">
            <v>Round Bar Stock</v>
          </cell>
          <cell r="N22">
            <v>15</v>
          </cell>
          <cell r="O22">
            <v>10.86</v>
          </cell>
          <cell r="P22">
            <v>18.850000000000001</v>
          </cell>
          <cell r="Q22">
            <v>0</v>
          </cell>
          <cell r="R22">
            <v>0</v>
          </cell>
          <cell r="S22" t="str">
            <v>CNC Turning</v>
          </cell>
          <cell r="T22" t="str">
            <v xml:space="preserve">Polishing </v>
          </cell>
          <cell r="Y22" t="str">
            <v>Cleaning</v>
          </cell>
          <cell r="AA22" t="str">
            <v>Critical</v>
          </cell>
        </row>
        <row r="23">
          <cell r="B23">
            <v>27</v>
          </cell>
          <cell r="C23">
            <v>15.6</v>
          </cell>
          <cell r="D23">
            <v>997139</v>
          </cell>
          <cell r="E23" t="str">
            <v>WASHER OUTER SPRING</v>
          </cell>
          <cell r="F23" t="str">
            <v>MAKE</v>
          </cell>
          <cell r="H23">
            <v>1</v>
          </cell>
          <cell r="I23" t="str">
            <v>MACHINED</v>
          </cell>
          <cell r="J23">
            <v>222.5</v>
          </cell>
          <cell r="K23" t="str">
            <v>L</v>
          </cell>
          <cell r="L23" t="str">
            <v>AISI 12L14 -Carbon steel commercial Quality</v>
          </cell>
          <cell r="M23" t="str">
            <v>Round Bar Stock</v>
          </cell>
          <cell r="N23">
            <v>11.5</v>
          </cell>
          <cell r="O23">
            <v>0</v>
          </cell>
          <cell r="P23">
            <v>0</v>
          </cell>
          <cell r="Q23" t="str">
            <v>39.77 x 33.2 x 5.07</v>
          </cell>
          <cell r="R23">
            <v>0</v>
          </cell>
          <cell r="S23" t="str">
            <v>CNC Turning</v>
          </cell>
          <cell r="U23" t="str">
            <v>Carbonitride VS 1-3-2-64</v>
          </cell>
        </row>
        <row r="24">
          <cell r="B24">
            <v>28</v>
          </cell>
          <cell r="C24">
            <v>15.7</v>
          </cell>
          <cell r="D24">
            <v>996801</v>
          </cell>
          <cell r="E24" t="str">
            <v>WASHER  SPRING</v>
          </cell>
          <cell r="F24" t="str">
            <v>MAKE</v>
          </cell>
          <cell r="H24">
            <v>1</v>
          </cell>
          <cell r="I24" t="str">
            <v>MACHINED</v>
          </cell>
          <cell r="J24">
            <v>222.5</v>
          </cell>
          <cell r="K24" t="str">
            <v>L</v>
          </cell>
          <cell r="L24" t="str">
            <v>AISI 12L14 -Carbon steel commercial Quality</v>
          </cell>
          <cell r="M24" t="str">
            <v>Round Bar Stock</v>
          </cell>
          <cell r="N24">
            <v>8.8000000000000007</v>
          </cell>
          <cell r="O24">
            <v>0</v>
          </cell>
          <cell r="P24">
            <v>0</v>
          </cell>
          <cell r="Q24" t="str">
            <v>39.77 x 33.2 x 5.07</v>
          </cell>
          <cell r="R24">
            <v>0</v>
          </cell>
          <cell r="S24" t="str">
            <v>CNC Turning</v>
          </cell>
          <cell r="U24" t="str">
            <v>Carbonitride VS 1-3-2-64</v>
          </cell>
        </row>
        <row r="25">
          <cell r="B25">
            <v>31</v>
          </cell>
          <cell r="C25">
            <v>15.1</v>
          </cell>
          <cell r="D25" t="str">
            <v>4992733-001</v>
          </cell>
          <cell r="E25" t="str">
            <v>PIN STRAIGHT HEADLESS</v>
          </cell>
          <cell r="F25" t="str">
            <v>MAKE</v>
          </cell>
          <cell r="H25">
            <v>3</v>
          </cell>
          <cell r="I25" t="str">
            <v>MACHINED</v>
          </cell>
          <cell r="J25">
            <v>667.5</v>
          </cell>
          <cell r="L25" t="str">
            <v>AISI C-1212,C1213</v>
          </cell>
          <cell r="N25">
            <v>0.83333333333333337</v>
          </cell>
          <cell r="O25">
            <v>0</v>
          </cell>
          <cell r="P25">
            <v>0</v>
          </cell>
          <cell r="Q25" t="str">
            <v>2.39 x  x 25</v>
          </cell>
          <cell r="R25">
            <v>0</v>
          </cell>
        </row>
        <row r="26">
          <cell r="B26">
            <v>36</v>
          </cell>
          <cell r="C26">
            <v>19.100000000000001</v>
          </cell>
          <cell r="D26">
            <v>934256</v>
          </cell>
          <cell r="E26" t="str">
            <v>Compensator Body</v>
          </cell>
          <cell r="F26" t="str">
            <v>MAKE</v>
          </cell>
          <cell r="H26">
            <v>1</v>
          </cell>
          <cell r="I26" t="str">
            <v>SAND CASTING</v>
          </cell>
          <cell r="J26">
            <v>2670</v>
          </cell>
          <cell r="K26" t="str">
            <v>L</v>
          </cell>
          <cell r="L26" t="str">
            <v>Cast iron grey low Alloy</v>
          </cell>
          <cell r="M26" t="str">
            <v>Ingot &amp; Bales</v>
          </cell>
          <cell r="N26">
            <v>507.5</v>
          </cell>
          <cell r="O26">
            <v>116.5</v>
          </cell>
          <cell r="P26">
            <v>43.5</v>
          </cell>
          <cell r="Q26">
            <v>30.7</v>
          </cell>
          <cell r="R26">
            <v>0</v>
          </cell>
          <cell r="S26" t="str">
            <v>Green Sand Casting</v>
          </cell>
          <cell r="T26" t="str">
            <v>CNC Turning</v>
          </cell>
          <cell r="U26" t="str">
            <v>CNC VMC Milling</v>
          </cell>
          <cell r="AA26" t="str">
            <v>Critical</v>
          </cell>
        </row>
        <row r="27">
          <cell r="B27">
            <v>37</v>
          </cell>
          <cell r="C27">
            <v>19.2</v>
          </cell>
          <cell r="D27">
            <v>913989</v>
          </cell>
          <cell r="E27" t="str">
            <v>PLUG-COMPENSATOR</v>
          </cell>
          <cell r="F27" t="str">
            <v>MAKE</v>
          </cell>
          <cell r="H27">
            <v>1</v>
          </cell>
          <cell r="I27" t="str">
            <v>MACHINED</v>
          </cell>
          <cell r="J27">
            <v>222.5</v>
          </cell>
          <cell r="K27" t="str">
            <v>L</v>
          </cell>
          <cell r="L27" t="str">
            <v>320132 Drg required</v>
          </cell>
          <cell r="N27">
            <v>0</v>
          </cell>
          <cell r="O27">
            <v>0</v>
          </cell>
          <cell r="P27">
            <v>0</v>
          </cell>
          <cell r="Q27" t="str">
            <v>25.51 A/F x 29 A/C x 23.84</v>
          </cell>
          <cell r="R27">
            <v>0</v>
          </cell>
        </row>
        <row r="28">
          <cell r="B28">
            <v>40</v>
          </cell>
          <cell r="C28">
            <v>19.5</v>
          </cell>
          <cell r="D28">
            <v>234204</v>
          </cell>
          <cell r="E28" t="str">
            <v>SEAT-SPRING COMPENSATOR</v>
          </cell>
          <cell r="F28" t="str">
            <v>MAKE</v>
          </cell>
          <cell r="H28">
            <v>2</v>
          </cell>
          <cell r="I28" t="str">
            <v>MACHINED</v>
          </cell>
          <cell r="J28">
            <v>445</v>
          </cell>
          <cell r="L28" t="str">
            <v>SAE 4037 Steel or 4140</v>
          </cell>
          <cell r="M28" t="str">
            <v>Round Bar Stock</v>
          </cell>
          <cell r="N28">
            <v>7.2</v>
          </cell>
          <cell r="O28">
            <v>0</v>
          </cell>
          <cell r="P28">
            <v>0</v>
          </cell>
          <cell r="Q28" t="str">
            <v xml:space="preserve">16.6 x  x </v>
          </cell>
          <cell r="R28">
            <v>10.45</v>
          </cell>
          <cell r="S28" t="str">
            <v>CNC Turnmill</v>
          </cell>
        </row>
        <row r="29">
          <cell r="B29">
            <v>43</v>
          </cell>
          <cell r="C29">
            <v>19.8</v>
          </cell>
          <cell r="D29" t="str">
            <v>5991044-001</v>
          </cell>
          <cell r="E29" t="str">
            <v>SPOOL VALVE</v>
          </cell>
          <cell r="F29" t="str">
            <v>MAKE</v>
          </cell>
          <cell r="H29">
            <v>1</v>
          </cell>
          <cell r="I29" t="str">
            <v>MACHINED</v>
          </cell>
          <cell r="J29">
            <v>222.5</v>
          </cell>
          <cell r="K29" t="str">
            <v>L</v>
          </cell>
          <cell r="L29" t="str">
            <v>AISI 4150 VS 1-1-6-32</v>
          </cell>
          <cell r="M29" t="str">
            <v>Round Bar Stock</v>
          </cell>
          <cell r="N29">
            <v>8</v>
          </cell>
          <cell r="O29">
            <v>45</v>
          </cell>
          <cell r="P29">
            <v>6.3380000000000001</v>
          </cell>
          <cell r="Q29">
            <v>0</v>
          </cell>
          <cell r="R29">
            <v>0</v>
          </cell>
          <cell r="S29" t="str">
            <v>CNC Turning</v>
          </cell>
          <cell r="T29" t="str">
            <v>CNC VMC Drilling</v>
          </cell>
          <cell r="U29" t="str">
            <v>Quench &amp; Temper</v>
          </cell>
          <cell r="V29" t="str">
            <v>Cylindrical Grinding</v>
          </cell>
          <cell r="W29" t="str">
            <v>Surface Grinding</v>
          </cell>
          <cell r="AA29" t="str">
            <v>Critical</v>
          </cell>
        </row>
        <row r="30">
          <cell r="B30">
            <v>44</v>
          </cell>
          <cell r="C30">
            <v>19.100000000000001</v>
          </cell>
          <cell r="D30" t="str">
            <v>5993990-001</v>
          </cell>
          <cell r="E30" t="str">
            <v>PLUG</v>
          </cell>
          <cell r="F30" t="str">
            <v>MAKE</v>
          </cell>
          <cell r="H30">
            <v>1</v>
          </cell>
          <cell r="I30" t="str">
            <v>MACHINED</v>
          </cell>
          <cell r="J30">
            <v>222.5</v>
          </cell>
          <cell r="L30" t="str">
            <v>SAE  J514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B31">
            <v>48</v>
          </cell>
          <cell r="C31">
            <v>23</v>
          </cell>
          <cell r="D31" t="str">
            <v>6030097-001</v>
          </cell>
          <cell r="E31" t="str">
            <v>Control Piston</v>
          </cell>
          <cell r="F31" t="str">
            <v>MAKE</v>
          </cell>
          <cell r="H31">
            <v>1</v>
          </cell>
          <cell r="I31" t="str">
            <v>MACHINED</v>
          </cell>
          <cell r="J31">
            <v>222.5</v>
          </cell>
          <cell r="K31" t="str">
            <v>L</v>
          </cell>
          <cell r="L31" t="str">
            <v>8620H STEEL AS PER ASTM A108 OR A304</v>
          </cell>
          <cell r="M31" t="str">
            <v>Round Bar Stock</v>
          </cell>
          <cell r="N31">
            <v>84</v>
          </cell>
          <cell r="O31">
            <v>49.8</v>
          </cell>
          <cell r="P31">
            <v>18.972000000000001</v>
          </cell>
          <cell r="Q31">
            <v>0</v>
          </cell>
          <cell r="R31">
            <v>0</v>
          </cell>
          <cell r="S31" t="str">
            <v>CNC Turning</v>
          </cell>
          <cell r="T31" t="str">
            <v>Carburize &amp; Harden</v>
          </cell>
          <cell r="U31" t="str">
            <v>Super Drilling</v>
          </cell>
          <cell r="V31" t="str">
            <v>Cylindrical Grinding</v>
          </cell>
          <cell r="W31" t="str">
            <v>Surface Grinding</v>
          </cell>
          <cell r="X31" t="str">
            <v>Phosphate coating</v>
          </cell>
          <cell r="Y31" t="str">
            <v>Cleaning</v>
          </cell>
          <cell r="AA31" t="str">
            <v>Critical</v>
          </cell>
        </row>
        <row r="32">
          <cell r="B32">
            <v>49</v>
          </cell>
          <cell r="C32">
            <v>24</v>
          </cell>
          <cell r="D32" t="str">
            <v>16103-312</v>
          </cell>
          <cell r="E32" t="str">
            <v>Fixed Vol Stop Plug</v>
          </cell>
          <cell r="F32" t="str">
            <v>MAKE</v>
          </cell>
          <cell r="H32">
            <v>1</v>
          </cell>
          <cell r="I32" t="str">
            <v>MACHINED</v>
          </cell>
          <cell r="J32">
            <v>222.5</v>
          </cell>
          <cell r="K32" t="str">
            <v>L</v>
          </cell>
          <cell r="L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</row>
        <row r="33">
          <cell r="B33">
            <v>50</v>
          </cell>
          <cell r="C33">
            <v>25</v>
          </cell>
          <cell r="D33" t="str">
            <v>16103-302</v>
          </cell>
          <cell r="E33" t="str">
            <v>Plug</v>
          </cell>
          <cell r="F33" t="str">
            <v>MAKE</v>
          </cell>
          <cell r="H33">
            <v>3</v>
          </cell>
          <cell r="I33" t="str">
            <v>MACHINED</v>
          </cell>
          <cell r="J33">
            <v>667.5</v>
          </cell>
          <cell r="K33" t="str">
            <v>L</v>
          </cell>
          <cell r="L33" t="str">
            <v>EN8</v>
          </cell>
          <cell r="N33">
            <v>3.5</v>
          </cell>
          <cell r="O33">
            <v>0</v>
          </cell>
          <cell r="P33">
            <v>0</v>
          </cell>
          <cell r="Q33" t="str">
            <v xml:space="preserve">11.19 x  x </v>
          </cell>
          <cell r="R33">
            <v>10.46</v>
          </cell>
        </row>
        <row r="34">
          <cell r="B34">
            <v>51</v>
          </cell>
          <cell r="C34">
            <v>26</v>
          </cell>
          <cell r="D34" t="str">
            <v>P1</v>
          </cell>
          <cell r="E34" t="str">
            <v>Plug</v>
          </cell>
          <cell r="F34" t="str">
            <v>MAKE</v>
          </cell>
          <cell r="H34">
            <v>3</v>
          </cell>
          <cell r="I34" t="str">
            <v>MACHINED</v>
          </cell>
          <cell r="J34">
            <v>667.5</v>
          </cell>
          <cell r="K34" t="str">
            <v>L</v>
          </cell>
          <cell r="L34" t="str">
            <v>EN8</v>
          </cell>
          <cell r="N34">
            <v>40.799999999999997</v>
          </cell>
          <cell r="O34">
            <v>0</v>
          </cell>
          <cell r="P34">
            <v>0</v>
          </cell>
          <cell r="Q34" t="str">
            <v xml:space="preserve">11.19 x  x </v>
          </cell>
          <cell r="R34">
            <v>16.5</v>
          </cell>
        </row>
        <row r="35">
          <cell r="B35">
            <v>52</v>
          </cell>
          <cell r="C35">
            <v>27</v>
          </cell>
          <cell r="D35" t="str">
            <v>P2</v>
          </cell>
          <cell r="E35" t="str">
            <v>Plug</v>
          </cell>
          <cell r="F35" t="str">
            <v>MAKE</v>
          </cell>
          <cell r="H35">
            <v>1</v>
          </cell>
          <cell r="I35" t="str">
            <v>MACHINED</v>
          </cell>
          <cell r="J35">
            <v>222.5</v>
          </cell>
          <cell r="K35" t="str">
            <v>L</v>
          </cell>
          <cell r="L35" t="str">
            <v>EN8</v>
          </cell>
          <cell r="N35">
            <v>27.5</v>
          </cell>
          <cell r="O35">
            <v>0</v>
          </cell>
          <cell r="P35">
            <v>0</v>
          </cell>
          <cell r="Q35" t="str">
            <v xml:space="preserve">11.19 x  x </v>
          </cell>
          <cell r="R35">
            <v>15</v>
          </cell>
        </row>
        <row r="36">
          <cell r="B36">
            <v>53</v>
          </cell>
          <cell r="C36">
            <v>28</v>
          </cell>
          <cell r="D36" t="str">
            <v>P3</v>
          </cell>
          <cell r="E36" t="str">
            <v>Plug</v>
          </cell>
          <cell r="F36" t="str">
            <v>MAKE</v>
          </cell>
          <cell r="H36">
            <v>1</v>
          </cell>
          <cell r="I36" t="str">
            <v>MACHINED</v>
          </cell>
          <cell r="J36">
            <v>222.5</v>
          </cell>
          <cell r="K36" t="str">
            <v>NA</v>
          </cell>
          <cell r="L36" t="str">
            <v>EN8</v>
          </cell>
          <cell r="N36">
            <v>7.7</v>
          </cell>
          <cell r="O36">
            <v>0</v>
          </cell>
          <cell r="P36">
            <v>0</v>
          </cell>
          <cell r="Q36" t="str">
            <v xml:space="preserve">11.19 x  x </v>
          </cell>
          <cell r="R36">
            <v>12.21</v>
          </cell>
        </row>
        <row r="37">
          <cell r="B37">
            <v>54</v>
          </cell>
          <cell r="C37">
            <v>29</v>
          </cell>
          <cell r="D37" t="str">
            <v>P4</v>
          </cell>
          <cell r="E37" t="str">
            <v>Black Plastic Cap</v>
          </cell>
          <cell r="F37" t="str">
            <v>MAKE</v>
          </cell>
          <cell r="H37">
            <v>2</v>
          </cell>
          <cell r="I37" t="str">
            <v>PURCHASE</v>
          </cell>
          <cell r="J37">
            <v>445</v>
          </cell>
          <cell r="K37" t="str">
            <v>L</v>
          </cell>
          <cell r="L37">
            <v>0</v>
          </cell>
          <cell r="N37">
            <v>3.85</v>
          </cell>
          <cell r="O37">
            <v>0</v>
          </cell>
          <cell r="P37">
            <v>0</v>
          </cell>
          <cell r="Q37" t="str">
            <v>34.17 x  x 14.5</v>
          </cell>
          <cell r="R37">
            <v>0</v>
          </cell>
        </row>
        <row r="38">
          <cell r="B38">
            <v>55</v>
          </cell>
          <cell r="C38">
            <v>30</v>
          </cell>
          <cell r="D38" t="str">
            <v>P5</v>
          </cell>
          <cell r="E38" t="str">
            <v>Red Plastic Cap - Pune Hyd Big 1-1/2 BSP</v>
          </cell>
          <cell r="F38" t="str">
            <v>MAKE</v>
          </cell>
          <cell r="H38">
            <v>1</v>
          </cell>
          <cell r="I38" t="str">
            <v>PURCHASE</v>
          </cell>
          <cell r="J38">
            <v>222.5</v>
          </cell>
          <cell r="K38" t="str">
            <v>L</v>
          </cell>
          <cell r="L38">
            <v>0</v>
          </cell>
          <cell r="N38">
            <v>9.1</v>
          </cell>
          <cell r="O38">
            <v>0</v>
          </cell>
          <cell r="P38">
            <v>0</v>
          </cell>
          <cell r="Q38" t="str">
            <v>45.5 x  x 20</v>
          </cell>
          <cell r="R38">
            <v>0</v>
          </cell>
        </row>
        <row r="39">
          <cell r="B39">
            <v>56</v>
          </cell>
          <cell r="C39">
            <v>31</v>
          </cell>
          <cell r="D39" t="str">
            <v>P6</v>
          </cell>
          <cell r="E39" t="str">
            <v>Red Plastic Cap -  Small X2612</v>
          </cell>
          <cell r="F39" t="str">
            <v>MAKE</v>
          </cell>
          <cell r="H39">
            <v>1</v>
          </cell>
          <cell r="I39" t="str">
            <v>PURCHASE</v>
          </cell>
          <cell r="J39">
            <v>222.5</v>
          </cell>
          <cell r="K39" t="e">
            <v>#N/A</v>
          </cell>
          <cell r="L39">
            <v>0</v>
          </cell>
          <cell r="N39">
            <v>3</v>
          </cell>
          <cell r="O39">
            <v>0</v>
          </cell>
          <cell r="P39">
            <v>0</v>
          </cell>
          <cell r="Q39" t="str">
            <v>30.6 x  x 11.73</v>
          </cell>
          <cell r="R39">
            <v>0</v>
          </cell>
        </row>
        <row r="40">
          <cell r="B40" t="e">
            <v>#N/A</v>
          </cell>
          <cell r="C40" t="str">
            <v>--</v>
          </cell>
          <cell r="E40" t="str">
            <v>--</v>
          </cell>
          <cell r="F40" t="str">
            <v>--</v>
          </cell>
          <cell r="H40">
            <v>0</v>
          </cell>
          <cell r="I40" t="str">
            <v>--</v>
          </cell>
          <cell r="L40" t="str">
            <v>--</v>
          </cell>
          <cell r="N40" t="str">
            <v>--</v>
          </cell>
        </row>
        <row r="41">
          <cell r="B41" t="e">
            <v>#N/A</v>
          </cell>
          <cell r="C41" t="str">
            <v>--</v>
          </cell>
          <cell r="E41" t="str">
            <v>--</v>
          </cell>
          <cell r="F41" t="str">
            <v>--</v>
          </cell>
          <cell r="H41">
            <v>0</v>
          </cell>
          <cell r="I41" t="str">
            <v>--</v>
          </cell>
          <cell r="L41" t="str">
            <v>--</v>
          </cell>
          <cell r="N41" t="str">
            <v>--</v>
          </cell>
        </row>
        <row r="42">
          <cell r="B42" t="e">
            <v>#N/A</v>
          </cell>
          <cell r="C42" t="str">
            <v>--</v>
          </cell>
          <cell r="E42" t="str">
            <v>--</v>
          </cell>
          <cell r="F42" t="str">
            <v>--</v>
          </cell>
          <cell r="H42">
            <v>0</v>
          </cell>
          <cell r="I42" t="str">
            <v>--</v>
          </cell>
          <cell r="L42" t="str">
            <v>--</v>
          </cell>
          <cell r="N42" t="str">
            <v>--</v>
          </cell>
        </row>
        <row r="43">
          <cell r="B43" t="e">
            <v>#N/A</v>
          </cell>
          <cell r="C43" t="str">
            <v>--</v>
          </cell>
          <cell r="E43" t="str">
            <v>--</v>
          </cell>
          <cell r="F43" t="str">
            <v>--</v>
          </cell>
          <cell r="H43">
            <v>0</v>
          </cell>
          <cell r="I43" t="str">
            <v>--</v>
          </cell>
          <cell r="L43" t="str">
            <v>--</v>
          </cell>
          <cell r="N43" t="str">
            <v>--</v>
          </cell>
        </row>
        <row r="44">
          <cell r="B44" t="e">
            <v>#N/A</v>
          </cell>
          <cell r="C44" t="str">
            <v>--</v>
          </cell>
          <cell r="E44" t="str">
            <v>--</v>
          </cell>
          <cell r="F44" t="str">
            <v>--</v>
          </cell>
          <cell r="H44">
            <v>0</v>
          </cell>
          <cell r="I44" t="str">
            <v>--</v>
          </cell>
          <cell r="L44" t="str">
            <v>--</v>
          </cell>
          <cell r="N44" t="str">
            <v>--</v>
          </cell>
        </row>
        <row r="45">
          <cell r="B45" t="e">
            <v>#N/A</v>
          </cell>
          <cell r="C45" t="str">
            <v>--</v>
          </cell>
          <cell r="E45" t="str">
            <v>--</v>
          </cell>
          <cell r="F45" t="str">
            <v>--</v>
          </cell>
          <cell r="H45">
            <v>0</v>
          </cell>
          <cell r="I45" t="str">
            <v>--</v>
          </cell>
          <cell r="L45" t="str">
            <v>--</v>
          </cell>
          <cell r="N45" t="str">
            <v>--</v>
          </cell>
        </row>
        <row r="46">
          <cell r="B46" t="e">
            <v>#N/A</v>
          </cell>
          <cell r="C46" t="str">
            <v>--</v>
          </cell>
          <cell r="E46" t="str">
            <v>--</v>
          </cell>
          <cell r="F46" t="str">
            <v>--</v>
          </cell>
          <cell r="H46">
            <v>0</v>
          </cell>
          <cell r="I46" t="str">
            <v>--</v>
          </cell>
          <cell r="L46" t="str">
            <v>--</v>
          </cell>
          <cell r="N46" t="str">
            <v>--</v>
          </cell>
        </row>
        <row r="47">
          <cell r="B47" t="e">
            <v>#N/A</v>
          </cell>
          <cell r="C47" t="str">
            <v>--</v>
          </cell>
          <cell r="E47" t="str">
            <v>--</v>
          </cell>
          <cell r="F47" t="str">
            <v>--</v>
          </cell>
          <cell r="H47">
            <v>0</v>
          </cell>
          <cell r="I47" t="str">
            <v>--</v>
          </cell>
          <cell r="L47" t="str">
            <v>--</v>
          </cell>
          <cell r="N47" t="str">
            <v>--</v>
          </cell>
        </row>
        <row r="48">
          <cell r="B48" t="e">
            <v>#N/A</v>
          </cell>
          <cell r="C48" t="str">
            <v>--</v>
          </cell>
          <cell r="E48" t="str">
            <v>--</v>
          </cell>
          <cell r="F48" t="str">
            <v>--</v>
          </cell>
          <cell r="H48">
            <v>0</v>
          </cell>
          <cell r="I48" t="str">
            <v>--</v>
          </cell>
          <cell r="L48" t="str">
            <v>--</v>
          </cell>
          <cell r="N48" t="str">
            <v>--</v>
          </cell>
        </row>
        <row r="49">
          <cell r="B49" t="e">
            <v>#N/A</v>
          </cell>
          <cell r="C49" t="str">
            <v>--</v>
          </cell>
          <cell r="E49" t="str">
            <v>--</v>
          </cell>
          <cell r="F49" t="str">
            <v>--</v>
          </cell>
          <cell r="H49">
            <v>0</v>
          </cell>
          <cell r="I49" t="str">
            <v>--</v>
          </cell>
          <cell r="L49" t="str">
            <v>--</v>
          </cell>
          <cell r="N49" t="str">
            <v>--</v>
          </cell>
        </row>
        <row r="50">
          <cell r="B50" t="e">
            <v>#N/A</v>
          </cell>
          <cell r="C50" t="str">
            <v>--</v>
          </cell>
          <cell r="E50" t="str">
            <v>--</v>
          </cell>
          <cell r="F50" t="str">
            <v>--</v>
          </cell>
          <cell r="H50">
            <v>0</v>
          </cell>
          <cell r="I50" t="str">
            <v>--</v>
          </cell>
          <cell r="L50" t="str">
            <v>--</v>
          </cell>
          <cell r="N50" t="str">
            <v>--</v>
          </cell>
        </row>
        <row r="51">
          <cell r="B51" t="e">
            <v>#N/A</v>
          </cell>
          <cell r="C51" t="str">
            <v>--</v>
          </cell>
          <cell r="E51" t="str">
            <v>--</v>
          </cell>
          <cell r="F51" t="str">
            <v>--</v>
          </cell>
          <cell r="H51">
            <v>0</v>
          </cell>
          <cell r="I51" t="str">
            <v>--</v>
          </cell>
          <cell r="L51" t="str">
            <v>--</v>
          </cell>
          <cell r="N51" t="str">
            <v>--</v>
          </cell>
        </row>
        <row r="52">
          <cell r="B52" t="e">
            <v>#N/A</v>
          </cell>
          <cell r="C52" t="str">
            <v>--</v>
          </cell>
          <cell r="E52" t="str">
            <v>--</v>
          </cell>
          <cell r="F52" t="str">
            <v>--</v>
          </cell>
          <cell r="H52">
            <v>0</v>
          </cell>
          <cell r="I52" t="str">
            <v>--</v>
          </cell>
          <cell r="L52" t="str">
            <v>--</v>
          </cell>
          <cell r="N52" t="str">
            <v>--</v>
          </cell>
        </row>
        <row r="53">
          <cell r="B53" t="e">
            <v>#N/A</v>
          </cell>
          <cell r="C53" t="str">
            <v>--</v>
          </cell>
          <cell r="E53" t="str">
            <v>--</v>
          </cell>
          <cell r="F53" t="str">
            <v>--</v>
          </cell>
          <cell r="H53">
            <v>0</v>
          </cell>
          <cell r="I53" t="str">
            <v>--</v>
          </cell>
          <cell r="L53" t="str">
            <v>--</v>
          </cell>
          <cell r="N53" t="str">
            <v>--</v>
          </cell>
        </row>
        <row r="54">
          <cell r="B54" t="e">
            <v>#N/A</v>
          </cell>
          <cell r="C54" t="str">
            <v>--</v>
          </cell>
          <cell r="E54" t="str">
            <v>--</v>
          </cell>
          <cell r="F54" t="str">
            <v>--</v>
          </cell>
          <cell r="H54">
            <v>0</v>
          </cell>
          <cell r="I54" t="str">
            <v>--</v>
          </cell>
          <cell r="L54" t="str">
            <v>--</v>
          </cell>
          <cell r="N54" t="str">
            <v>--</v>
          </cell>
        </row>
        <row r="55">
          <cell r="B55" t="e">
            <v>#N/A</v>
          </cell>
          <cell r="C55" t="str">
            <v>--</v>
          </cell>
          <cell r="E55" t="str">
            <v>--</v>
          </cell>
          <cell r="F55" t="str">
            <v>--</v>
          </cell>
          <cell r="H55">
            <v>0</v>
          </cell>
          <cell r="I55" t="str">
            <v>--</v>
          </cell>
          <cell r="L55" t="str">
            <v>--</v>
          </cell>
          <cell r="N55" t="str">
            <v>--</v>
          </cell>
        </row>
        <row r="56">
          <cell r="B56" t="e">
            <v>#N/A</v>
          </cell>
          <cell r="C56" t="str">
            <v>--</v>
          </cell>
          <cell r="E56" t="str">
            <v>--</v>
          </cell>
          <cell r="F56" t="str">
            <v>--</v>
          </cell>
          <cell r="H56">
            <v>0</v>
          </cell>
          <cell r="I56" t="str">
            <v>--</v>
          </cell>
          <cell r="L56" t="str">
            <v>--</v>
          </cell>
          <cell r="N56" t="str">
            <v>--</v>
          </cell>
        </row>
        <row r="57">
          <cell r="B57" t="e">
            <v>#N/A</v>
          </cell>
          <cell r="C57" t="str">
            <v>--</v>
          </cell>
          <cell r="E57" t="str">
            <v>--</v>
          </cell>
          <cell r="F57" t="str">
            <v>--</v>
          </cell>
          <cell r="H57">
            <v>0</v>
          </cell>
          <cell r="I57" t="str">
            <v>--</v>
          </cell>
          <cell r="L57" t="str">
            <v>--</v>
          </cell>
          <cell r="N57" t="str">
            <v>--</v>
          </cell>
        </row>
        <row r="58">
          <cell r="B58" t="e">
            <v>#N/A</v>
          </cell>
          <cell r="C58" t="str">
            <v>--</v>
          </cell>
          <cell r="E58" t="str">
            <v>--</v>
          </cell>
          <cell r="F58" t="str">
            <v>--</v>
          </cell>
          <cell r="H58">
            <v>0</v>
          </cell>
          <cell r="I58" t="str">
            <v>--</v>
          </cell>
          <cell r="L58" t="str">
            <v>--</v>
          </cell>
          <cell r="N58" t="str">
            <v>--</v>
          </cell>
        </row>
        <row r="59">
          <cell r="B59" t="e">
            <v>#N/A</v>
          </cell>
          <cell r="C59" t="str">
            <v>--</v>
          </cell>
          <cell r="E59" t="str">
            <v>--</v>
          </cell>
          <cell r="F59" t="str">
            <v>--</v>
          </cell>
          <cell r="H59">
            <v>0</v>
          </cell>
          <cell r="I59" t="str">
            <v>--</v>
          </cell>
          <cell r="L59" t="str">
            <v>--</v>
          </cell>
          <cell r="N59" t="str">
            <v>--</v>
          </cell>
        </row>
        <row r="60">
          <cell r="B60" t="e">
            <v>#N/A</v>
          </cell>
          <cell r="C60" t="str">
            <v>--</v>
          </cell>
          <cell r="E60" t="str">
            <v>--</v>
          </cell>
          <cell r="F60" t="str">
            <v>--</v>
          </cell>
          <cell r="H60">
            <v>0</v>
          </cell>
          <cell r="I60" t="str">
            <v>--</v>
          </cell>
          <cell r="L60" t="str">
            <v>--</v>
          </cell>
          <cell r="N60" t="str">
            <v>--</v>
          </cell>
        </row>
        <row r="61">
          <cell r="B61" t="e">
            <v>#N/A</v>
          </cell>
          <cell r="C61" t="str">
            <v>--</v>
          </cell>
          <cell r="E61" t="str">
            <v>--</v>
          </cell>
          <cell r="F61" t="str">
            <v>--</v>
          </cell>
          <cell r="H61">
            <v>0</v>
          </cell>
          <cell r="I61" t="str">
            <v>--</v>
          </cell>
          <cell r="L61" t="str">
            <v>--</v>
          </cell>
          <cell r="N61" t="str">
            <v>--</v>
          </cell>
        </row>
        <row r="62">
          <cell r="B62" t="e">
            <v>#N/A</v>
          </cell>
          <cell r="C62" t="str">
            <v>--</v>
          </cell>
          <cell r="E62" t="str">
            <v>--</v>
          </cell>
          <cell r="F62" t="str">
            <v>--</v>
          </cell>
          <cell r="H62">
            <v>0</v>
          </cell>
          <cell r="I62" t="str">
            <v>--</v>
          </cell>
          <cell r="L62" t="str">
            <v>--</v>
          </cell>
          <cell r="N62" t="str">
            <v>--</v>
          </cell>
        </row>
        <row r="63">
          <cell r="B63" t="e">
            <v>#N/A</v>
          </cell>
          <cell r="C63" t="str">
            <v>--</v>
          </cell>
          <cell r="E63" t="str">
            <v>--</v>
          </cell>
          <cell r="F63" t="str">
            <v>--</v>
          </cell>
          <cell r="H63">
            <v>0</v>
          </cell>
          <cell r="I63" t="str">
            <v>--</v>
          </cell>
          <cell r="L63" t="str">
            <v>--</v>
          </cell>
          <cell r="N63" t="str">
            <v>--</v>
          </cell>
        </row>
        <row r="64">
          <cell r="B64" t="e">
            <v>#N/A</v>
          </cell>
          <cell r="C64" t="str">
            <v>--</v>
          </cell>
          <cell r="E64" t="str">
            <v>--</v>
          </cell>
          <cell r="F64" t="str">
            <v>--</v>
          </cell>
          <cell r="H64">
            <v>0</v>
          </cell>
          <cell r="I64" t="str">
            <v>--</v>
          </cell>
          <cell r="L64" t="str">
            <v>--</v>
          </cell>
          <cell r="N64" t="str">
            <v>--</v>
          </cell>
        </row>
        <row r="65">
          <cell r="B65" t="e">
            <v>#N/A</v>
          </cell>
          <cell r="C65" t="str">
            <v>--</v>
          </cell>
          <cell r="E65" t="str">
            <v>--</v>
          </cell>
          <cell r="F65" t="str">
            <v>--</v>
          </cell>
          <cell r="H65">
            <v>0</v>
          </cell>
          <cell r="I65" t="str">
            <v>--</v>
          </cell>
          <cell r="L65" t="str">
            <v>--</v>
          </cell>
          <cell r="N65" t="str">
            <v>--</v>
          </cell>
        </row>
        <row r="66">
          <cell r="B66" t="e">
            <v>#N/A</v>
          </cell>
          <cell r="C66" t="str">
            <v>--</v>
          </cell>
          <cell r="E66" t="str">
            <v>--</v>
          </cell>
          <cell r="F66" t="str">
            <v>--</v>
          </cell>
          <cell r="H66">
            <v>0</v>
          </cell>
          <cell r="I66" t="str">
            <v>--</v>
          </cell>
          <cell r="L66" t="str">
            <v>--</v>
          </cell>
          <cell r="N66" t="str">
            <v>--</v>
          </cell>
        </row>
        <row r="67">
          <cell r="B67" t="e">
            <v>#N/A</v>
          </cell>
          <cell r="C67" t="str">
            <v>--</v>
          </cell>
          <cell r="E67" t="str">
            <v>--</v>
          </cell>
          <cell r="F67" t="str">
            <v>--</v>
          </cell>
          <cell r="H67">
            <v>0</v>
          </cell>
          <cell r="I67" t="str">
            <v>--</v>
          </cell>
          <cell r="L67" t="str">
            <v>--</v>
          </cell>
          <cell r="N67" t="str">
            <v>--</v>
          </cell>
        </row>
        <row r="68">
          <cell r="B68" t="e">
            <v>#N/A</v>
          </cell>
          <cell r="C68" t="str">
            <v>--</v>
          </cell>
          <cell r="E68" t="str">
            <v>--</v>
          </cell>
          <cell r="F68" t="str">
            <v>--</v>
          </cell>
          <cell r="H68">
            <v>0</v>
          </cell>
          <cell r="I68" t="str">
            <v>--</v>
          </cell>
          <cell r="L68" t="str">
            <v>--</v>
          </cell>
          <cell r="N68" t="str">
            <v>--</v>
          </cell>
        </row>
        <row r="69">
          <cell r="B69" t="e">
            <v>#N/A</v>
          </cell>
          <cell r="C69" t="str">
            <v>--</v>
          </cell>
          <cell r="E69" t="str">
            <v>--</v>
          </cell>
          <cell r="F69" t="str">
            <v>--</v>
          </cell>
          <cell r="H69">
            <v>0</v>
          </cell>
          <cell r="I69" t="str">
            <v>--</v>
          </cell>
          <cell r="L69" t="str">
            <v>--</v>
          </cell>
          <cell r="N69" t="str">
            <v>--</v>
          </cell>
        </row>
        <row r="70">
          <cell r="B70" t="e">
            <v>#N/A</v>
          </cell>
          <cell r="C70" t="str">
            <v>--</v>
          </cell>
          <cell r="E70" t="str">
            <v>--</v>
          </cell>
          <cell r="F70" t="str">
            <v>--</v>
          </cell>
          <cell r="H70">
            <v>0</v>
          </cell>
          <cell r="I70" t="str">
            <v>--</v>
          </cell>
          <cell r="L70" t="str">
            <v>--</v>
          </cell>
          <cell r="N70" t="str">
            <v>--</v>
          </cell>
        </row>
        <row r="71">
          <cell r="B71" t="e">
            <v>#N/A</v>
          </cell>
          <cell r="C71" t="str">
            <v>--</v>
          </cell>
          <cell r="E71" t="str">
            <v>--</v>
          </cell>
          <cell r="F71" t="str">
            <v>--</v>
          </cell>
          <cell r="H71">
            <v>0</v>
          </cell>
          <cell r="I71" t="str">
            <v>--</v>
          </cell>
          <cell r="L71" t="str">
            <v>--</v>
          </cell>
          <cell r="N71" t="str">
            <v>--</v>
          </cell>
        </row>
        <row r="72">
          <cell r="B72" t="e">
            <v>#N/A</v>
          </cell>
          <cell r="C72" t="str">
            <v>--</v>
          </cell>
          <cell r="E72" t="str">
            <v>--</v>
          </cell>
          <cell r="F72" t="str">
            <v>--</v>
          </cell>
          <cell r="H72">
            <v>0</v>
          </cell>
          <cell r="I72" t="str">
            <v>--</v>
          </cell>
          <cell r="L72" t="str">
            <v>--</v>
          </cell>
          <cell r="N72" t="str">
            <v>--</v>
          </cell>
        </row>
        <row r="73">
          <cell r="B73" t="e">
            <v>#N/A</v>
          </cell>
          <cell r="C73" t="str">
            <v>--</v>
          </cell>
          <cell r="E73" t="str">
            <v>--</v>
          </cell>
          <cell r="F73" t="str">
            <v>--</v>
          </cell>
          <cell r="H73">
            <v>0</v>
          </cell>
          <cell r="I73" t="str">
            <v>--</v>
          </cell>
          <cell r="L73" t="str">
            <v>--</v>
          </cell>
          <cell r="N73" t="str">
            <v>--</v>
          </cell>
        </row>
        <row r="74">
          <cell r="B74" t="e">
            <v>#N/A</v>
          </cell>
          <cell r="C74" t="str">
            <v>--</v>
          </cell>
          <cell r="E74" t="str">
            <v>--</v>
          </cell>
          <cell r="F74" t="str">
            <v>--</v>
          </cell>
          <cell r="H74">
            <v>0</v>
          </cell>
          <cell r="I74" t="str">
            <v>--</v>
          </cell>
          <cell r="L74" t="str">
            <v>--</v>
          </cell>
          <cell r="N74" t="str">
            <v>--</v>
          </cell>
        </row>
        <row r="75">
          <cell r="B75" t="e">
            <v>#N/A</v>
          </cell>
          <cell r="C75" t="str">
            <v>--</v>
          </cell>
          <cell r="E75" t="str">
            <v>--</v>
          </cell>
          <cell r="F75" t="str">
            <v>--</v>
          </cell>
          <cell r="H75">
            <v>0</v>
          </cell>
          <cell r="I75" t="str">
            <v>--</v>
          </cell>
          <cell r="L75" t="str">
            <v>--</v>
          </cell>
          <cell r="N75" t="str">
            <v>--</v>
          </cell>
        </row>
        <row r="76">
          <cell r="B76" t="e">
            <v>#N/A</v>
          </cell>
          <cell r="C76" t="str">
            <v>--</v>
          </cell>
          <cell r="E76" t="str">
            <v>--</v>
          </cell>
          <cell r="F76" t="str">
            <v>--</v>
          </cell>
          <cell r="H76">
            <v>0</v>
          </cell>
          <cell r="I76" t="str">
            <v>--</v>
          </cell>
          <cell r="L76" t="str">
            <v>--</v>
          </cell>
          <cell r="N76" t="str">
            <v>--</v>
          </cell>
        </row>
        <row r="77">
          <cell r="B77" t="e">
            <v>#N/A</v>
          </cell>
          <cell r="C77" t="str">
            <v>--</v>
          </cell>
          <cell r="E77" t="str">
            <v>--</v>
          </cell>
          <cell r="F77" t="str">
            <v>--</v>
          </cell>
          <cell r="H77">
            <v>0</v>
          </cell>
          <cell r="I77" t="str">
            <v>--</v>
          </cell>
          <cell r="L77" t="str">
            <v>--</v>
          </cell>
          <cell r="N77" t="str">
            <v>--</v>
          </cell>
        </row>
        <row r="78">
          <cell r="B78" t="e">
            <v>#N/A</v>
          </cell>
          <cell r="C78" t="str">
            <v>--</v>
          </cell>
          <cell r="E78" t="str">
            <v>--</v>
          </cell>
          <cell r="F78" t="str">
            <v>--</v>
          </cell>
          <cell r="H78">
            <v>0</v>
          </cell>
          <cell r="I78" t="str">
            <v>--</v>
          </cell>
          <cell r="L78" t="str">
            <v>--</v>
          </cell>
          <cell r="N78" t="str">
            <v>--</v>
          </cell>
        </row>
        <row r="79">
          <cell r="B79" t="e">
            <v>#N/A</v>
          </cell>
          <cell r="C79" t="str">
            <v>--</v>
          </cell>
          <cell r="E79" t="str">
            <v>--</v>
          </cell>
          <cell r="F79" t="str">
            <v>--</v>
          </cell>
          <cell r="H79">
            <v>0</v>
          </cell>
          <cell r="I79" t="str">
            <v>--</v>
          </cell>
          <cell r="L79" t="str">
            <v>--</v>
          </cell>
          <cell r="N79" t="str">
            <v>--</v>
          </cell>
        </row>
        <row r="80">
          <cell r="B80" t="e">
            <v>#N/A</v>
          </cell>
          <cell r="C80" t="str">
            <v>--</v>
          </cell>
          <cell r="E80" t="str">
            <v>--</v>
          </cell>
          <cell r="F80" t="str">
            <v>--</v>
          </cell>
          <cell r="H80">
            <v>0</v>
          </cell>
          <cell r="I80" t="str">
            <v>--</v>
          </cell>
          <cell r="L80" t="str">
            <v>--</v>
          </cell>
          <cell r="N80" t="str">
            <v>--</v>
          </cell>
        </row>
        <row r="81">
          <cell r="B81" t="e">
            <v>#N/A</v>
          </cell>
          <cell r="C81" t="str">
            <v>--</v>
          </cell>
          <cell r="E81" t="str">
            <v>--</v>
          </cell>
          <cell r="F81" t="str">
            <v>--</v>
          </cell>
          <cell r="H81">
            <v>0</v>
          </cell>
          <cell r="I81" t="str">
            <v>--</v>
          </cell>
          <cell r="L81" t="str">
            <v>--</v>
          </cell>
          <cell r="N81" t="str">
            <v>--</v>
          </cell>
        </row>
        <row r="82">
          <cell r="B82" t="e">
            <v>#N/A</v>
          </cell>
          <cell r="C82" t="str">
            <v>--</v>
          </cell>
          <cell r="E82" t="str">
            <v>--</v>
          </cell>
          <cell r="F82" t="str">
            <v>--</v>
          </cell>
          <cell r="H82">
            <v>0</v>
          </cell>
          <cell r="I82" t="str">
            <v>--</v>
          </cell>
          <cell r="L82" t="str">
            <v>--</v>
          </cell>
          <cell r="N82" t="str">
            <v>--</v>
          </cell>
        </row>
        <row r="83">
          <cell r="B83" t="e">
            <v>#N/A</v>
          </cell>
          <cell r="C83" t="str">
            <v>--</v>
          </cell>
          <cell r="E83" t="str">
            <v>--</v>
          </cell>
          <cell r="F83" t="str">
            <v>--</v>
          </cell>
          <cell r="H83">
            <v>0</v>
          </cell>
          <cell r="I83" t="str">
            <v>--</v>
          </cell>
          <cell r="L83" t="str">
            <v>--</v>
          </cell>
          <cell r="N83" t="str">
            <v>--</v>
          </cell>
        </row>
        <row r="84">
          <cell r="B84" t="e">
            <v>#N/A</v>
          </cell>
          <cell r="C84" t="str">
            <v>--</v>
          </cell>
          <cell r="E84" t="str">
            <v>--</v>
          </cell>
          <cell r="F84" t="str">
            <v>--</v>
          </cell>
          <cell r="H84">
            <v>0</v>
          </cell>
          <cell r="I84" t="str">
            <v>--</v>
          </cell>
          <cell r="L84" t="str">
            <v>--</v>
          </cell>
          <cell r="N84" t="str">
            <v>--</v>
          </cell>
        </row>
        <row r="85">
          <cell r="B85" t="e">
            <v>#N/A</v>
          </cell>
          <cell r="C85" t="str">
            <v>--</v>
          </cell>
          <cell r="E85" t="str">
            <v>--</v>
          </cell>
          <cell r="F85" t="str">
            <v>--</v>
          </cell>
          <cell r="H85">
            <v>0</v>
          </cell>
          <cell r="I85" t="str">
            <v>--</v>
          </cell>
          <cell r="L85" t="str">
            <v>--</v>
          </cell>
          <cell r="N85" t="str">
            <v>--</v>
          </cell>
        </row>
        <row r="86">
          <cell r="B86" t="e">
            <v>#N/A</v>
          </cell>
          <cell r="C86" t="str">
            <v>--</v>
          </cell>
          <cell r="E86" t="str">
            <v>--</v>
          </cell>
          <cell r="F86" t="str">
            <v>--</v>
          </cell>
          <cell r="H86">
            <v>0</v>
          </cell>
          <cell r="I86" t="str">
            <v>--</v>
          </cell>
          <cell r="L86" t="str">
            <v>--</v>
          </cell>
          <cell r="N86" t="str">
            <v>--</v>
          </cell>
        </row>
        <row r="87">
          <cell r="B87" t="e">
            <v>#N/A</v>
          </cell>
          <cell r="C87" t="str">
            <v>--</v>
          </cell>
          <cell r="E87" t="str">
            <v>--</v>
          </cell>
          <cell r="F87" t="str">
            <v>--</v>
          </cell>
          <cell r="H87">
            <v>0</v>
          </cell>
          <cell r="I87" t="str">
            <v>--</v>
          </cell>
          <cell r="L87" t="str">
            <v>--</v>
          </cell>
          <cell r="N87" t="str">
            <v>--</v>
          </cell>
        </row>
        <row r="88">
          <cell r="B88" t="e">
            <v>#N/A</v>
          </cell>
          <cell r="C88" t="str">
            <v>--</v>
          </cell>
          <cell r="E88" t="str">
            <v>--</v>
          </cell>
          <cell r="F88" t="str">
            <v>--</v>
          </cell>
          <cell r="H88">
            <v>0</v>
          </cell>
          <cell r="I88" t="str">
            <v>--</v>
          </cell>
          <cell r="L88" t="str">
            <v>--</v>
          </cell>
          <cell r="N88" t="str">
            <v>--</v>
          </cell>
        </row>
        <row r="89">
          <cell r="B89" t="e">
            <v>#N/A</v>
          </cell>
          <cell r="C89" t="str">
            <v>--</v>
          </cell>
          <cell r="E89" t="str">
            <v>--</v>
          </cell>
          <cell r="F89" t="str">
            <v>--</v>
          </cell>
          <cell r="H89">
            <v>0</v>
          </cell>
          <cell r="I89" t="str">
            <v>--</v>
          </cell>
          <cell r="L89" t="str">
            <v>--</v>
          </cell>
          <cell r="N89" t="str">
            <v>--</v>
          </cell>
        </row>
        <row r="90">
          <cell r="B90" t="e">
            <v>#N/A</v>
          </cell>
          <cell r="C90" t="str">
            <v>--</v>
          </cell>
          <cell r="E90" t="str">
            <v>--</v>
          </cell>
          <cell r="F90" t="str">
            <v>--</v>
          </cell>
          <cell r="H90">
            <v>0</v>
          </cell>
          <cell r="I90" t="str">
            <v>--</v>
          </cell>
          <cell r="L90" t="str">
            <v>--</v>
          </cell>
          <cell r="N90" t="str">
            <v>--</v>
          </cell>
        </row>
        <row r="91">
          <cell r="B91" t="e">
            <v>#N/A</v>
          </cell>
          <cell r="C91" t="str">
            <v>--</v>
          </cell>
          <cell r="E91" t="str">
            <v>--</v>
          </cell>
          <cell r="F91" t="str">
            <v>--</v>
          </cell>
          <cell r="H91">
            <v>0</v>
          </cell>
          <cell r="I91" t="str">
            <v>--</v>
          </cell>
          <cell r="L91" t="str">
            <v>--</v>
          </cell>
          <cell r="N91" t="str">
            <v>--</v>
          </cell>
        </row>
        <row r="92">
          <cell r="B92" t="e">
            <v>#N/A</v>
          </cell>
          <cell r="C92" t="str">
            <v>--</v>
          </cell>
          <cell r="E92" t="str">
            <v>--</v>
          </cell>
          <cell r="F92" t="str">
            <v>--</v>
          </cell>
          <cell r="H92">
            <v>0</v>
          </cell>
          <cell r="I92" t="str">
            <v>--</v>
          </cell>
          <cell r="L92" t="str">
            <v>--</v>
          </cell>
          <cell r="N92" t="str">
            <v>--</v>
          </cell>
        </row>
        <row r="93">
          <cell r="B93" t="e">
            <v>#N/A</v>
          </cell>
          <cell r="C93" t="str">
            <v>--</v>
          </cell>
          <cell r="E93" t="str">
            <v>--</v>
          </cell>
          <cell r="F93" t="str">
            <v>--</v>
          </cell>
          <cell r="H93">
            <v>0</v>
          </cell>
          <cell r="I93" t="str">
            <v>--</v>
          </cell>
          <cell r="L93" t="str">
            <v>--</v>
          </cell>
          <cell r="N93" t="str">
            <v>--</v>
          </cell>
        </row>
        <row r="94">
          <cell r="B94" t="e">
            <v>#N/A</v>
          </cell>
          <cell r="C94" t="str">
            <v>--</v>
          </cell>
          <cell r="E94" t="str">
            <v>--</v>
          </cell>
          <cell r="F94" t="str">
            <v>--</v>
          </cell>
          <cell r="H94">
            <v>0</v>
          </cell>
          <cell r="I94" t="str">
            <v>--</v>
          </cell>
          <cell r="L94" t="str">
            <v>--</v>
          </cell>
          <cell r="N94" t="str">
            <v>--</v>
          </cell>
        </row>
        <row r="95">
          <cell r="B95" t="e">
            <v>#N/A</v>
          </cell>
          <cell r="C95" t="str">
            <v>--</v>
          </cell>
          <cell r="E95" t="str">
            <v>--</v>
          </cell>
          <cell r="F95" t="str">
            <v>--</v>
          </cell>
          <cell r="H95">
            <v>0</v>
          </cell>
          <cell r="I95" t="str">
            <v>--</v>
          </cell>
          <cell r="L95" t="str">
            <v>--</v>
          </cell>
          <cell r="N95" t="str">
            <v>--</v>
          </cell>
        </row>
        <row r="96">
          <cell r="B96" t="e">
            <v>#N/A</v>
          </cell>
          <cell r="C96" t="str">
            <v>--</v>
          </cell>
          <cell r="E96" t="str">
            <v>--</v>
          </cell>
          <cell r="F96" t="str">
            <v>--</v>
          </cell>
          <cell r="H96">
            <v>0</v>
          </cell>
          <cell r="I96" t="str">
            <v>--</v>
          </cell>
          <cell r="L96" t="str">
            <v>--</v>
          </cell>
          <cell r="N96" t="str">
            <v>--</v>
          </cell>
        </row>
        <row r="97">
          <cell r="B97" t="e">
            <v>#N/A</v>
          </cell>
          <cell r="C97" t="str">
            <v>--</v>
          </cell>
          <cell r="E97" t="str">
            <v>--</v>
          </cell>
          <cell r="F97" t="str">
            <v>--</v>
          </cell>
          <cell r="H97">
            <v>0</v>
          </cell>
          <cell r="I97" t="str">
            <v>--</v>
          </cell>
          <cell r="L97" t="str">
            <v>--</v>
          </cell>
          <cell r="N97" t="str">
            <v>--</v>
          </cell>
        </row>
        <row r="98">
          <cell r="B98" t="e">
            <v>#N/A</v>
          </cell>
          <cell r="C98" t="str">
            <v>--</v>
          </cell>
          <cell r="E98" t="str">
            <v>--</v>
          </cell>
          <cell r="F98" t="str">
            <v>--</v>
          </cell>
          <cell r="H98">
            <v>0</v>
          </cell>
          <cell r="I98" t="str">
            <v>--</v>
          </cell>
          <cell r="L98" t="str">
            <v>--</v>
          </cell>
          <cell r="N98" t="str">
            <v>--</v>
          </cell>
        </row>
        <row r="99">
          <cell r="B99" t="e">
            <v>#N/A</v>
          </cell>
          <cell r="C99" t="str">
            <v>--</v>
          </cell>
          <cell r="E99" t="str">
            <v>--</v>
          </cell>
          <cell r="F99" t="str">
            <v>--</v>
          </cell>
          <cell r="H99">
            <v>0</v>
          </cell>
          <cell r="I99" t="str">
            <v>--</v>
          </cell>
          <cell r="L99" t="str">
            <v>--</v>
          </cell>
          <cell r="N99" t="str">
            <v>--</v>
          </cell>
        </row>
        <row r="100">
          <cell r="B100" t="e">
            <v>#N/A</v>
          </cell>
          <cell r="C100" t="str">
            <v>--</v>
          </cell>
          <cell r="E100" t="str">
            <v>--</v>
          </cell>
          <cell r="F100" t="str">
            <v>--</v>
          </cell>
          <cell r="H100">
            <v>0</v>
          </cell>
          <cell r="I100" t="str">
            <v>--</v>
          </cell>
          <cell r="L100" t="str">
            <v>--</v>
          </cell>
          <cell r="N100" t="str">
            <v>--</v>
          </cell>
        </row>
        <row r="101">
          <cell r="B101" t="e">
            <v>#N/A</v>
          </cell>
          <cell r="C101" t="str">
            <v>--</v>
          </cell>
          <cell r="E101" t="str">
            <v>--</v>
          </cell>
          <cell r="F101" t="str">
            <v>--</v>
          </cell>
          <cell r="H101">
            <v>0</v>
          </cell>
          <cell r="I101" t="str">
            <v>--</v>
          </cell>
          <cell r="L101" t="str">
            <v>--</v>
          </cell>
          <cell r="N101" t="str">
            <v>--</v>
          </cell>
        </row>
        <row r="102">
          <cell r="B102" t="e">
            <v>#N/A</v>
          </cell>
          <cell r="C102" t="str">
            <v>--</v>
          </cell>
          <cell r="E102" t="str">
            <v>--</v>
          </cell>
          <cell r="F102" t="str">
            <v>--</v>
          </cell>
          <cell r="H102">
            <v>0</v>
          </cell>
          <cell r="I102" t="str">
            <v>--</v>
          </cell>
          <cell r="L102" t="str">
            <v>--</v>
          </cell>
          <cell r="N102" t="str">
            <v>--</v>
          </cell>
        </row>
        <row r="103">
          <cell r="B103" t="e">
            <v>#N/A</v>
          </cell>
          <cell r="C103" t="str">
            <v>--</v>
          </cell>
          <cell r="E103" t="str">
            <v>--</v>
          </cell>
          <cell r="F103" t="str">
            <v>--</v>
          </cell>
          <cell r="H103">
            <v>0</v>
          </cell>
          <cell r="I103" t="str">
            <v>--</v>
          </cell>
          <cell r="L103" t="str">
            <v>--</v>
          </cell>
          <cell r="N103" t="str">
            <v>--</v>
          </cell>
        </row>
        <row r="104">
          <cell r="B104" t="e">
            <v>#N/A</v>
          </cell>
          <cell r="C104" t="str">
            <v>--</v>
          </cell>
          <cell r="E104" t="str">
            <v>--</v>
          </cell>
          <cell r="F104" t="str">
            <v>--</v>
          </cell>
          <cell r="H104">
            <v>0</v>
          </cell>
          <cell r="I104" t="str">
            <v>--</v>
          </cell>
          <cell r="L104" t="str">
            <v>--</v>
          </cell>
          <cell r="N104" t="str">
            <v>--</v>
          </cell>
        </row>
        <row r="105">
          <cell r="B105" t="e">
            <v>#N/A</v>
          </cell>
          <cell r="C105" t="str">
            <v>--</v>
          </cell>
          <cell r="E105" t="str">
            <v>--</v>
          </cell>
          <cell r="F105" t="str">
            <v>--</v>
          </cell>
          <cell r="H105">
            <v>0</v>
          </cell>
          <cell r="I105" t="str">
            <v>--</v>
          </cell>
          <cell r="L105" t="str">
            <v>--</v>
          </cell>
          <cell r="N105" t="str">
            <v>--</v>
          </cell>
        </row>
        <row r="106">
          <cell r="B106" t="e">
            <v>#N/A</v>
          </cell>
          <cell r="C106" t="str">
            <v>--</v>
          </cell>
          <cell r="E106" t="str">
            <v>--</v>
          </cell>
          <cell r="F106" t="str">
            <v>--</v>
          </cell>
          <cell r="H106">
            <v>0</v>
          </cell>
          <cell r="I106" t="str">
            <v>--</v>
          </cell>
          <cell r="L106" t="str">
            <v>--</v>
          </cell>
          <cell r="N106" t="str">
            <v>--</v>
          </cell>
        </row>
        <row r="107">
          <cell r="B107" t="e">
            <v>#N/A</v>
          </cell>
          <cell r="C107" t="str">
            <v>--</v>
          </cell>
          <cell r="E107" t="str">
            <v>--</v>
          </cell>
          <cell r="F107" t="str">
            <v>--</v>
          </cell>
          <cell r="H107">
            <v>0</v>
          </cell>
          <cell r="I107" t="str">
            <v>--</v>
          </cell>
          <cell r="L107" t="str">
            <v>--</v>
          </cell>
          <cell r="N107" t="str">
            <v>--</v>
          </cell>
        </row>
        <row r="108">
          <cell r="B108" t="e">
            <v>#N/A</v>
          </cell>
          <cell r="C108" t="str">
            <v>--</v>
          </cell>
          <cell r="E108" t="str">
            <v>--</v>
          </cell>
          <cell r="F108" t="str">
            <v>--</v>
          </cell>
          <cell r="H108">
            <v>0</v>
          </cell>
          <cell r="I108" t="str">
            <v>--</v>
          </cell>
          <cell r="L108" t="str">
            <v>--</v>
          </cell>
          <cell r="N108" t="str">
            <v>--</v>
          </cell>
        </row>
        <row r="109">
          <cell r="B109" t="e">
            <v>#N/A</v>
          </cell>
          <cell r="C109" t="str">
            <v>--</v>
          </cell>
          <cell r="E109" t="str">
            <v>--</v>
          </cell>
          <cell r="F109" t="str">
            <v>--</v>
          </cell>
          <cell r="H109">
            <v>0</v>
          </cell>
          <cell r="I109" t="str">
            <v>--</v>
          </cell>
          <cell r="L109" t="str">
            <v>--</v>
          </cell>
          <cell r="N109" t="str">
            <v>--</v>
          </cell>
        </row>
        <row r="110">
          <cell r="B110" t="e">
            <v>#N/A</v>
          </cell>
          <cell r="C110" t="str">
            <v>--</v>
          </cell>
          <cell r="E110" t="str">
            <v>--</v>
          </cell>
          <cell r="F110" t="str">
            <v>--</v>
          </cell>
          <cell r="H110">
            <v>0</v>
          </cell>
          <cell r="I110" t="str">
            <v>--</v>
          </cell>
          <cell r="L110" t="str">
            <v>--</v>
          </cell>
          <cell r="N110" t="str">
            <v>--</v>
          </cell>
        </row>
        <row r="111">
          <cell r="B111" t="e">
            <v>#N/A</v>
          </cell>
          <cell r="C111" t="str">
            <v>--</v>
          </cell>
          <cell r="E111" t="str">
            <v>--</v>
          </cell>
          <cell r="F111" t="str">
            <v>--</v>
          </cell>
          <cell r="H111">
            <v>0</v>
          </cell>
          <cell r="I111" t="str">
            <v>--</v>
          </cell>
          <cell r="L111" t="str">
            <v>--</v>
          </cell>
          <cell r="N111" t="str">
            <v>--</v>
          </cell>
        </row>
        <row r="112">
          <cell r="B112" t="e">
            <v>#N/A</v>
          </cell>
          <cell r="C112" t="str">
            <v>--</v>
          </cell>
          <cell r="E112" t="str">
            <v>--</v>
          </cell>
          <cell r="F112" t="str">
            <v>--</v>
          </cell>
          <cell r="H112">
            <v>0</v>
          </cell>
          <cell r="I112" t="str">
            <v>--</v>
          </cell>
          <cell r="L112" t="str">
            <v>--</v>
          </cell>
          <cell r="N112" t="str">
            <v>--</v>
          </cell>
        </row>
        <row r="113">
          <cell r="B113" t="e">
            <v>#N/A</v>
          </cell>
          <cell r="C113" t="str">
            <v>--</v>
          </cell>
          <cell r="E113" t="str">
            <v>--</v>
          </cell>
          <cell r="F113" t="str">
            <v>--</v>
          </cell>
          <cell r="H113">
            <v>0</v>
          </cell>
          <cell r="I113" t="str">
            <v>--</v>
          </cell>
          <cell r="L113" t="str">
            <v>--</v>
          </cell>
          <cell r="N113" t="str">
            <v>--</v>
          </cell>
        </row>
        <row r="114">
          <cell r="B114" t="e">
            <v>#N/A</v>
          </cell>
          <cell r="C114" t="str">
            <v>--</v>
          </cell>
          <cell r="E114" t="str">
            <v>--</v>
          </cell>
          <cell r="F114" t="str">
            <v>--</v>
          </cell>
          <cell r="H114">
            <v>0</v>
          </cell>
          <cell r="I114" t="str">
            <v>--</v>
          </cell>
          <cell r="L114" t="str">
            <v>--</v>
          </cell>
          <cell r="N114" t="str">
            <v>--</v>
          </cell>
        </row>
        <row r="115">
          <cell r="B115" t="e">
            <v>#N/A</v>
          </cell>
          <cell r="C115" t="str">
            <v>--</v>
          </cell>
          <cell r="E115" t="str">
            <v>--</v>
          </cell>
          <cell r="F115" t="str">
            <v>--</v>
          </cell>
          <cell r="H115">
            <v>0</v>
          </cell>
          <cell r="I115" t="str">
            <v>--</v>
          </cell>
          <cell r="L115" t="str">
            <v>--</v>
          </cell>
          <cell r="N115" t="str">
            <v>--</v>
          </cell>
        </row>
        <row r="116">
          <cell r="B116" t="e">
            <v>#N/A</v>
          </cell>
          <cell r="C116" t="str">
            <v>--</v>
          </cell>
          <cell r="E116" t="str">
            <v>--</v>
          </cell>
          <cell r="F116" t="str">
            <v>--</v>
          </cell>
          <cell r="H116">
            <v>0</v>
          </cell>
          <cell r="I116" t="str">
            <v>--</v>
          </cell>
          <cell r="L116" t="str">
            <v>--</v>
          </cell>
          <cell r="N116" t="str">
            <v>--</v>
          </cell>
        </row>
        <row r="117">
          <cell r="B117" t="e">
            <v>#N/A</v>
          </cell>
          <cell r="C117" t="str">
            <v>--</v>
          </cell>
          <cell r="E117" t="str">
            <v>--</v>
          </cell>
          <cell r="F117" t="str">
            <v>--</v>
          </cell>
          <cell r="H117">
            <v>0</v>
          </cell>
          <cell r="I117" t="str">
            <v>--</v>
          </cell>
          <cell r="L117" t="str">
            <v>--</v>
          </cell>
          <cell r="N117" t="str">
            <v>--</v>
          </cell>
        </row>
        <row r="118">
          <cell r="B118" t="e">
            <v>#N/A</v>
          </cell>
          <cell r="C118" t="str">
            <v>--</v>
          </cell>
          <cell r="E118" t="str">
            <v>--</v>
          </cell>
          <cell r="F118" t="str">
            <v>--</v>
          </cell>
          <cell r="H118">
            <v>0</v>
          </cell>
          <cell r="I118" t="str">
            <v>--</v>
          </cell>
          <cell r="L118" t="str">
            <v>--</v>
          </cell>
          <cell r="N118" t="str">
            <v>--</v>
          </cell>
        </row>
        <row r="119">
          <cell r="B119" t="e">
            <v>#N/A</v>
          </cell>
          <cell r="C119" t="str">
            <v>--</v>
          </cell>
          <cell r="E119" t="str">
            <v>--</v>
          </cell>
          <cell r="F119" t="str">
            <v>--</v>
          </cell>
          <cell r="H119">
            <v>0</v>
          </cell>
          <cell r="I119" t="str">
            <v>--</v>
          </cell>
          <cell r="L119" t="str">
            <v>--</v>
          </cell>
          <cell r="N119" t="str">
            <v>--</v>
          </cell>
        </row>
        <row r="120">
          <cell r="B120" t="e">
            <v>#N/A</v>
          </cell>
          <cell r="C120" t="str">
            <v>--</v>
          </cell>
          <cell r="E120" t="str">
            <v>--</v>
          </cell>
          <cell r="F120" t="str">
            <v>--</v>
          </cell>
          <cell r="H120">
            <v>0</v>
          </cell>
          <cell r="I120" t="str">
            <v>--</v>
          </cell>
          <cell r="L120" t="str">
            <v>--</v>
          </cell>
          <cell r="N120" t="str">
            <v>--</v>
          </cell>
        </row>
        <row r="121">
          <cell r="B121" t="e">
            <v>#N/A</v>
          </cell>
          <cell r="C121" t="str">
            <v>--</v>
          </cell>
          <cell r="E121" t="str">
            <v>--</v>
          </cell>
          <cell r="F121" t="str">
            <v>--</v>
          </cell>
          <cell r="H121">
            <v>0</v>
          </cell>
          <cell r="I121" t="str">
            <v>--</v>
          </cell>
          <cell r="L121" t="str">
            <v>--</v>
          </cell>
          <cell r="N121" t="str">
            <v>--</v>
          </cell>
        </row>
        <row r="122">
          <cell r="B122" t="e">
            <v>#N/A</v>
          </cell>
          <cell r="C122" t="str">
            <v>--</v>
          </cell>
          <cell r="E122" t="str">
            <v>--</v>
          </cell>
          <cell r="F122" t="str">
            <v>--</v>
          </cell>
          <cell r="H122">
            <v>0</v>
          </cell>
          <cell r="I122" t="str">
            <v>--</v>
          </cell>
          <cell r="L122" t="str">
            <v>--</v>
          </cell>
          <cell r="N122" t="str">
            <v>--</v>
          </cell>
        </row>
        <row r="123">
          <cell r="B123" t="e">
            <v>#N/A</v>
          </cell>
          <cell r="C123" t="str">
            <v>--</v>
          </cell>
          <cell r="E123" t="str">
            <v>--</v>
          </cell>
          <cell r="F123" t="str">
            <v>--</v>
          </cell>
          <cell r="H123">
            <v>0</v>
          </cell>
          <cell r="I123" t="str">
            <v>--</v>
          </cell>
          <cell r="L123" t="str">
            <v>--</v>
          </cell>
          <cell r="N123" t="str">
            <v>--</v>
          </cell>
        </row>
        <row r="124">
          <cell r="B124" t="e">
            <v>#N/A</v>
          </cell>
          <cell r="C124" t="str">
            <v>--</v>
          </cell>
          <cell r="E124" t="str">
            <v>--</v>
          </cell>
          <cell r="F124" t="str">
            <v>--</v>
          </cell>
          <cell r="H124">
            <v>0</v>
          </cell>
          <cell r="I124" t="str">
            <v>--</v>
          </cell>
          <cell r="L124" t="str">
            <v>--</v>
          </cell>
          <cell r="N124" t="str">
            <v>--</v>
          </cell>
        </row>
        <row r="125">
          <cell r="B125" t="e">
            <v>#N/A</v>
          </cell>
          <cell r="C125" t="str">
            <v>--</v>
          </cell>
          <cell r="E125" t="str">
            <v>--</v>
          </cell>
          <cell r="F125" t="str">
            <v>--</v>
          </cell>
          <cell r="H125">
            <v>0</v>
          </cell>
          <cell r="I125" t="str">
            <v>--</v>
          </cell>
          <cell r="L125" t="str">
            <v>--</v>
          </cell>
          <cell r="N125" t="str">
            <v>--</v>
          </cell>
        </row>
        <row r="126">
          <cell r="B126" t="e">
            <v>#N/A</v>
          </cell>
          <cell r="C126" t="str">
            <v>--</v>
          </cell>
          <cell r="E126" t="str">
            <v>--</v>
          </cell>
          <cell r="F126" t="str">
            <v>--</v>
          </cell>
          <cell r="H126">
            <v>0</v>
          </cell>
          <cell r="I126" t="str">
            <v>--</v>
          </cell>
          <cell r="L126" t="str">
            <v>--</v>
          </cell>
          <cell r="N126" t="str">
            <v>--</v>
          </cell>
        </row>
        <row r="127">
          <cell r="B127" t="e">
            <v>#N/A</v>
          </cell>
          <cell r="C127" t="str">
            <v>--</v>
          </cell>
          <cell r="E127" t="str">
            <v>--</v>
          </cell>
          <cell r="F127" t="str">
            <v>--</v>
          </cell>
          <cell r="H127">
            <v>0</v>
          </cell>
          <cell r="I127" t="str">
            <v>--</v>
          </cell>
          <cell r="L127" t="str">
            <v>--</v>
          </cell>
          <cell r="N127" t="str">
            <v>--</v>
          </cell>
        </row>
        <row r="128">
          <cell r="B128" t="e">
            <v>#N/A</v>
          </cell>
          <cell r="C128" t="str">
            <v>--</v>
          </cell>
          <cell r="E128" t="str">
            <v>--</v>
          </cell>
          <cell r="F128" t="str">
            <v>--</v>
          </cell>
          <cell r="H128">
            <v>0</v>
          </cell>
          <cell r="I128" t="str">
            <v>--</v>
          </cell>
          <cell r="L128" t="str">
            <v>--</v>
          </cell>
          <cell r="N128" t="str">
            <v>--</v>
          </cell>
        </row>
        <row r="129">
          <cell r="B129" t="e">
            <v>#N/A</v>
          </cell>
          <cell r="C129" t="str">
            <v>--</v>
          </cell>
          <cell r="E129" t="str">
            <v>--</v>
          </cell>
          <cell r="F129" t="str">
            <v>--</v>
          </cell>
          <cell r="H129">
            <v>0</v>
          </cell>
          <cell r="I129" t="str">
            <v>--</v>
          </cell>
          <cell r="L129" t="str">
            <v>--</v>
          </cell>
          <cell r="N129" t="str">
            <v>--</v>
          </cell>
        </row>
        <row r="130">
          <cell r="B130" t="e">
            <v>#N/A</v>
          </cell>
          <cell r="C130" t="str">
            <v>--</v>
          </cell>
          <cell r="E130" t="str">
            <v>--</v>
          </cell>
          <cell r="F130" t="str">
            <v>--</v>
          </cell>
          <cell r="H130">
            <v>0</v>
          </cell>
          <cell r="I130" t="str">
            <v>--</v>
          </cell>
          <cell r="L130" t="str">
            <v>--</v>
          </cell>
          <cell r="N130" t="str">
            <v>--</v>
          </cell>
        </row>
        <row r="131">
          <cell r="B131" t="e">
            <v>#N/A</v>
          </cell>
          <cell r="C131" t="str">
            <v>--</v>
          </cell>
          <cell r="E131" t="str">
            <v>--</v>
          </cell>
          <cell r="F131" t="str">
            <v>--</v>
          </cell>
          <cell r="H131">
            <v>0</v>
          </cell>
          <cell r="I131" t="str">
            <v>--</v>
          </cell>
          <cell r="L131" t="str">
            <v>--</v>
          </cell>
          <cell r="N131" t="str">
            <v>--</v>
          </cell>
        </row>
        <row r="132">
          <cell r="B132" t="e">
            <v>#N/A</v>
          </cell>
          <cell r="C132" t="str">
            <v>--</v>
          </cell>
          <cell r="E132" t="str">
            <v>--</v>
          </cell>
          <cell r="F132" t="str">
            <v>--</v>
          </cell>
          <cell r="H132">
            <v>0</v>
          </cell>
          <cell r="I132" t="str">
            <v>--</v>
          </cell>
          <cell r="L132" t="str">
            <v>--</v>
          </cell>
          <cell r="N132" t="str">
            <v>--</v>
          </cell>
        </row>
        <row r="133">
          <cell r="B133" t="e">
            <v>#N/A</v>
          </cell>
          <cell r="C133" t="str">
            <v>--</v>
          </cell>
          <cell r="E133" t="str">
            <v>--</v>
          </cell>
          <cell r="F133" t="str">
            <v>--</v>
          </cell>
          <cell r="H133">
            <v>0</v>
          </cell>
          <cell r="I133" t="str">
            <v>--</v>
          </cell>
          <cell r="L133" t="str">
            <v>--</v>
          </cell>
          <cell r="N133" t="str">
            <v>--</v>
          </cell>
        </row>
        <row r="134">
          <cell r="B134" t="e">
            <v>#N/A</v>
          </cell>
          <cell r="C134" t="str">
            <v>--</v>
          </cell>
          <cell r="E134" t="str">
            <v>--</v>
          </cell>
          <cell r="F134" t="str">
            <v>--</v>
          </cell>
          <cell r="H134">
            <v>0</v>
          </cell>
          <cell r="I134" t="str">
            <v>--</v>
          </cell>
          <cell r="L134" t="str">
            <v>--</v>
          </cell>
          <cell r="N134" t="str">
            <v>--</v>
          </cell>
        </row>
        <row r="135">
          <cell r="B135" t="e">
            <v>#N/A</v>
          </cell>
          <cell r="C135" t="str">
            <v>--</v>
          </cell>
          <cell r="E135" t="str">
            <v>--</v>
          </cell>
          <cell r="F135" t="str">
            <v>--</v>
          </cell>
          <cell r="H135">
            <v>0</v>
          </cell>
          <cell r="I135" t="str">
            <v>--</v>
          </cell>
          <cell r="L135" t="str">
            <v>--</v>
          </cell>
          <cell r="N135" t="str">
            <v>--</v>
          </cell>
        </row>
        <row r="136">
          <cell r="B136" t="e">
            <v>#N/A</v>
          </cell>
          <cell r="C136" t="str">
            <v>--</v>
          </cell>
          <cell r="E136" t="str">
            <v>--</v>
          </cell>
          <cell r="F136" t="str">
            <v>--</v>
          </cell>
          <cell r="H136">
            <v>0</v>
          </cell>
          <cell r="I136" t="str">
            <v>--</v>
          </cell>
          <cell r="L136" t="str">
            <v>--</v>
          </cell>
          <cell r="N136" t="str">
            <v>--</v>
          </cell>
        </row>
        <row r="137">
          <cell r="B137" t="e">
            <v>#N/A</v>
          </cell>
          <cell r="C137" t="str">
            <v>--</v>
          </cell>
          <cell r="E137" t="str">
            <v>--</v>
          </cell>
          <cell r="F137" t="str">
            <v>--</v>
          </cell>
          <cell r="H137">
            <v>0</v>
          </cell>
          <cell r="I137" t="str">
            <v>--</v>
          </cell>
          <cell r="L137" t="str">
            <v>--</v>
          </cell>
          <cell r="N137" t="str">
            <v>--</v>
          </cell>
        </row>
        <row r="138">
          <cell r="B138" t="e">
            <v>#N/A</v>
          </cell>
          <cell r="C138" t="str">
            <v>--</v>
          </cell>
          <cell r="E138" t="str">
            <v>--</v>
          </cell>
          <cell r="F138" t="str">
            <v>--</v>
          </cell>
          <cell r="H138">
            <v>0</v>
          </cell>
          <cell r="I138" t="str">
            <v>--</v>
          </cell>
          <cell r="L138" t="str">
            <v>--</v>
          </cell>
          <cell r="N138" t="str">
            <v>--</v>
          </cell>
        </row>
        <row r="139">
          <cell r="B139" t="e">
            <v>#N/A</v>
          </cell>
          <cell r="C139" t="str">
            <v>--</v>
          </cell>
          <cell r="E139" t="str">
            <v>--</v>
          </cell>
          <cell r="F139" t="str">
            <v>--</v>
          </cell>
          <cell r="H139">
            <v>0</v>
          </cell>
          <cell r="I139" t="str">
            <v>--</v>
          </cell>
          <cell r="L139" t="str">
            <v>--</v>
          </cell>
          <cell r="N139" t="str">
            <v>--</v>
          </cell>
        </row>
        <row r="140">
          <cell r="B140" t="e">
            <v>#N/A</v>
          </cell>
          <cell r="C140" t="str">
            <v>--</v>
          </cell>
          <cell r="E140" t="str">
            <v>--</v>
          </cell>
          <cell r="F140" t="str">
            <v>--</v>
          </cell>
          <cell r="H140">
            <v>0</v>
          </cell>
          <cell r="I140" t="str">
            <v>--</v>
          </cell>
          <cell r="L140" t="str">
            <v>--</v>
          </cell>
          <cell r="N140" t="str">
            <v>--</v>
          </cell>
        </row>
        <row r="141">
          <cell r="B141" t="e">
            <v>#N/A</v>
          </cell>
          <cell r="C141" t="str">
            <v>--</v>
          </cell>
          <cell r="E141" t="str">
            <v>--</v>
          </cell>
          <cell r="F141" t="str">
            <v>--</v>
          </cell>
          <cell r="H141">
            <v>0</v>
          </cell>
          <cell r="I141" t="str">
            <v>--</v>
          </cell>
          <cell r="L141" t="str">
            <v>--</v>
          </cell>
          <cell r="N141" t="str">
            <v>--</v>
          </cell>
        </row>
        <row r="142">
          <cell r="B142" t="e">
            <v>#N/A</v>
          </cell>
          <cell r="C142" t="str">
            <v>--</v>
          </cell>
          <cell r="E142" t="str">
            <v>--</v>
          </cell>
          <cell r="F142" t="str">
            <v>--</v>
          </cell>
          <cell r="H142">
            <v>0</v>
          </cell>
          <cell r="I142" t="str">
            <v>--</v>
          </cell>
          <cell r="L142" t="str">
            <v>--</v>
          </cell>
          <cell r="N142" t="str">
            <v>--</v>
          </cell>
        </row>
        <row r="143">
          <cell r="B143" t="e">
            <v>#N/A</v>
          </cell>
          <cell r="C143" t="str">
            <v>--</v>
          </cell>
          <cell r="E143" t="str">
            <v>--</v>
          </cell>
          <cell r="F143" t="str">
            <v>--</v>
          </cell>
          <cell r="H143">
            <v>0</v>
          </cell>
          <cell r="I143" t="str">
            <v>--</v>
          </cell>
          <cell r="L143" t="str">
            <v>--</v>
          </cell>
          <cell r="N143" t="str">
            <v>--</v>
          </cell>
        </row>
        <row r="144">
          <cell r="B144" t="e">
            <v>#N/A</v>
          </cell>
          <cell r="C144" t="str">
            <v>--</v>
          </cell>
          <cell r="E144" t="str">
            <v>--</v>
          </cell>
          <cell r="F144" t="str">
            <v>--</v>
          </cell>
          <cell r="H144">
            <v>0</v>
          </cell>
          <cell r="I144" t="str">
            <v>--</v>
          </cell>
          <cell r="L144" t="str">
            <v>--</v>
          </cell>
          <cell r="N144" t="str">
            <v>--</v>
          </cell>
        </row>
        <row r="145">
          <cell r="B145" t="e">
            <v>#N/A</v>
          </cell>
          <cell r="C145" t="str">
            <v>--</v>
          </cell>
          <cell r="E145" t="str">
            <v>--</v>
          </cell>
          <cell r="F145" t="str">
            <v>--</v>
          </cell>
          <cell r="H145">
            <v>0</v>
          </cell>
          <cell r="I145" t="str">
            <v>--</v>
          </cell>
          <cell r="L145" t="str">
            <v>--</v>
          </cell>
          <cell r="N145" t="str">
            <v>--</v>
          </cell>
        </row>
        <row r="146">
          <cell r="B146" t="e">
            <v>#N/A</v>
          </cell>
          <cell r="C146" t="str">
            <v>--</v>
          </cell>
          <cell r="E146" t="str">
            <v>--</v>
          </cell>
          <cell r="F146" t="str">
            <v>--</v>
          </cell>
          <cell r="H146">
            <v>0</v>
          </cell>
          <cell r="I146" t="str">
            <v>--</v>
          </cell>
          <cell r="L146" t="str">
            <v>--</v>
          </cell>
          <cell r="N146" t="str">
            <v>--</v>
          </cell>
        </row>
        <row r="147">
          <cell r="B147" t="e">
            <v>#N/A</v>
          </cell>
          <cell r="C147" t="str">
            <v>--</v>
          </cell>
          <cell r="E147" t="str">
            <v>--</v>
          </cell>
          <cell r="F147" t="str">
            <v>--</v>
          </cell>
          <cell r="H147">
            <v>0</v>
          </cell>
          <cell r="I147" t="str">
            <v>--</v>
          </cell>
          <cell r="L147" t="str">
            <v>--</v>
          </cell>
          <cell r="N147" t="str">
            <v>--</v>
          </cell>
        </row>
        <row r="148">
          <cell r="B148" t="e">
            <v>#N/A</v>
          </cell>
          <cell r="C148" t="str">
            <v>--</v>
          </cell>
          <cell r="E148" t="str">
            <v>--</v>
          </cell>
          <cell r="F148" t="str">
            <v>--</v>
          </cell>
          <cell r="H148">
            <v>0</v>
          </cell>
          <cell r="I148" t="str">
            <v>--</v>
          </cell>
          <cell r="L148" t="str">
            <v>--</v>
          </cell>
          <cell r="N148" t="str">
            <v>--</v>
          </cell>
        </row>
        <row r="149">
          <cell r="B149" t="e">
            <v>#N/A</v>
          </cell>
          <cell r="C149" t="str">
            <v>--</v>
          </cell>
          <cell r="E149" t="str">
            <v>--</v>
          </cell>
          <cell r="F149" t="str">
            <v>--</v>
          </cell>
          <cell r="H149">
            <v>0</v>
          </cell>
          <cell r="I149" t="str">
            <v>--</v>
          </cell>
          <cell r="L149" t="str">
            <v>--</v>
          </cell>
          <cell r="N149" t="str">
            <v>--</v>
          </cell>
        </row>
        <row r="150">
          <cell r="B150" t="e">
            <v>#N/A</v>
          </cell>
          <cell r="C150" t="str">
            <v>--</v>
          </cell>
          <cell r="E150" t="str">
            <v>--</v>
          </cell>
          <cell r="F150" t="str">
            <v>--</v>
          </cell>
          <cell r="H150">
            <v>0</v>
          </cell>
          <cell r="I150" t="str">
            <v>--</v>
          </cell>
          <cell r="L150" t="str">
            <v>--</v>
          </cell>
          <cell r="N150" t="str">
            <v>--</v>
          </cell>
        </row>
        <row r="151">
          <cell r="B151" t="e">
            <v>#N/A</v>
          </cell>
          <cell r="C151" t="str">
            <v>--</v>
          </cell>
          <cell r="E151" t="str">
            <v>--</v>
          </cell>
          <cell r="F151" t="str">
            <v>--</v>
          </cell>
          <cell r="H151">
            <v>0</v>
          </cell>
          <cell r="I151" t="str">
            <v>--</v>
          </cell>
          <cell r="L151" t="str">
            <v>--</v>
          </cell>
          <cell r="N151" t="str">
            <v>--</v>
          </cell>
        </row>
        <row r="152">
          <cell r="B152" t="e">
            <v>#N/A</v>
          </cell>
          <cell r="C152" t="str">
            <v>--</v>
          </cell>
          <cell r="E152" t="str">
            <v>--</v>
          </cell>
          <cell r="F152" t="str">
            <v>--</v>
          </cell>
          <cell r="H152">
            <v>0</v>
          </cell>
          <cell r="I152" t="str">
            <v>--</v>
          </cell>
          <cell r="L152" t="str">
            <v>--</v>
          </cell>
          <cell r="N152" t="str">
            <v>--</v>
          </cell>
        </row>
        <row r="153">
          <cell r="B153" t="e">
            <v>#N/A</v>
          </cell>
          <cell r="C153" t="str">
            <v>--</v>
          </cell>
          <cell r="E153" t="str">
            <v>--</v>
          </cell>
          <cell r="F153" t="str">
            <v>--</v>
          </cell>
          <cell r="H153">
            <v>0</v>
          </cell>
          <cell r="I153" t="str">
            <v>--</v>
          </cell>
          <cell r="L153" t="str">
            <v>--</v>
          </cell>
          <cell r="N153" t="str">
            <v>--</v>
          </cell>
        </row>
        <row r="154">
          <cell r="B154" t="e">
            <v>#N/A</v>
          </cell>
          <cell r="C154" t="str">
            <v>--</v>
          </cell>
          <cell r="E154" t="str">
            <v>--</v>
          </cell>
          <cell r="F154" t="str">
            <v>--</v>
          </cell>
          <cell r="H154">
            <v>0</v>
          </cell>
          <cell r="I154" t="str">
            <v>--</v>
          </cell>
          <cell r="L154" t="str">
            <v>--</v>
          </cell>
          <cell r="N154" t="str">
            <v>--</v>
          </cell>
        </row>
        <row r="155">
          <cell r="B155" t="e">
            <v>#N/A</v>
          </cell>
          <cell r="C155" t="str">
            <v>--</v>
          </cell>
          <cell r="E155" t="str">
            <v>--</v>
          </cell>
          <cell r="F155" t="str">
            <v>--</v>
          </cell>
          <cell r="H155">
            <v>0</v>
          </cell>
          <cell r="I155" t="str">
            <v>--</v>
          </cell>
          <cell r="L155" t="str">
            <v>--</v>
          </cell>
          <cell r="N155" t="str">
            <v>--</v>
          </cell>
        </row>
        <row r="156">
          <cell r="B156" t="e">
            <v>#N/A</v>
          </cell>
          <cell r="C156" t="str">
            <v>--</v>
          </cell>
          <cell r="E156" t="str">
            <v>--</v>
          </cell>
          <cell r="F156" t="str">
            <v>--</v>
          </cell>
          <cell r="H156">
            <v>0</v>
          </cell>
          <cell r="I156" t="str">
            <v>--</v>
          </cell>
          <cell r="L156" t="str">
            <v>--</v>
          </cell>
          <cell r="N156" t="str">
            <v>--</v>
          </cell>
        </row>
        <row r="157">
          <cell r="B157" t="e">
            <v>#N/A</v>
          </cell>
          <cell r="C157" t="str">
            <v>--</v>
          </cell>
          <cell r="E157" t="str">
            <v>--</v>
          </cell>
          <cell r="F157" t="str">
            <v>--</v>
          </cell>
          <cell r="H157">
            <v>0</v>
          </cell>
          <cell r="I157" t="str">
            <v>--</v>
          </cell>
          <cell r="L157" t="str">
            <v>--</v>
          </cell>
          <cell r="N157" t="str">
            <v>--</v>
          </cell>
        </row>
        <row r="158">
          <cell r="B158" t="e">
            <v>#N/A</v>
          </cell>
          <cell r="C158" t="str">
            <v>--</v>
          </cell>
          <cell r="E158" t="str">
            <v>--</v>
          </cell>
          <cell r="F158" t="str">
            <v>--</v>
          </cell>
          <cell r="H158">
            <v>0</v>
          </cell>
          <cell r="I158" t="str">
            <v>--</v>
          </cell>
          <cell r="L158" t="str">
            <v>--</v>
          </cell>
          <cell r="N158" t="str">
            <v>--</v>
          </cell>
        </row>
        <row r="159">
          <cell r="B159" t="e">
            <v>#N/A</v>
          </cell>
          <cell r="C159" t="str">
            <v>--</v>
          </cell>
          <cell r="E159" t="str">
            <v>--</v>
          </cell>
          <cell r="F159" t="str">
            <v>--</v>
          </cell>
          <cell r="H159">
            <v>0</v>
          </cell>
          <cell r="I159" t="str">
            <v>--</v>
          </cell>
          <cell r="L159" t="str">
            <v>--</v>
          </cell>
          <cell r="N159" t="str">
            <v>--</v>
          </cell>
        </row>
        <row r="160">
          <cell r="B160" t="e">
            <v>#N/A</v>
          </cell>
          <cell r="C160" t="str">
            <v>--</v>
          </cell>
          <cell r="E160" t="str">
            <v>--</v>
          </cell>
          <cell r="F160" t="str">
            <v>--</v>
          </cell>
          <cell r="H160">
            <v>0</v>
          </cell>
          <cell r="I160" t="str">
            <v>--</v>
          </cell>
          <cell r="L160" t="str">
            <v>--</v>
          </cell>
          <cell r="N160" t="str">
            <v>--</v>
          </cell>
        </row>
        <row r="161">
          <cell r="B161" t="e">
            <v>#N/A</v>
          </cell>
          <cell r="C161" t="str">
            <v>--</v>
          </cell>
          <cell r="E161" t="str">
            <v>--</v>
          </cell>
          <cell r="F161" t="str">
            <v>--</v>
          </cell>
          <cell r="H161">
            <v>0</v>
          </cell>
          <cell r="I161" t="str">
            <v>--</v>
          </cell>
          <cell r="L161" t="str">
            <v>--</v>
          </cell>
          <cell r="N161" t="str">
            <v>--</v>
          </cell>
        </row>
        <row r="162">
          <cell r="B162" t="e">
            <v>#N/A</v>
          </cell>
          <cell r="C162" t="str">
            <v>--</v>
          </cell>
          <cell r="E162" t="str">
            <v>--</v>
          </cell>
          <cell r="F162" t="str">
            <v>--</v>
          </cell>
          <cell r="H162">
            <v>0</v>
          </cell>
          <cell r="I162" t="str">
            <v>--</v>
          </cell>
          <cell r="L162" t="str">
            <v>--</v>
          </cell>
          <cell r="N162" t="str">
            <v>--</v>
          </cell>
        </row>
        <row r="163">
          <cell r="B163" t="e">
            <v>#N/A</v>
          </cell>
          <cell r="C163" t="str">
            <v>--</v>
          </cell>
          <cell r="E163" t="str">
            <v>--</v>
          </cell>
          <cell r="F163" t="str">
            <v>--</v>
          </cell>
          <cell r="H163">
            <v>0</v>
          </cell>
          <cell r="I163" t="str">
            <v>--</v>
          </cell>
          <cell r="L163" t="str">
            <v>--</v>
          </cell>
          <cell r="N163" t="str">
            <v>--</v>
          </cell>
        </row>
        <row r="164">
          <cell r="B164" t="e">
            <v>#N/A</v>
          </cell>
          <cell r="C164" t="str">
            <v>--</v>
          </cell>
          <cell r="E164" t="str">
            <v>--</v>
          </cell>
          <cell r="F164" t="str">
            <v>--</v>
          </cell>
          <cell r="H164">
            <v>0</v>
          </cell>
          <cell r="I164" t="str">
            <v>--</v>
          </cell>
          <cell r="L164" t="str">
            <v>--</v>
          </cell>
          <cell r="N164" t="str">
            <v>--</v>
          </cell>
        </row>
        <row r="165">
          <cell r="B165" t="e">
            <v>#N/A</v>
          </cell>
          <cell r="C165" t="str">
            <v>--</v>
          </cell>
          <cell r="E165" t="str">
            <v>--</v>
          </cell>
          <cell r="F165" t="str">
            <v>--</v>
          </cell>
          <cell r="H165">
            <v>0</v>
          </cell>
          <cell r="I165" t="str">
            <v>--</v>
          </cell>
          <cell r="L165" t="str">
            <v>--</v>
          </cell>
          <cell r="N165" t="str">
            <v>--</v>
          </cell>
        </row>
        <row r="166">
          <cell r="B166" t="e">
            <v>#N/A</v>
          </cell>
          <cell r="C166" t="str">
            <v>--</v>
          </cell>
          <cell r="E166" t="str">
            <v>--</v>
          </cell>
          <cell r="F166" t="str">
            <v>--</v>
          </cell>
          <cell r="H166">
            <v>0</v>
          </cell>
          <cell r="I166" t="str">
            <v>--</v>
          </cell>
          <cell r="L166" t="str">
            <v>--</v>
          </cell>
          <cell r="N166" t="str">
            <v>--</v>
          </cell>
        </row>
        <row r="167">
          <cell r="B167" t="e">
            <v>#N/A</v>
          </cell>
          <cell r="C167" t="str">
            <v>--</v>
          </cell>
          <cell r="E167" t="str">
            <v>--</v>
          </cell>
          <cell r="F167" t="str">
            <v>--</v>
          </cell>
          <cell r="H167">
            <v>0</v>
          </cell>
          <cell r="I167" t="str">
            <v>--</v>
          </cell>
          <cell r="L167" t="str">
            <v>--</v>
          </cell>
          <cell r="N167" t="str">
            <v>--</v>
          </cell>
        </row>
        <row r="168">
          <cell r="B168" t="e">
            <v>#N/A</v>
          </cell>
          <cell r="C168" t="str">
            <v>--</v>
          </cell>
          <cell r="E168" t="str">
            <v>--</v>
          </cell>
          <cell r="F168" t="str">
            <v>--</v>
          </cell>
          <cell r="H168">
            <v>0</v>
          </cell>
          <cell r="I168" t="str">
            <v>--</v>
          </cell>
          <cell r="L168" t="str">
            <v>--</v>
          </cell>
          <cell r="N168" t="str">
            <v>--</v>
          </cell>
        </row>
        <row r="169">
          <cell r="B169" t="e">
            <v>#N/A</v>
          </cell>
          <cell r="C169" t="str">
            <v>--</v>
          </cell>
          <cell r="E169" t="str">
            <v>--</v>
          </cell>
          <cell r="F169" t="str">
            <v>--</v>
          </cell>
          <cell r="H169">
            <v>0</v>
          </cell>
          <cell r="I169" t="str">
            <v>--</v>
          </cell>
          <cell r="L169" t="str">
            <v>--</v>
          </cell>
          <cell r="N169" t="str">
            <v>--</v>
          </cell>
        </row>
        <row r="170">
          <cell r="B170" t="e">
            <v>#N/A</v>
          </cell>
          <cell r="C170" t="str">
            <v>--</v>
          </cell>
          <cell r="E170" t="str">
            <v>--</v>
          </cell>
          <cell r="F170" t="str">
            <v>--</v>
          </cell>
          <cell r="H170">
            <v>0</v>
          </cell>
          <cell r="I170" t="str">
            <v>--</v>
          </cell>
          <cell r="L170" t="str">
            <v>--</v>
          </cell>
          <cell r="N170" t="str">
            <v>--</v>
          </cell>
        </row>
        <row r="171">
          <cell r="B171" t="e">
            <v>#N/A</v>
          </cell>
          <cell r="C171" t="str">
            <v>--</v>
          </cell>
          <cell r="E171" t="str">
            <v>--</v>
          </cell>
          <cell r="F171" t="str">
            <v>--</v>
          </cell>
          <cell r="H171">
            <v>0</v>
          </cell>
          <cell r="I171" t="str">
            <v>--</v>
          </cell>
          <cell r="L171" t="str">
            <v>--</v>
          </cell>
          <cell r="N171" t="str">
            <v>--</v>
          </cell>
        </row>
        <row r="172">
          <cell r="B172" t="e">
            <v>#N/A</v>
          </cell>
          <cell r="C172" t="str">
            <v>--</v>
          </cell>
          <cell r="E172" t="str">
            <v>--</v>
          </cell>
          <cell r="F172" t="str">
            <v>--</v>
          </cell>
          <cell r="H172">
            <v>0</v>
          </cell>
          <cell r="I172" t="str">
            <v>--</v>
          </cell>
          <cell r="L172" t="str">
            <v>--</v>
          </cell>
          <cell r="N172" t="str">
            <v>--</v>
          </cell>
        </row>
        <row r="173">
          <cell r="B173" t="e">
            <v>#N/A</v>
          </cell>
          <cell r="C173" t="str">
            <v>--</v>
          </cell>
          <cell r="E173" t="str">
            <v>--</v>
          </cell>
          <cell r="F173" t="str">
            <v>--</v>
          </cell>
          <cell r="H173">
            <v>0</v>
          </cell>
          <cell r="I173" t="str">
            <v>--</v>
          </cell>
          <cell r="L173" t="str">
            <v>--</v>
          </cell>
          <cell r="N173" t="str">
            <v>--</v>
          </cell>
        </row>
        <row r="174">
          <cell r="B174" t="e">
            <v>#N/A</v>
          </cell>
          <cell r="C174" t="str">
            <v>--</v>
          </cell>
          <cell r="E174" t="str">
            <v>--</v>
          </cell>
          <cell r="F174" t="str">
            <v>--</v>
          </cell>
          <cell r="H174">
            <v>0</v>
          </cell>
          <cell r="I174" t="str">
            <v>--</v>
          </cell>
          <cell r="L174" t="str">
            <v>--</v>
          </cell>
          <cell r="N174" t="str">
            <v>--</v>
          </cell>
        </row>
        <row r="175">
          <cell r="B175" t="e">
            <v>#N/A</v>
          </cell>
          <cell r="C175" t="str">
            <v>--</v>
          </cell>
          <cell r="E175" t="str">
            <v>--</v>
          </cell>
          <cell r="F175" t="str">
            <v>--</v>
          </cell>
          <cell r="H175">
            <v>0</v>
          </cell>
          <cell r="I175" t="str">
            <v>--</v>
          </cell>
          <cell r="L175" t="str">
            <v>--</v>
          </cell>
          <cell r="N175" t="str">
            <v>--</v>
          </cell>
        </row>
        <row r="176">
          <cell r="B176" t="e">
            <v>#N/A</v>
          </cell>
          <cell r="C176" t="str">
            <v>--</v>
          </cell>
          <cell r="E176" t="str">
            <v>--</v>
          </cell>
          <cell r="F176" t="str">
            <v>--</v>
          </cell>
          <cell r="H176">
            <v>0</v>
          </cell>
          <cell r="I176" t="str">
            <v>--</v>
          </cell>
          <cell r="L176" t="str">
            <v>--</v>
          </cell>
          <cell r="N176" t="str">
            <v>--</v>
          </cell>
        </row>
        <row r="177">
          <cell r="B177" t="e">
            <v>#N/A</v>
          </cell>
          <cell r="C177" t="str">
            <v>--</v>
          </cell>
          <cell r="E177" t="str">
            <v>--</v>
          </cell>
          <cell r="F177" t="str">
            <v>--</v>
          </cell>
          <cell r="H177">
            <v>0</v>
          </cell>
          <cell r="I177" t="str">
            <v>--</v>
          </cell>
          <cell r="L177" t="str">
            <v>--</v>
          </cell>
          <cell r="N177" t="str">
            <v>--</v>
          </cell>
        </row>
        <row r="178">
          <cell r="B178" t="e">
            <v>#N/A</v>
          </cell>
          <cell r="C178" t="str">
            <v>--</v>
          </cell>
          <cell r="E178" t="str">
            <v>--</v>
          </cell>
          <cell r="F178" t="str">
            <v>--</v>
          </cell>
          <cell r="H178">
            <v>0</v>
          </cell>
          <cell r="I178" t="str">
            <v>--</v>
          </cell>
          <cell r="L178" t="str">
            <v>--</v>
          </cell>
          <cell r="N178" t="str">
            <v>--</v>
          </cell>
        </row>
        <row r="179">
          <cell r="B179" t="e">
            <v>#N/A</v>
          </cell>
          <cell r="C179" t="str">
            <v>--</v>
          </cell>
          <cell r="E179" t="str">
            <v>--</v>
          </cell>
          <cell r="F179" t="str">
            <v>--</v>
          </cell>
          <cell r="H179">
            <v>0</v>
          </cell>
          <cell r="I179" t="str">
            <v>--</v>
          </cell>
          <cell r="L179" t="str">
            <v>--</v>
          </cell>
          <cell r="N179" t="str">
            <v>--</v>
          </cell>
        </row>
        <row r="180">
          <cell r="B180" t="e">
            <v>#N/A</v>
          </cell>
          <cell r="C180" t="str">
            <v>--</v>
          </cell>
          <cell r="E180" t="str">
            <v>--</v>
          </cell>
          <cell r="F180" t="str">
            <v>--</v>
          </cell>
          <cell r="H180">
            <v>0</v>
          </cell>
          <cell r="I180" t="str">
            <v>--</v>
          </cell>
          <cell r="L180" t="str">
            <v>--</v>
          </cell>
          <cell r="N180" t="str">
            <v>--</v>
          </cell>
        </row>
        <row r="181">
          <cell r="B181" t="e">
            <v>#N/A</v>
          </cell>
          <cell r="C181" t="str">
            <v>--</v>
          </cell>
          <cell r="E181" t="str">
            <v>--</v>
          </cell>
          <cell r="F181" t="str">
            <v>--</v>
          </cell>
          <cell r="H181">
            <v>0</v>
          </cell>
          <cell r="I181" t="str">
            <v>--</v>
          </cell>
          <cell r="L181" t="str">
            <v>--</v>
          </cell>
          <cell r="N181" t="str">
            <v>--</v>
          </cell>
        </row>
        <row r="182">
          <cell r="B182" t="e">
            <v>#N/A</v>
          </cell>
          <cell r="C182" t="str">
            <v>--</v>
          </cell>
          <cell r="E182" t="str">
            <v>--</v>
          </cell>
          <cell r="F182" t="str">
            <v>--</v>
          </cell>
          <cell r="H182">
            <v>0</v>
          </cell>
          <cell r="I182" t="str">
            <v>--</v>
          </cell>
          <cell r="L182" t="str">
            <v>--</v>
          </cell>
          <cell r="N182" t="str">
            <v>--</v>
          </cell>
        </row>
        <row r="183">
          <cell r="B183" t="e">
            <v>#N/A</v>
          </cell>
          <cell r="C183" t="str">
            <v>--</v>
          </cell>
          <cell r="E183" t="str">
            <v>--</v>
          </cell>
          <cell r="F183" t="str">
            <v>--</v>
          </cell>
          <cell r="H183">
            <v>0</v>
          </cell>
          <cell r="I183" t="str">
            <v>--</v>
          </cell>
          <cell r="L183" t="str">
            <v>--</v>
          </cell>
          <cell r="N183" t="str">
            <v>--</v>
          </cell>
        </row>
        <row r="184">
          <cell r="B184" t="e">
            <v>#N/A</v>
          </cell>
          <cell r="C184" t="str">
            <v>--</v>
          </cell>
          <cell r="E184" t="str">
            <v>--</v>
          </cell>
          <cell r="F184" t="str">
            <v>--</v>
          </cell>
          <cell r="H184">
            <v>0</v>
          </cell>
          <cell r="I184" t="str">
            <v>--</v>
          </cell>
          <cell r="L184" t="str">
            <v>--</v>
          </cell>
          <cell r="N184" t="str">
            <v>--</v>
          </cell>
        </row>
        <row r="185">
          <cell r="B185" t="e">
            <v>#N/A</v>
          </cell>
          <cell r="C185" t="str">
            <v>--</v>
          </cell>
          <cell r="E185" t="str">
            <v>--</v>
          </cell>
          <cell r="F185" t="str">
            <v>--</v>
          </cell>
          <cell r="H185">
            <v>0</v>
          </cell>
          <cell r="I185" t="str">
            <v>--</v>
          </cell>
          <cell r="L185" t="str">
            <v>--</v>
          </cell>
          <cell r="N185" t="str">
            <v>--</v>
          </cell>
        </row>
        <row r="186">
          <cell r="B186" t="e">
            <v>#N/A</v>
          </cell>
          <cell r="C186" t="str">
            <v>--</v>
          </cell>
          <cell r="E186" t="str">
            <v>--</v>
          </cell>
          <cell r="F186" t="str">
            <v>--</v>
          </cell>
          <cell r="H186">
            <v>0</v>
          </cell>
          <cell r="I186" t="str">
            <v>--</v>
          </cell>
          <cell r="L186" t="str">
            <v>--</v>
          </cell>
          <cell r="N186" t="str">
            <v>--</v>
          </cell>
        </row>
        <row r="187">
          <cell r="B187" t="e">
            <v>#N/A</v>
          </cell>
          <cell r="C187" t="str">
            <v>--</v>
          </cell>
          <cell r="E187" t="str">
            <v>--</v>
          </cell>
          <cell r="F187" t="str">
            <v>--</v>
          </cell>
          <cell r="H187">
            <v>0</v>
          </cell>
          <cell r="I187" t="str">
            <v>--</v>
          </cell>
          <cell r="L187" t="str">
            <v>--</v>
          </cell>
          <cell r="N187" t="str">
            <v>--</v>
          </cell>
        </row>
        <row r="188">
          <cell r="B188" t="e">
            <v>#N/A</v>
          </cell>
          <cell r="C188" t="str">
            <v>--</v>
          </cell>
          <cell r="E188" t="str">
            <v>--</v>
          </cell>
          <cell r="F188" t="str">
            <v>--</v>
          </cell>
          <cell r="H188">
            <v>0</v>
          </cell>
          <cell r="I188" t="str">
            <v>--</v>
          </cell>
          <cell r="L188" t="str">
            <v>--</v>
          </cell>
          <cell r="N188" t="str">
            <v>--</v>
          </cell>
        </row>
        <row r="189">
          <cell r="B189" t="e">
            <v>#N/A</v>
          </cell>
          <cell r="C189" t="str">
            <v>--</v>
          </cell>
          <cell r="E189" t="str">
            <v>--</v>
          </cell>
          <cell r="F189" t="str">
            <v>--</v>
          </cell>
          <cell r="H189">
            <v>0</v>
          </cell>
          <cell r="I189" t="str">
            <v>--</v>
          </cell>
          <cell r="L189" t="str">
            <v>--</v>
          </cell>
          <cell r="N189" t="str">
            <v>--</v>
          </cell>
        </row>
        <row r="190">
          <cell r="B190" t="e">
            <v>#N/A</v>
          </cell>
          <cell r="C190" t="str">
            <v>--</v>
          </cell>
          <cell r="E190" t="str">
            <v>--</v>
          </cell>
          <cell r="F190" t="str">
            <v>--</v>
          </cell>
          <cell r="H190">
            <v>0</v>
          </cell>
          <cell r="I190" t="str">
            <v>--</v>
          </cell>
          <cell r="L190" t="str">
            <v>--</v>
          </cell>
          <cell r="N190" t="str">
            <v>--</v>
          </cell>
        </row>
        <row r="191">
          <cell r="B191" t="e">
            <v>#N/A</v>
          </cell>
          <cell r="C191" t="str">
            <v>--</v>
          </cell>
          <cell r="E191" t="str">
            <v>--</v>
          </cell>
          <cell r="F191" t="str">
            <v>--</v>
          </cell>
          <cell r="H191">
            <v>0</v>
          </cell>
          <cell r="I191" t="str">
            <v>--</v>
          </cell>
          <cell r="L191" t="str">
            <v>--</v>
          </cell>
          <cell r="N191" t="str">
            <v>--</v>
          </cell>
        </row>
        <row r="192">
          <cell r="B192" t="e">
            <v>#N/A</v>
          </cell>
          <cell r="C192" t="str">
            <v>--</v>
          </cell>
          <cell r="E192" t="str">
            <v>--</v>
          </cell>
          <cell r="F192" t="str">
            <v>--</v>
          </cell>
          <cell r="H192">
            <v>0</v>
          </cell>
          <cell r="I192" t="str">
            <v>--</v>
          </cell>
          <cell r="L192" t="str">
            <v>--</v>
          </cell>
          <cell r="N192" t="str">
            <v>--</v>
          </cell>
        </row>
        <row r="193">
          <cell r="B193" t="e">
            <v>#N/A</v>
          </cell>
          <cell r="C193" t="str">
            <v>--</v>
          </cell>
          <cell r="E193" t="str">
            <v>--</v>
          </cell>
          <cell r="F193" t="str">
            <v>--</v>
          </cell>
          <cell r="H193">
            <v>0</v>
          </cell>
          <cell r="I193" t="str">
            <v>--</v>
          </cell>
          <cell r="L193" t="str">
            <v>--</v>
          </cell>
          <cell r="N193" t="str">
            <v>--</v>
          </cell>
        </row>
        <row r="194">
          <cell r="B194" t="e">
            <v>#N/A</v>
          </cell>
          <cell r="C194" t="str">
            <v>--</v>
          </cell>
          <cell r="E194" t="str">
            <v>--</v>
          </cell>
          <cell r="F194" t="str">
            <v>--</v>
          </cell>
          <cell r="H194">
            <v>0</v>
          </cell>
          <cell r="I194" t="str">
            <v>--</v>
          </cell>
          <cell r="L194" t="str">
            <v>--</v>
          </cell>
          <cell r="N194" t="str">
            <v>--</v>
          </cell>
        </row>
        <row r="195">
          <cell r="B195" t="e">
            <v>#N/A</v>
          </cell>
          <cell r="C195" t="str">
            <v>--</v>
          </cell>
          <cell r="E195" t="str">
            <v>--</v>
          </cell>
          <cell r="F195" t="str">
            <v>--</v>
          </cell>
          <cell r="H195">
            <v>0</v>
          </cell>
          <cell r="I195" t="str">
            <v>--</v>
          </cell>
          <cell r="L195" t="str">
            <v>--</v>
          </cell>
          <cell r="N195" t="str">
            <v>--</v>
          </cell>
        </row>
        <row r="196">
          <cell r="B196" t="e">
            <v>#N/A</v>
          </cell>
          <cell r="C196" t="str">
            <v>--</v>
          </cell>
          <cell r="E196" t="str">
            <v>--</v>
          </cell>
          <cell r="F196" t="str">
            <v>--</v>
          </cell>
          <cell r="H196">
            <v>0</v>
          </cell>
          <cell r="I196" t="str">
            <v>--</v>
          </cell>
          <cell r="L196" t="str">
            <v>--</v>
          </cell>
          <cell r="N196" t="str">
            <v>--</v>
          </cell>
        </row>
        <row r="197">
          <cell r="B197" t="e">
            <v>#N/A</v>
          </cell>
          <cell r="C197" t="str">
            <v>--</v>
          </cell>
          <cell r="E197" t="str">
            <v>--</v>
          </cell>
          <cell r="F197" t="str">
            <v>--</v>
          </cell>
          <cell r="H197">
            <v>0</v>
          </cell>
          <cell r="I197" t="str">
            <v>--</v>
          </cell>
          <cell r="L197" t="str">
            <v>--</v>
          </cell>
          <cell r="N197" t="str">
            <v>--</v>
          </cell>
        </row>
        <row r="198">
          <cell r="B198" t="e">
            <v>#N/A</v>
          </cell>
          <cell r="C198" t="str">
            <v>--</v>
          </cell>
          <cell r="E198" t="str">
            <v>--</v>
          </cell>
          <cell r="F198" t="str">
            <v>--</v>
          </cell>
          <cell r="H198">
            <v>0</v>
          </cell>
          <cell r="I198" t="str">
            <v>--</v>
          </cell>
          <cell r="L198" t="str">
            <v>--</v>
          </cell>
          <cell r="N198" t="str">
            <v>--</v>
          </cell>
        </row>
        <row r="199">
          <cell r="B199" t="e">
            <v>#N/A</v>
          </cell>
          <cell r="C199" t="str">
            <v>--</v>
          </cell>
          <cell r="E199" t="str">
            <v>--</v>
          </cell>
          <cell r="F199" t="str">
            <v>--</v>
          </cell>
          <cell r="H199">
            <v>0</v>
          </cell>
          <cell r="I199" t="str">
            <v>--</v>
          </cell>
          <cell r="L199" t="str">
            <v>--</v>
          </cell>
          <cell r="N199" t="str">
            <v>--</v>
          </cell>
        </row>
        <row r="200">
          <cell r="B200" t="e">
            <v>#N/A</v>
          </cell>
          <cell r="C200" t="str">
            <v>--</v>
          </cell>
          <cell r="E200" t="str">
            <v>--</v>
          </cell>
          <cell r="F200" t="str">
            <v>--</v>
          </cell>
          <cell r="H200">
            <v>0</v>
          </cell>
          <cell r="I200" t="str">
            <v>--</v>
          </cell>
          <cell r="L200" t="str">
            <v>--</v>
          </cell>
          <cell r="N200" t="str">
            <v>--</v>
          </cell>
        </row>
        <row r="201">
          <cell r="B201" t="e">
            <v>#N/A</v>
          </cell>
          <cell r="C201" t="str">
            <v>--</v>
          </cell>
          <cell r="E201" t="str">
            <v>--</v>
          </cell>
          <cell r="F201" t="str">
            <v>--</v>
          </cell>
          <cell r="H201">
            <v>0</v>
          </cell>
          <cell r="I201" t="str">
            <v>--</v>
          </cell>
          <cell r="L201" t="str">
            <v>--</v>
          </cell>
          <cell r="N201" t="str">
            <v>--</v>
          </cell>
        </row>
        <row r="202">
          <cell r="B202" t="e">
            <v>#N/A</v>
          </cell>
          <cell r="C202" t="str">
            <v>--</v>
          </cell>
          <cell r="E202" t="str">
            <v>--</v>
          </cell>
          <cell r="F202" t="str">
            <v>--</v>
          </cell>
          <cell r="H202">
            <v>0</v>
          </cell>
          <cell r="I202" t="str">
            <v>--</v>
          </cell>
          <cell r="L202" t="str">
            <v>--</v>
          </cell>
          <cell r="N202" t="str">
            <v>--</v>
          </cell>
        </row>
        <row r="203">
          <cell r="B203" t="e">
            <v>#N/A</v>
          </cell>
          <cell r="C203" t="str">
            <v>--</v>
          </cell>
          <cell r="E203" t="str">
            <v>--</v>
          </cell>
          <cell r="F203" t="str">
            <v>--</v>
          </cell>
          <cell r="H203">
            <v>0</v>
          </cell>
          <cell r="I203" t="str">
            <v>--</v>
          </cell>
          <cell r="L203" t="str">
            <v>--</v>
          </cell>
          <cell r="N203" t="str">
            <v>--</v>
          </cell>
        </row>
        <row r="204">
          <cell r="B204" t="e">
            <v>#N/A</v>
          </cell>
          <cell r="C204" t="str">
            <v>--</v>
          </cell>
          <cell r="E204" t="str">
            <v>--</v>
          </cell>
          <cell r="F204" t="str">
            <v>--</v>
          </cell>
          <cell r="H204">
            <v>0</v>
          </cell>
          <cell r="I204" t="str">
            <v>--</v>
          </cell>
          <cell r="L204" t="str">
            <v>--</v>
          </cell>
          <cell r="N204" t="str">
            <v>--</v>
          </cell>
        </row>
        <row r="205">
          <cell r="B205" t="e">
            <v>#N/A</v>
          </cell>
          <cell r="C205" t="str">
            <v>--</v>
          </cell>
          <cell r="E205" t="str">
            <v>--</v>
          </cell>
          <cell r="F205" t="str">
            <v>--</v>
          </cell>
          <cell r="H205">
            <v>0</v>
          </cell>
          <cell r="I205" t="str">
            <v>--</v>
          </cell>
          <cell r="L205" t="str">
            <v>--</v>
          </cell>
          <cell r="N205" t="str">
            <v>--</v>
          </cell>
        </row>
        <row r="206">
          <cell r="B206" t="e">
            <v>#N/A</v>
          </cell>
          <cell r="C206" t="str">
            <v>--</v>
          </cell>
          <cell r="E206" t="str">
            <v>--</v>
          </cell>
          <cell r="F206" t="str">
            <v>--</v>
          </cell>
          <cell r="H206">
            <v>0</v>
          </cell>
          <cell r="I206" t="str">
            <v>--</v>
          </cell>
          <cell r="L206" t="str">
            <v>--</v>
          </cell>
          <cell r="N206" t="str">
            <v>--</v>
          </cell>
        </row>
        <row r="207">
          <cell r="B207" t="e">
            <v>#N/A</v>
          </cell>
          <cell r="C207" t="str">
            <v>--</v>
          </cell>
          <cell r="E207" t="str">
            <v>--</v>
          </cell>
          <cell r="F207" t="str">
            <v>--</v>
          </cell>
          <cell r="H207">
            <v>0</v>
          </cell>
          <cell r="I207" t="str">
            <v>--</v>
          </cell>
          <cell r="L207" t="str">
            <v>--</v>
          </cell>
          <cell r="N207" t="str">
            <v>--</v>
          </cell>
        </row>
        <row r="208">
          <cell r="B208" t="e">
            <v>#N/A</v>
          </cell>
          <cell r="C208" t="str">
            <v>--</v>
          </cell>
          <cell r="E208" t="str">
            <v>--</v>
          </cell>
          <cell r="F208" t="str">
            <v>--</v>
          </cell>
          <cell r="H208">
            <v>0</v>
          </cell>
          <cell r="I208" t="str">
            <v>--</v>
          </cell>
          <cell r="L208" t="str">
            <v>--</v>
          </cell>
          <cell r="N208" t="str">
            <v>--</v>
          </cell>
        </row>
        <row r="209">
          <cell r="B209" t="e">
            <v>#N/A</v>
          </cell>
          <cell r="C209" t="str">
            <v>--</v>
          </cell>
          <cell r="E209" t="str">
            <v>--</v>
          </cell>
          <cell r="F209" t="str">
            <v>--</v>
          </cell>
          <cell r="H209">
            <v>0</v>
          </cell>
          <cell r="I209" t="str">
            <v>--</v>
          </cell>
          <cell r="L209" t="str">
            <v>--</v>
          </cell>
          <cell r="N209" t="str">
            <v>--</v>
          </cell>
        </row>
        <row r="210">
          <cell r="B210" t="e">
            <v>#N/A</v>
          </cell>
          <cell r="C210" t="str">
            <v>--</v>
          </cell>
          <cell r="E210" t="str">
            <v>--</v>
          </cell>
          <cell r="F210" t="str">
            <v>--</v>
          </cell>
          <cell r="H210">
            <v>0</v>
          </cell>
          <cell r="I210" t="str">
            <v>--</v>
          </cell>
          <cell r="L210" t="str">
            <v>--</v>
          </cell>
          <cell r="N210" t="str">
            <v>--</v>
          </cell>
        </row>
        <row r="211">
          <cell r="B211" t="e">
            <v>#N/A</v>
          </cell>
          <cell r="C211" t="str">
            <v>--</v>
          </cell>
          <cell r="E211" t="str">
            <v>--</v>
          </cell>
          <cell r="F211" t="str">
            <v>--</v>
          </cell>
          <cell r="H211">
            <v>0</v>
          </cell>
          <cell r="I211" t="str">
            <v>--</v>
          </cell>
          <cell r="L211" t="str">
            <v>--</v>
          </cell>
          <cell r="N211" t="str">
            <v>--</v>
          </cell>
        </row>
        <row r="212">
          <cell r="B212" t="e">
            <v>#N/A</v>
          </cell>
          <cell r="C212" t="str">
            <v>--</v>
          </cell>
          <cell r="E212" t="str">
            <v>--</v>
          </cell>
          <cell r="F212" t="str">
            <v>--</v>
          </cell>
          <cell r="H212">
            <v>0</v>
          </cell>
          <cell r="I212" t="str">
            <v>--</v>
          </cell>
          <cell r="L212" t="str">
            <v>--</v>
          </cell>
          <cell r="N212" t="str">
            <v>--</v>
          </cell>
        </row>
        <row r="213">
          <cell r="B213" t="e">
            <v>#N/A</v>
          </cell>
          <cell r="C213" t="str">
            <v>--</v>
          </cell>
          <cell r="E213" t="str">
            <v>--</v>
          </cell>
          <cell r="F213" t="str">
            <v>--</v>
          </cell>
          <cell r="H213">
            <v>0</v>
          </cell>
          <cell r="I213" t="str">
            <v>--</v>
          </cell>
          <cell r="L213" t="str">
            <v>--</v>
          </cell>
          <cell r="N213" t="str">
            <v>--</v>
          </cell>
        </row>
        <row r="214">
          <cell r="B214" t="e">
            <v>#N/A</v>
          </cell>
          <cell r="C214" t="str">
            <v>--</v>
          </cell>
          <cell r="E214" t="str">
            <v>--</v>
          </cell>
          <cell r="F214" t="str">
            <v>--</v>
          </cell>
          <cell r="H214">
            <v>0</v>
          </cell>
          <cell r="I214" t="str">
            <v>--</v>
          </cell>
          <cell r="L214" t="str">
            <v>--</v>
          </cell>
          <cell r="N214" t="str">
            <v>--</v>
          </cell>
        </row>
        <row r="215">
          <cell r="B215" t="e">
            <v>#N/A</v>
          </cell>
          <cell r="C215" t="str">
            <v>--</v>
          </cell>
          <cell r="E215" t="str">
            <v>--</v>
          </cell>
          <cell r="F215" t="str">
            <v>--</v>
          </cell>
          <cell r="H215">
            <v>0</v>
          </cell>
          <cell r="I215" t="str">
            <v>--</v>
          </cell>
          <cell r="L215" t="str">
            <v>--</v>
          </cell>
          <cell r="N215" t="str">
            <v>--</v>
          </cell>
        </row>
        <row r="216">
          <cell r="B216" t="e">
            <v>#N/A</v>
          </cell>
          <cell r="C216" t="str">
            <v>--</v>
          </cell>
          <cell r="E216" t="str">
            <v>--</v>
          </cell>
          <cell r="F216" t="str">
            <v>--</v>
          </cell>
          <cell r="H216">
            <v>0</v>
          </cell>
          <cell r="I216" t="str">
            <v>--</v>
          </cell>
          <cell r="L216" t="str">
            <v>--</v>
          </cell>
          <cell r="N216" t="str">
            <v>--</v>
          </cell>
        </row>
        <row r="217">
          <cell r="B217" t="e">
            <v>#N/A</v>
          </cell>
          <cell r="C217" t="str">
            <v>--</v>
          </cell>
          <cell r="E217" t="str">
            <v>--</v>
          </cell>
          <cell r="F217" t="str">
            <v>--</v>
          </cell>
          <cell r="H217">
            <v>0</v>
          </cell>
          <cell r="I217" t="str">
            <v>--</v>
          </cell>
          <cell r="L217" t="str">
            <v>--</v>
          </cell>
          <cell r="N217" t="str">
            <v>--</v>
          </cell>
        </row>
        <row r="218">
          <cell r="B218" t="e">
            <v>#N/A</v>
          </cell>
          <cell r="C218" t="str">
            <v>--</v>
          </cell>
          <cell r="E218" t="str">
            <v>--</v>
          </cell>
          <cell r="F218" t="str">
            <v>--</v>
          </cell>
          <cell r="H218">
            <v>0</v>
          </cell>
          <cell r="I218" t="str">
            <v>--</v>
          </cell>
          <cell r="L218" t="str">
            <v>--</v>
          </cell>
          <cell r="N218" t="str">
            <v>--</v>
          </cell>
        </row>
        <row r="219">
          <cell r="B219" t="e">
            <v>#N/A</v>
          </cell>
          <cell r="C219" t="str">
            <v>--</v>
          </cell>
          <cell r="E219" t="str">
            <v>--</v>
          </cell>
          <cell r="F219" t="str">
            <v>--</v>
          </cell>
          <cell r="H219">
            <v>0</v>
          </cell>
          <cell r="I219" t="str">
            <v>--</v>
          </cell>
          <cell r="L219" t="str">
            <v>--</v>
          </cell>
          <cell r="N219" t="str">
            <v>--</v>
          </cell>
        </row>
        <row r="220">
          <cell r="B220" t="e">
            <v>#N/A</v>
          </cell>
          <cell r="C220" t="str">
            <v>--</v>
          </cell>
          <cell r="E220" t="str">
            <v>--</v>
          </cell>
          <cell r="F220" t="str">
            <v>--</v>
          </cell>
          <cell r="H220">
            <v>0</v>
          </cell>
          <cell r="I220" t="str">
            <v>--</v>
          </cell>
          <cell r="L220" t="str">
            <v>--</v>
          </cell>
          <cell r="N220" t="str">
            <v>--</v>
          </cell>
        </row>
        <row r="221">
          <cell r="B221" t="e">
            <v>#N/A</v>
          </cell>
          <cell r="C221" t="str">
            <v>--</v>
          </cell>
          <cell r="E221" t="str">
            <v>--</v>
          </cell>
          <cell r="F221" t="str">
            <v>--</v>
          </cell>
          <cell r="H221">
            <v>0</v>
          </cell>
          <cell r="I221" t="str">
            <v>--</v>
          </cell>
          <cell r="L221" t="str">
            <v>--</v>
          </cell>
          <cell r="N221" t="str">
            <v>--</v>
          </cell>
        </row>
        <row r="222">
          <cell r="B222" t="e">
            <v>#N/A</v>
          </cell>
          <cell r="C222" t="str">
            <v>--</v>
          </cell>
          <cell r="E222" t="str">
            <v>--</v>
          </cell>
          <cell r="F222" t="str">
            <v>--</v>
          </cell>
          <cell r="H222">
            <v>0</v>
          </cell>
          <cell r="I222" t="str">
            <v>--</v>
          </cell>
          <cell r="L222" t="str">
            <v>--</v>
          </cell>
          <cell r="N222" t="str">
            <v>--</v>
          </cell>
        </row>
        <row r="223">
          <cell r="B223" t="e">
            <v>#N/A</v>
          </cell>
          <cell r="C223" t="str">
            <v>--</v>
          </cell>
          <cell r="E223" t="str">
            <v>--</v>
          </cell>
          <cell r="F223" t="str">
            <v>--</v>
          </cell>
          <cell r="H223">
            <v>0</v>
          </cell>
          <cell r="I223" t="str">
            <v>--</v>
          </cell>
          <cell r="L223" t="str">
            <v>--</v>
          </cell>
          <cell r="N223" t="str">
            <v>--</v>
          </cell>
        </row>
        <row r="224">
          <cell r="B224" t="e">
            <v>#N/A</v>
          </cell>
          <cell r="C224" t="str">
            <v>--</v>
          </cell>
          <cell r="E224" t="str">
            <v>--</v>
          </cell>
          <cell r="F224" t="str">
            <v>--</v>
          </cell>
          <cell r="H224">
            <v>0</v>
          </cell>
          <cell r="I224" t="str">
            <v>--</v>
          </cell>
          <cell r="L224" t="str">
            <v>--</v>
          </cell>
          <cell r="N224" t="str">
            <v>--</v>
          </cell>
        </row>
        <row r="225">
          <cell r="B225" t="e">
            <v>#N/A</v>
          </cell>
          <cell r="C225" t="str">
            <v>--</v>
          </cell>
          <cell r="E225" t="str">
            <v>--</v>
          </cell>
          <cell r="F225" t="str">
            <v>--</v>
          </cell>
          <cell r="H225">
            <v>0</v>
          </cell>
          <cell r="I225" t="str">
            <v>--</v>
          </cell>
          <cell r="L225" t="str">
            <v>--</v>
          </cell>
          <cell r="N225" t="str">
            <v>--</v>
          </cell>
        </row>
        <row r="226">
          <cell r="B226" t="e">
            <v>#N/A</v>
          </cell>
          <cell r="C226" t="str">
            <v>--</v>
          </cell>
          <cell r="E226" t="str">
            <v>--</v>
          </cell>
          <cell r="F226" t="str">
            <v>--</v>
          </cell>
          <cell r="H226">
            <v>0</v>
          </cell>
          <cell r="I226" t="str">
            <v>--</v>
          </cell>
          <cell r="L226" t="str">
            <v>--</v>
          </cell>
          <cell r="N226" t="str">
            <v>--</v>
          </cell>
        </row>
        <row r="227">
          <cell r="B227" t="e">
            <v>#N/A</v>
          </cell>
          <cell r="C227" t="str">
            <v>--</v>
          </cell>
          <cell r="E227" t="str">
            <v>--</v>
          </cell>
          <cell r="F227" t="str">
            <v>--</v>
          </cell>
          <cell r="H227">
            <v>0</v>
          </cell>
          <cell r="I227" t="str">
            <v>--</v>
          </cell>
          <cell r="L227" t="str">
            <v>--</v>
          </cell>
          <cell r="N227" t="str">
            <v>--</v>
          </cell>
        </row>
        <row r="228">
          <cell r="B228" t="e">
            <v>#N/A</v>
          </cell>
          <cell r="C228" t="str">
            <v>--</v>
          </cell>
          <cell r="E228" t="str">
            <v>--</v>
          </cell>
          <cell r="F228" t="str">
            <v>--</v>
          </cell>
          <cell r="H228">
            <v>0</v>
          </cell>
          <cell r="I228" t="str">
            <v>--</v>
          </cell>
          <cell r="L228" t="str">
            <v>--</v>
          </cell>
          <cell r="N228" t="str">
            <v>--</v>
          </cell>
        </row>
        <row r="229">
          <cell r="B229" t="e">
            <v>#N/A</v>
          </cell>
          <cell r="C229" t="str">
            <v>--</v>
          </cell>
          <cell r="E229" t="str">
            <v>--</v>
          </cell>
          <cell r="F229" t="str">
            <v>--</v>
          </cell>
          <cell r="H229">
            <v>0</v>
          </cell>
          <cell r="I229" t="str">
            <v>--</v>
          </cell>
          <cell r="L229" t="str">
            <v>--</v>
          </cell>
          <cell r="N229" t="str">
            <v>--</v>
          </cell>
        </row>
        <row r="230">
          <cell r="B230" t="e">
            <v>#N/A</v>
          </cell>
          <cell r="C230" t="str">
            <v>--</v>
          </cell>
          <cell r="E230" t="str">
            <v>--</v>
          </cell>
          <cell r="F230" t="str">
            <v>--</v>
          </cell>
          <cell r="H230">
            <v>0</v>
          </cell>
          <cell r="I230" t="str">
            <v>--</v>
          </cell>
          <cell r="L230" t="str">
            <v>--</v>
          </cell>
          <cell r="N230" t="str">
            <v>--</v>
          </cell>
        </row>
        <row r="231">
          <cell r="B231" t="e">
            <v>#N/A</v>
          </cell>
          <cell r="C231" t="str">
            <v>--</v>
          </cell>
          <cell r="E231" t="str">
            <v>--</v>
          </cell>
          <cell r="F231" t="str">
            <v>--</v>
          </cell>
          <cell r="H231">
            <v>0</v>
          </cell>
          <cell r="I231" t="str">
            <v>--</v>
          </cell>
          <cell r="L231" t="str">
            <v>--</v>
          </cell>
          <cell r="N231" t="str">
            <v>--</v>
          </cell>
        </row>
        <row r="232">
          <cell r="B232" t="e">
            <v>#N/A</v>
          </cell>
          <cell r="C232" t="str">
            <v>--</v>
          </cell>
          <cell r="E232" t="str">
            <v>--</v>
          </cell>
          <cell r="F232" t="str">
            <v>--</v>
          </cell>
          <cell r="H232">
            <v>0</v>
          </cell>
          <cell r="I232" t="str">
            <v>--</v>
          </cell>
          <cell r="L232" t="str">
            <v>--</v>
          </cell>
          <cell r="N232" t="str">
            <v>--</v>
          </cell>
        </row>
        <row r="233">
          <cell r="B233" t="e">
            <v>#N/A</v>
          </cell>
          <cell r="C233" t="str">
            <v>--</v>
          </cell>
          <cell r="E233" t="str">
            <v>--</v>
          </cell>
          <cell r="F233" t="str">
            <v>--</v>
          </cell>
          <cell r="H233">
            <v>0</v>
          </cell>
          <cell r="I233" t="str">
            <v>--</v>
          </cell>
          <cell r="L233" t="str">
            <v>--</v>
          </cell>
          <cell r="N233" t="str">
            <v>--</v>
          </cell>
        </row>
        <row r="234">
          <cell r="B234" t="e">
            <v>#N/A</v>
          </cell>
          <cell r="C234" t="str">
            <v>--</v>
          </cell>
          <cell r="E234" t="str">
            <v>--</v>
          </cell>
          <cell r="F234" t="str">
            <v>--</v>
          </cell>
          <cell r="H234">
            <v>0</v>
          </cell>
          <cell r="I234" t="str">
            <v>--</v>
          </cell>
          <cell r="L234" t="str">
            <v>--</v>
          </cell>
          <cell r="N234" t="str">
            <v>--</v>
          </cell>
        </row>
        <row r="235">
          <cell r="B235" t="e">
            <v>#N/A</v>
          </cell>
          <cell r="C235" t="str">
            <v>--</v>
          </cell>
          <cell r="E235" t="str">
            <v>--</v>
          </cell>
          <cell r="F235" t="str">
            <v>--</v>
          </cell>
          <cell r="H235">
            <v>0</v>
          </cell>
          <cell r="I235" t="str">
            <v>--</v>
          </cell>
          <cell r="L235" t="str">
            <v>--</v>
          </cell>
          <cell r="N235" t="str">
            <v>--</v>
          </cell>
        </row>
        <row r="236">
          <cell r="B236" t="e">
            <v>#N/A</v>
          </cell>
          <cell r="C236" t="str">
            <v>--</v>
          </cell>
          <cell r="E236" t="str">
            <v>--</v>
          </cell>
          <cell r="F236" t="str">
            <v>--</v>
          </cell>
          <cell r="H236">
            <v>0</v>
          </cell>
          <cell r="I236" t="str">
            <v>--</v>
          </cell>
          <cell r="L236" t="str">
            <v>--</v>
          </cell>
          <cell r="N236" t="str">
            <v>--</v>
          </cell>
        </row>
        <row r="237">
          <cell r="B237" t="e">
            <v>#N/A</v>
          </cell>
          <cell r="C237" t="str">
            <v>--</v>
          </cell>
          <cell r="E237" t="str">
            <v>--</v>
          </cell>
          <cell r="F237" t="str">
            <v>--</v>
          </cell>
          <cell r="H237">
            <v>0</v>
          </cell>
          <cell r="I237" t="str">
            <v>--</v>
          </cell>
          <cell r="L237" t="str">
            <v>--</v>
          </cell>
          <cell r="N237" t="str">
            <v>--</v>
          </cell>
        </row>
        <row r="238">
          <cell r="B238" t="e">
            <v>#N/A</v>
          </cell>
          <cell r="C238" t="str">
            <v>--</v>
          </cell>
          <cell r="E238" t="str">
            <v>--</v>
          </cell>
          <cell r="F238" t="str">
            <v>--</v>
          </cell>
          <cell r="H238">
            <v>0</v>
          </cell>
          <cell r="I238" t="str">
            <v>--</v>
          </cell>
          <cell r="L238" t="str">
            <v>--</v>
          </cell>
          <cell r="N238" t="str">
            <v>--</v>
          </cell>
        </row>
        <row r="239">
          <cell r="B239" t="e">
            <v>#N/A</v>
          </cell>
          <cell r="C239" t="str">
            <v>--</v>
          </cell>
          <cell r="E239" t="str">
            <v>--</v>
          </cell>
          <cell r="F239" t="str">
            <v>--</v>
          </cell>
          <cell r="H239">
            <v>0</v>
          </cell>
          <cell r="I239" t="str">
            <v>--</v>
          </cell>
          <cell r="L239" t="str">
            <v>--</v>
          </cell>
          <cell r="N239" t="str">
            <v>--</v>
          </cell>
        </row>
        <row r="240">
          <cell r="B240" t="e">
            <v>#N/A</v>
          </cell>
          <cell r="C240" t="str">
            <v>--</v>
          </cell>
          <cell r="E240" t="str">
            <v>--</v>
          </cell>
          <cell r="F240" t="str">
            <v>--</v>
          </cell>
          <cell r="H240">
            <v>0</v>
          </cell>
          <cell r="I240" t="str">
            <v>--</v>
          </cell>
          <cell r="L240" t="str">
            <v>--</v>
          </cell>
          <cell r="N240" t="str">
            <v>--</v>
          </cell>
        </row>
        <row r="241">
          <cell r="B241" t="e">
            <v>#N/A</v>
          </cell>
          <cell r="C241" t="str">
            <v>--</v>
          </cell>
          <cell r="E241" t="str">
            <v>--</v>
          </cell>
          <cell r="F241" t="str">
            <v>--</v>
          </cell>
          <cell r="H241">
            <v>0</v>
          </cell>
          <cell r="I241" t="str">
            <v>--</v>
          </cell>
          <cell r="L241" t="str">
            <v>--</v>
          </cell>
          <cell r="N241" t="str">
            <v>--</v>
          </cell>
        </row>
        <row r="242">
          <cell r="B242" t="e">
            <v>#N/A</v>
          </cell>
          <cell r="C242" t="str">
            <v>--</v>
          </cell>
          <cell r="E242" t="str">
            <v>--</v>
          </cell>
          <cell r="F242" t="str">
            <v>--</v>
          </cell>
          <cell r="H242">
            <v>0</v>
          </cell>
          <cell r="I242" t="str">
            <v>--</v>
          </cell>
          <cell r="L242" t="str">
            <v>--</v>
          </cell>
          <cell r="N242" t="str">
            <v>--</v>
          </cell>
        </row>
        <row r="243">
          <cell r="B243" t="e">
            <v>#N/A</v>
          </cell>
          <cell r="C243" t="str">
            <v>--</v>
          </cell>
          <cell r="E243" t="str">
            <v>--</v>
          </cell>
          <cell r="F243" t="str">
            <v>--</v>
          </cell>
          <cell r="H243">
            <v>0</v>
          </cell>
          <cell r="I243" t="str">
            <v>--</v>
          </cell>
          <cell r="L243" t="str">
            <v>--</v>
          </cell>
          <cell r="N243" t="str">
            <v>--</v>
          </cell>
        </row>
        <row r="244">
          <cell r="B244" t="e">
            <v>#N/A</v>
          </cell>
          <cell r="C244" t="str">
            <v>--</v>
          </cell>
          <cell r="E244" t="str">
            <v>--</v>
          </cell>
          <cell r="F244" t="str">
            <v>--</v>
          </cell>
          <cell r="H244">
            <v>0</v>
          </cell>
          <cell r="I244" t="str">
            <v>--</v>
          </cell>
          <cell r="L244" t="str">
            <v>--</v>
          </cell>
          <cell r="N244" t="str">
            <v>--</v>
          </cell>
        </row>
        <row r="245">
          <cell r="B245" t="e">
            <v>#N/A</v>
          </cell>
          <cell r="C245" t="str">
            <v>--</v>
          </cell>
          <cell r="E245" t="str">
            <v>--</v>
          </cell>
          <cell r="F245" t="str">
            <v>--</v>
          </cell>
          <cell r="H245">
            <v>0</v>
          </cell>
          <cell r="I245" t="str">
            <v>--</v>
          </cell>
          <cell r="L245" t="str">
            <v>--</v>
          </cell>
          <cell r="N245" t="str">
            <v>--</v>
          </cell>
        </row>
        <row r="246">
          <cell r="B246" t="e">
            <v>#N/A</v>
          </cell>
          <cell r="C246" t="str">
            <v>--</v>
          </cell>
          <cell r="E246" t="str">
            <v>--</v>
          </cell>
          <cell r="F246" t="str">
            <v>--</v>
          </cell>
          <cell r="H246">
            <v>0</v>
          </cell>
          <cell r="I246" t="str">
            <v>--</v>
          </cell>
          <cell r="L246" t="str">
            <v>--</v>
          </cell>
          <cell r="N246" t="str">
            <v>--</v>
          </cell>
        </row>
        <row r="247">
          <cell r="B247" t="e">
            <v>#N/A</v>
          </cell>
          <cell r="C247" t="str">
            <v>--</v>
          </cell>
          <cell r="E247" t="str">
            <v>--</v>
          </cell>
          <cell r="F247" t="str">
            <v>--</v>
          </cell>
          <cell r="H247">
            <v>0</v>
          </cell>
          <cell r="I247" t="str">
            <v>--</v>
          </cell>
          <cell r="L247" t="str">
            <v>--</v>
          </cell>
          <cell r="N247" t="str">
            <v>--</v>
          </cell>
        </row>
        <row r="248">
          <cell r="B248" t="e">
            <v>#N/A</v>
          </cell>
          <cell r="C248" t="str">
            <v>--</v>
          </cell>
          <cell r="E248" t="str">
            <v>--</v>
          </cell>
          <cell r="F248" t="str">
            <v>--</v>
          </cell>
          <cell r="H248">
            <v>0</v>
          </cell>
          <cell r="I248" t="str">
            <v>--</v>
          </cell>
          <cell r="L248" t="str">
            <v>--</v>
          </cell>
          <cell r="N248" t="str">
            <v>--</v>
          </cell>
        </row>
        <row r="249">
          <cell r="B249" t="e">
            <v>#N/A</v>
          </cell>
          <cell r="C249" t="str">
            <v>--</v>
          </cell>
          <cell r="E249" t="str">
            <v>--</v>
          </cell>
          <cell r="F249" t="str">
            <v>--</v>
          </cell>
          <cell r="H249">
            <v>0</v>
          </cell>
          <cell r="I249" t="str">
            <v>--</v>
          </cell>
          <cell r="L249" t="str">
            <v>--</v>
          </cell>
          <cell r="N249" t="str">
            <v>--</v>
          </cell>
        </row>
        <row r="250">
          <cell r="B250" t="e">
            <v>#N/A</v>
          </cell>
          <cell r="C250" t="str">
            <v>--</v>
          </cell>
          <cell r="E250" t="str">
            <v>--</v>
          </cell>
          <cell r="F250" t="str">
            <v>--</v>
          </cell>
          <cell r="H250">
            <v>0</v>
          </cell>
          <cell r="I250" t="str">
            <v>--</v>
          </cell>
          <cell r="L250" t="str">
            <v>--</v>
          </cell>
          <cell r="N250" t="str">
            <v>--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-ANNPLAN"/>
      <sheetName val="DataYTD"/>
      <sheetName val="Project Definition Form Summary"/>
      <sheetName val="DirectworksLists"/>
    </sheetNames>
    <sheetDataSet>
      <sheetData sheetId="0" refreshError="1"/>
      <sheetData sheetId="1" refreshError="1">
        <row r="30">
          <cell r="B30">
            <v>182500962.54000002</v>
          </cell>
        </row>
        <row r="41">
          <cell r="B41">
            <v>136244.79999999999</v>
          </cell>
        </row>
        <row r="49">
          <cell r="B49">
            <v>266224.46000000002</v>
          </cell>
        </row>
        <row r="54">
          <cell r="B54">
            <v>-6006.4</v>
          </cell>
        </row>
        <row r="66">
          <cell r="B66">
            <v>386033.93</v>
          </cell>
        </row>
        <row r="68">
          <cell r="B68">
            <v>0</v>
          </cell>
        </row>
        <row r="87">
          <cell r="B87">
            <v>0.94999995690886863</v>
          </cell>
        </row>
        <row r="92">
          <cell r="B92">
            <v>-6215.15</v>
          </cell>
        </row>
        <row r="99">
          <cell r="B99">
            <v>151.94999999999999</v>
          </cell>
        </row>
        <row r="109">
          <cell r="B109">
            <v>15420785.319999998</v>
          </cell>
        </row>
        <row r="117">
          <cell r="B117">
            <v>0</v>
          </cell>
        </row>
        <row r="141">
          <cell r="B141">
            <v>1060950562.9799998</v>
          </cell>
        </row>
        <row r="147">
          <cell r="B147">
            <v>48624253.730000004</v>
          </cell>
        </row>
        <row r="166">
          <cell r="B166">
            <v>-43384313.779999994</v>
          </cell>
        </row>
        <row r="175">
          <cell r="B175">
            <v>55055720.279999971</v>
          </cell>
        </row>
        <row r="192">
          <cell r="B192">
            <v>2369816.5</v>
          </cell>
        </row>
        <row r="223">
          <cell r="B223">
            <v>-12111656.27</v>
          </cell>
        </row>
        <row r="226">
          <cell r="B226">
            <v>-379640.2</v>
          </cell>
        </row>
        <row r="232">
          <cell r="B232">
            <v>-49883965.840000004</v>
          </cell>
        </row>
        <row r="242">
          <cell r="B242">
            <v>-150449.22</v>
          </cell>
        </row>
        <row r="297">
          <cell r="B297">
            <v>-19339539.280000001</v>
          </cell>
        </row>
        <row r="308">
          <cell r="B308">
            <v>-4190083.38</v>
          </cell>
        </row>
        <row r="316">
          <cell r="B316">
            <v>-10191482.74</v>
          </cell>
        </row>
        <row r="324">
          <cell r="B324">
            <v>-309951.28000000003</v>
          </cell>
        </row>
        <row r="335">
          <cell r="B335">
            <v>-68203.839999999997</v>
          </cell>
        </row>
        <row r="356">
          <cell r="B356">
            <v>-707595.56</v>
          </cell>
        </row>
        <row r="365">
          <cell r="B365">
            <v>-347625.36</v>
          </cell>
        </row>
        <row r="417">
          <cell r="B417">
            <v>-1316760098.0100002</v>
          </cell>
        </row>
        <row r="419">
          <cell r="B419" t="str">
            <v>0</v>
          </cell>
        </row>
        <row r="423">
          <cell r="B423">
            <v>390974029.7299999</v>
          </cell>
        </row>
      </sheetData>
      <sheetData sheetId="2" refreshError="1"/>
      <sheetData sheetId="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es"/>
      <sheetName val="PEB list"/>
      <sheetName val="PEB list 2006"/>
      <sheetName val="Intenal rate "/>
      <sheetName val="Tax rate"/>
      <sheetName val="Internal rate 2006"/>
      <sheetName val="Tax rate 2006"/>
      <sheetName val="export2006"/>
      <sheetName val="irate"/>
      <sheetName val="tr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UBE FAB"/>
      <sheetName val="Tube CBD"/>
      <sheetName val="SHEET METAL"/>
      <sheetName val="Sheet Metal_CBD"/>
      <sheetName val="Weld Table"/>
      <sheetName val="SHEET METAL BACK UP"/>
      <sheetName val="PLASTIC"/>
      <sheetName val="Plastic CBD"/>
      <sheetName val="Plastic-Backup"/>
      <sheetName val="CASTING"/>
      <sheetName val="Casting CBD "/>
      <sheetName val="MACHINED"/>
      <sheetName val="EXTRUSION"/>
      <sheetName val="Extrusion CBD"/>
      <sheetName val="Machining - Cycle time"/>
      <sheetName val="StandardRates"/>
      <sheetName val="StandardRates_RM"/>
      <sheetName val="Burden rate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2">
          <cell r="D2" t="str">
            <v>NORTH AMERICA</v>
          </cell>
          <cell r="G2" t="str">
            <v>CHINA</v>
          </cell>
          <cell r="J2" t="str">
            <v>EUROPE</v>
          </cell>
          <cell r="M2" t="str">
            <v>Hungary</v>
          </cell>
          <cell r="P2" t="str">
            <v>Germany</v>
          </cell>
          <cell r="S2" t="str">
            <v>INDIA</v>
          </cell>
          <cell r="V2" t="str">
            <v>BRAZIL</v>
          </cell>
          <cell r="Y2" t="str">
            <v>MEXICO</v>
          </cell>
        </row>
        <row r="3">
          <cell r="C3" t="str">
            <v>Un-Skilled Operator</v>
          </cell>
          <cell r="D3">
            <v>17.64</v>
          </cell>
          <cell r="G3">
            <v>6.508</v>
          </cell>
          <cell r="J3">
            <v>39.865853658536587</v>
          </cell>
          <cell r="M3">
            <v>5.1341463414634152</v>
          </cell>
          <cell r="P3">
            <v>39.865853658536587</v>
          </cell>
          <cell r="S3">
            <v>1.0756610169491501</v>
          </cell>
        </row>
        <row r="4">
          <cell r="C4" t="str">
            <v>Operator</v>
          </cell>
          <cell r="D4">
            <v>29.53</v>
          </cell>
          <cell r="G4">
            <v>8.4220000000000006</v>
          </cell>
          <cell r="J4">
            <v>47.256097560975611</v>
          </cell>
          <cell r="M4">
            <v>6.3048780487804885</v>
          </cell>
          <cell r="P4">
            <v>47.256097560975611</v>
          </cell>
          <cell r="S4">
            <v>1.8078644067796601</v>
          </cell>
        </row>
        <row r="5">
          <cell r="C5" t="str">
            <v>Setter</v>
          </cell>
          <cell r="D5">
            <v>35.200000000000003</v>
          </cell>
          <cell r="G5">
            <v>10.718999999999999</v>
          </cell>
          <cell r="J5">
            <v>53.853658536585364</v>
          </cell>
          <cell r="M5">
            <v>8.7682926829268304</v>
          </cell>
          <cell r="P5">
            <v>53.853658536585364</v>
          </cell>
          <cell r="S5">
            <v>2.1694372881355921</v>
          </cell>
        </row>
        <row r="8">
          <cell r="B8" t="str">
            <v>Machine Name</v>
          </cell>
          <cell r="C8" t="str">
            <v>Capacity /Tons</v>
          </cell>
          <cell r="D8" t="str">
            <v>NORTH AMERICA</v>
          </cell>
          <cell r="G8" t="str">
            <v>CHINA</v>
          </cell>
          <cell r="J8" t="str">
            <v>EUROPE</v>
          </cell>
          <cell r="M8" t="str">
            <v>Hungary</v>
          </cell>
          <cell r="P8" t="str">
            <v>Germany</v>
          </cell>
          <cell r="S8" t="str">
            <v>INDIA</v>
          </cell>
          <cell r="V8" t="str">
            <v>BRAZIL</v>
          </cell>
          <cell r="Y8" t="str">
            <v>MEXICO</v>
          </cell>
          <cell r="AB8" t="str">
            <v>MINIMUM  RUN Hour</v>
          </cell>
          <cell r="AC8" t="str">
            <v>Setup time</v>
          </cell>
        </row>
        <row r="10">
          <cell r="B10" t="str">
            <v>PLASTIC INJECTION MOLDING</v>
          </cell>
        </row>
        <row r="11">
          <cell r="B11" t="str">
            <v>AIM (25T)</v>
          </cell>
          <cell r="C11">
            <v>25</v>
          </cell>
          <cell r="AC11">
            <v>60</v>
          </cell>
        </row>
        <row r="12">
          <cell r="B12" t="str">
            <v>AIM (60T)</v>
          </cell>
          <cell r="C12">
            <v>60</v>
          </cell>
          <cell r="D12">
            <v>11.13</v>
          </cell>
          <cell r="E12">
            <v>1</v>
          </cell>
          <cell r="F12">
            <v>0</v>
          </cell>
          <cell r="G12">
            <v>5.3520000000000003</v>
          </cell>
          <cell r="H12">
            <v>1</v>
          </cell>
          <cell r="I12">
            <v>0</v>
          </cell>
          <cell r="J12">
            <v>13.1</v>
          </cell>
          <cell r="K12">
            <v>1</v>
          </cell>
          <cell r="L12">
            <v>0</v>
          </cell>
          <cell r="P12">
            <v>13.085365853658537</v>
          </cell>
          <cell r="Q12">
            <v>1</v>
          </cell>
          <cell r="R12">
            <v>0</v>
          </cell>
          <cell r="S12">
            <v>6.96</v>
          </cell>
          <cell r="T12">
            <v>1</v>
          </cell>
          <cell r="U12">
            <v>0</v>
          </cell>
          <cell r="Z12">
            <v>1</v>
          </cell>
          <cell r="AA12">
            <v>0</v>
          </cell>
          <cell r="AC12">
            <v>60</v>
          </cell>
        </row>
        <row r="13">
          <cell r="B13" t="str">
            <v>AIM (100T)</v>
          </cell>
          <cell r="C13">
            <v>100</v>
          </cell>
          <cell r="P13">
            <v>17.670731707317074</v>
          </cell>
          <cell r="Q13">
            <v>1</v>
          </cell>
          <cell r="R13">
            <v>0</v>
          </cell>
          <cell r="AC13">
            <v>60</v>
          </cell>
        </row>
        <row r="14">
          <cell r="B14" t="str">
            <v>AIM (150T)</v>
          </cell>
          <cell r="C14">
            <v>150</v>
          </cell>
          <cell r="D14">
            <v>13.83</v>
          </cell>
          <cell r="E14">
            <v>1</v>
          </cell>
          <cell r="F14">
            <v>0</v>
          </cell>
          <cell r="G14">
            <v>7.6452599388379205</v>
          </cell>
          <cell r="H14">
            <v>1</v>
          </cell>
          <cell r="I14">
            <v>0</v>
          </cell>
          <cell r="J14">
            <v>15.219512195121952</v>
          </cell>
          <cell r="K14">
            <v>1</v>
          </cell>
          <cell r="L14">
            <v>0</v>
          </cell>
          <cell r="M14">
            <v>15.219512195121952</v>
          </cell>
          <cell r="N14">
            <v>1</v>
          </cell>
          <cell r="O14">
            <v>0</v>
          </cell>
          <cell r="P14">
            <v>17.170731707317074</v>
          </cell>
          <cell r="Q14">
            <v>1</v>
          </cell>
          <cell r="R14">
            <v>0</v>
          </cell>
          <cell r="S14">
            <v>9.1097660500544073</v>
          </cell>
          <cell r="T14">
            <v>1</v>
          </cell>
          <cell r="U14">
            <v>0</v>
          </cell>
          <cell r="V14">
            <v>13.928900000000001</v>
          </cell>
          <cell r="W14">
            <v>1</v>
          </cell>
          <cell r="X14">
            <v>0</v>
          </cell>
          <cell r="Y14">
            <v>10.35</v>
          </cell>
          <cell r="Z14">
            <v>1</v>
          </cell>
          <cell r="AA14">
            <v>0</v>
          </cell>
          <cell r="AC14">
            <v>60</v>
          </cell>
        </row>
        <row r="15">
          <cell r="B15" t="str">
            <v>AIM (200T)</v>
          </cell>
          <cell r="C15">
            <v>200</v>
          </cell>
          <cell r="D15">
            <v>14.67</v>
          </cell>
          <cell r="E15">
            <v>1</v>
          </cell>
          <cell r="F15">
            <v>0</v>
          </cell>
          <cell r="G15">
            <v>8.4097859327217126</v>
          </cell>
          <cell r="H15">
            <v>1</v>
          </cell>
          <cell r="I15">
            <v>0</v>
          </cell>
          <cell r="P15">
            <v>18.036585365853657</v>
          </cell>
          <cell r="Q15">
            <v>1</v>
          </cell>
          <cell r="R15">
            <v>0</v>
          </cell>
          <cell r="S15">
            <v>9.5795701849836785</v>
          </cell>
          <cell r="T15">
            <v>1</v>
          </cell>
          <cell r="U15">
            <v>0</v>
          </cell>
          <cell r="Z15">
            <v>1</v>
          </cell>
          <cell r="AA15">
            <v>0</v>
          </cell>
          <cell r="AC15">
            <v>60</v>
          </cell>
        </row>
        <row r="16">
          <cell r="B16" t="str">
            <v>AIM (300T)</v>
          </cell>
          <cell r="C16">
            <v>300</v>
          </cell>
          <cell r="D16">
            <v>15.82</v>
          </cell>
          <cell r="E16">
            <v>1</v>
          </cell>
          <cell r="F16">
            <v>0</v>
          </cell>
          <cell r="G16">
            <v>10.703363914373089</v>
          </cell>
          <cell r="P16">
            <v>20.743902439024392</v>
          </cell>
          <cell r="Q16">
            <v>1</v>
          </cell>
          <cell r="R16">
            <v>0</v>
          </cell>
          <cell r="S16">
            <v>11.008705114254626</v>
          </cell>
          <cell r="T16">
            <v>1</v>
          </cell>
          <cell r="U16">
            <v>0</v>
          </cell>
          <cell r="Z16">
            <v>1</v>
          </cell>
          <cell r="AA16">
            <v>0</v>
          </cell>
          <cell r="AC16">
            <v>60</v>
          </cell>
        </row>
        <row r="17">
          <cell r="B17" t="str">
            <v>AIM (350T)</v>
          </cell>
          <cell r="C17">
            <v>350</v>
          </cell>
          <cell r="AC17">
            <v>60</v>
          </cell>
        </row>
        <row r="18">
          <cell r="B18" t="str">
            <v>AIM (400T)</v>
          </cell>
          <cell r="C18">
            <v>400</v>
          </cell>
          <cell r="AC18">
            <v>60</v>
          </cell>
        </row>
        <row r="19">
          <cell r="B19" t="str">
            <v>AIM (450T)</v>
          </cell>
          <cell r="C19">
            <v>450</v>
          </cell>
          <cell r="AC19">
            <v>60</v>
          </cell>
        </row>
        <row r="20">
          <cell r="B20" t="str">
            <v>AIM (500T)</v>
          </cell>
          <cell r="C20">
            <v>500</v>
          </cell>
          <cell r="D20">
            <v>36.479999999999997</v>
          </cell>
          <cell r="E20">
            <v>1</v>
          </cell>
          <cell r="F20">
            <v>0</v>
          </cell>
          <cell r="G20">
            <v>16.819571865443425</v>
          </cell>
          <cell r="H20">
            <v>1</v>
          </cell>
          <cell r="I20">
            <v>0</v>
          </cell>
          <cell r="J20">
            <v>39.81707317073171</v>
          </cell>
          <cell r="K20">
            <v>1</v>
          </cell>
          <cell r="L20">
            <v>0</v>
          </cell>
          <cell r="M20">
            <v>39.81707317073171</v>
          </cell>
          <cell r="N20">
            <v>1</v>
          </cell>
          <cell r="O20">
            <v>0</v>
          </cell>
          <cell r="P20">
            <v>44.243902439024396</v>
          </cell>
          <cell r="Q20">
            <v>1</v>
          </cell>
          <cell r="R20">
            <v>0</v>
          </cell>
          <cell r="S20">
            <v>20.402611534276389</v>
          </cell>
          <cell r="T20">
            <v>1</v>
          </cell>
          <cell r="U20">
            <v>0</v>
          </cell>
          <cell r="V20">
            <v>35.649700000000003</v>
          </cell>
          <cell r="W20">
            <v>1</v>
          </cell>
          <cell r="X20">
            <v>0</v>
          </cell>
          <cell r="Y20">
            <v>26.64</v>
          </cell>
          <cell r="Z20">
            <v>1</v>
          </cell>
          <cell r="AA20">
            <v>0</v>
          </cell>
          <cell r="AC20">
            <v>60</v>
          </cell>
        </row>
        <row r="21">
          <cell r="B21" t="str">
            <v>AIM (550T)</v>
          </cell>
          <cell r="C21">
            <v>550</v>
          </cell>
          <cell r="AC21">
            <v>60</v>
          </cell>
        </row>
        <row r="22">
          <cell r="B22" t="str">
            <v>AIM (600T)</v>
          </cell>
          <cell r="C22">
            <v>600</v>
          </cell>
          <cell r="AC22">
            <v>60</v>
          </cell>
        </row>
        <row r="23">
          <cell r="B23" t="str">
            <v>AIM (650T)</v>
          </cell>
          <cell r="C23">
            <v>650</v>
          </cell>
          <cell r="AC23">
            <v>60</v>
          </cell>
        </row>
        <row r="24">
          <cell r="B24" t="str">
            <v>AIM (700T)</v>
          </cell>
          <cell r="C24">
            <v>700</v>
          </cell>
          <cell r="D24">
            <v>39.15</v>
          </cell>
          <cell r="E24">
            <v>1</v>
          </cell>
          <cell r="F24">
            <v>0</v>
          </cell>
          <cell r="G24">
            <v>25.855045871559636</v>
          </cell>
          <cell r="H24">
            <v>1</v>
          </cell>
          <cell r="I24">
            <v>0</v>
          </cell>
          <cell r="AC24">
            <v>60</v>
          </cell>
        </row>
        <row r="25">
          <cell r="B25" t="str">
            <v>AIM (750T)</v>
          </cell>
          <cell r="C25">
            <v>750</v>
          </cell>
          <cell r="AC25">
            <v>60</v>
          </cell>
        </row>
        <row r="26">
          <cell r="B26" t="str">
            <v>AIM (800T)</v>
          </cell>
          <cell r="C26">
            <v>800</v>
          </cell>
          <cell r="D26">
            <v>41.51</v>
          </cell>
          <cell r="E26">
            <v>0.5</v>
          </cell>
          <cell r="F26">
            <v>0</v>
          </cell>
          <cell r="G26">
            <v>25.229357798165136</v>
          </cell>
          <cell r="H26">
            <v>1</v>
          </cell>
          <cell r="I26">
            <v>0</v>
          </cell>
          <cell r="S26">
            <v>23.330236534276388</v>
          </cell>
          <cell r="T26">
            <v>1</v>
          </cell>
          <cell r="U26">
            <v>0</v>
          </cell>
          <cell r="AB26">
            <v>8</v>
          </cell>
          <cell r="AC26">
            <v>60</v>
          </cell>
        </row>
        <row r="27">
          <cell r="B27" t="str">
            <v>AIM (850T)</v>
          </cell>
          <cell r="C27">
            <v>850</v>
          </cell>
          <cell r="AC27">
            <v>60</v>
          </cell>
        </row>
        <row r="28">
          <cell r="B28" t="str">
            <v>AIM (900T)</v>
          </cell>
          <cell r="C28">
            <v>900</v>
          </cell>
          <cell r="AC28">
            <v>60</v>
          </cell>
        </row>
        <row r="29">
          <cell r="B29" t="str">
            <v>AIM (950T)</v>
          </cell>
          <cell r="C29">
            <v>950</v>
          </cell>
          <cell r="AC29">
            <v>60</v>
          </cell>
        </row>
        <row r="30">
          <cell r="B30" t="str">
            <v>AIM (1000T)</v>
          </cell>
          <cell r="C30">
            <v>1000</v>
          </cell>
          <cell r="D30">
            <v>57.76</v>
          </cell>
          <cell r="E30">
            <v>0.5</v>
          </cell>
          <cell r="F30">
            <v>1</v>
          </cell>
          <cell r="G30">
            <v>39.85</v>
          </cell>
          <cell r="H30">
            <v>1</v>
          </cell>
          <cell r="I30">
            <v>0</v>
          </cell>
          <cell r="J30">
            <v>65.158536585365852</v>
          </cell>
          <cell r="K30">
            <v>1</v>
          </cell>
          <cell r="L30">
            <v>0</v>
          </cell>
          <cell r="M30">
            <v>65.158536585365852</v>
          </cell>
          <cell r="N30">
            <v>1</v>
          </cell>
          <cell r="O30">
            <v>0</v>
          </cell>
          <cell r="P30">
            <v>76.951219512195124</v>
          </cell>
          <cell r="Q30">
            <v>1</v>
          </cell>
          <cell r="R30">
            <v>0</v>
          </cell>
          <cell r="S30">
            <v>34.004352557127312</v>
          </cell>
          <cell r="T30">
            <v>1</v>
          </cell>
          <cell r="U30">
            <v>0</v>
          </cell>
          <cell r="V30">
            <v>57.058900000000001</v>
          </cell>
          <cell r="Y30">
            <v>46.82</v>
          </cell>
          <cell r="Z30">
            <v>1</v>
          </cell>
          <cell r="AA30">
            <v>0</v>
          </cell>
          <cell r="AB30">
            <v>8</v>
          </cell>
          <cell r="AC30">
            <v>60</v>
          </cell>
        </row>
        <row r="31">
          <cell r="B31" t="str">
            <v>AIM (3000T)</v>
          </cell>
          <cell r="C31">
            <v>3000</v>
          </cell>
          <cell r="D31">
            <v>102.6</v>
          </cell>
          <cell r="E31">
            <v>1</v>
          </cell>
          <cell r="F31">
            <v>0</v>
          </cell>
          <cell r="G31">
            <v>1</v>
          </cell>
          <cell r="H31">
            <v>0</v>
          </cell>
          <cell r="I31">
            <v>1</v>
          </cell>
          <cell r="P31">
            <v>126.82926829268294</v>
          </cell>
          <cell r="Q31">
            <v>1</v>
          </cell>
          <cell r="R31">
            <v>0</v>
          </cell>
          <cell r="S31">
            <v>67.756528835690972</v>
          </cell>
          <cell r="T31">
            <v>1</v>
          </cell>
          <cell r="U31">
            <v>0</v>
          </cell>
          <cell r="AC31">
            <v>60</v>
          </cell>
        </row>
        <row r="32">
          <cell r="B32" t="str">
            <v>AIM (4000T)</v>
          </cell>
          <cell r="C32">
            <v>4000</v>
          </cell>
          <cell r="D32">
            <v>121.65</v>
          </cell>
          <cell r="E32">
            <v>1</v>
          </cell>
          <cell r="F32">
            <v>0</v>
          </cell>
          <cell r="G32">
            <v>76.452599388379198</v>
          </cell>
          <cell r="H32">
            <v>1</v>
          </cell>
          <cell r="I32">
            <v>0</v>
          </cell>
          <cell r="P32">
            <v>153.65853658536585</v>
          </cell>
          <cell r="Q32">
            <v>1</v>
          </cell>
          <cell r="R32">
            <v>0</v>
          </cell>
          <cell r="S32">
            <v>81.351741022850916</v>
          </cell>
          <cell r="T32">
            <v>1</v>
          </cell>
          <cell r="U32">
            <v>0</v>
          </cell>
          <cell r="AC32">
            <v>60</v>
          </cell>
        </row>
        <row r="33">
          <cell r="B33" t="str">
            <v>DEFLASHING</v>
          </cell>
          <cell r="C33" t="str">
            <v>MANUAL</v>
          </cell>
          <cell r="D33">
            <v>2</v>
          </cell>
          <cell r="E33">
            <v>0</v>
          </cell>
          <cell r="F33">
            <v>1</v>
          </cell>
          <cell r="G33">
            <v>1</v>
          </cell>
          <cell r="H33">
            <v>0</v>
          </cell>
          <cell r="I33">
            <v>1</v>
          </cell>
          <cell r="J33">
            <v>2.5</v>
          </cell>
          <cell r="K33">
            <v>0</v>
          </cell>
          <cell r="L33">
            <v>1</v>
          </cell>
          <cell r="P33">
            <v>2.5</v>
          </cell>
          <cell r="Q33">
            <v>0</v>
          </cell>
          <cell r="R33">
            <v>1</v>
          </cell>
          <cell r="S33">
            <v>0.5</v>
          </cell>
          <cell r="T33">
            <v>0</v>
          </cell>
          <cell r="U33">
            <v>1</v>
          </cell>
          <cell r="AB33">
            <v>0</v>
          </cell>
          <cell r="AC33">
            <v>15</v>
          </cell>
        </row>
        <row r="34">
          <cell r="B34" t="str">
            <v>Leak Testing (Pneumatic system)</v>
          </cell>
          <cell r="C34" t="str">
            <v>Leak testing plastic</v>
          </cell>
          <cell r="D34">
            <v>4.91</v>
          </cell>
          <cell r="E34">
            <v>0</v>
          </cell>
          <cell r="F34">
            <v>1</v>
          </cell>
          <cell r="G34">
            <v>2.6116207951070334</v>
          </cell>
          <cell r="H34">
            <v>0</v>
          </cell>
          <cell r="I34">
            <v>1</v>
          </cell>
          <cell r="J34">
            <v>5.5</v>
          </cell>
          <cell r="K34">
            <v>0</v>
          </cell>
          <cell r="L34">
            <v>1</v>
          </cell>
          <cell r="Q34">
            <v>0</v>
          </cell>
          <cell r="R34">
            <v>1</v>
          </cell>
          <cell r="S34">
            <v>3.7177638737758434</v>
          </cell>
          <cell r="T34">
            <v>0</v>
          </cell>
          <cell r="U34">
            <v>1</v>
          </cell>
          <cell r="AC34">
            <v>30</v>
          </cell>
        </row>
        <row r="39">
          <cell r="B39" t="str">
            <v xml:space="preserve">SHEET METAL </v>
          </cell>
        </row>
        <row r="40">
          <cell r="B40" t="str">
            <v>CNC Laser Cutting-High</v>
          </cell>
          <cell r="C40" t="str">
            <v>Type - A</v>
          </cell>
          <cell r="G40">
            <v>22.93</v>
          </cell>
          <cell r="H40">
            <v>1</v>
          </cell>
          <cell r="I40">
            <v>0</v>
          </cell>
          <cell r="AC40">
            <v>20</v>
          </cell>
        </row>
        <row r="41">
          <cell r="B41" t="str">
            <v>CNC Laser Cutting-Low</v>
          </cell>
          <cell r="C41" t="str">
            <v>Type - B</v>
          </cell>
          <cell r="AC41">
            <v>20</v>
          </cell>
        </row>
        <row r="42">
          <cell r="B42" t="str">
            <v>CNC Laser Cutting 3.2 Kw</v>
          </cell>
          <cell r="D42">
            <v>37.21</v>
          </cell>
          <cell r="E42">
            <v>1</v>
          </cell>
          <cell r="F42">
            <v>0</v>
          </cell>
          <cell r="G42">
            <v>21.915902140672785</v>
          </cell>
          <cell r="H42">
            <v>1</v>
          </cell>
          <cell r="I42">
            <v>0</v>
          </cell>
          <cell r="M42">
            <v>39.292682926829272</v>
          </cell>
          <cell r="N42">
            <v>1</v>
          </cell>
          <cell r="O42">
            <v>0</v>
          </cell>
          <cell r="P42">
            <v>40.926829268292686</v>
          </cell>
          <cell r="Q42">
            <v>1</v>
          </cell>
          <cell r="R42">
            <v>0</v>
          </cell>
          <cell r="S42">
            <v>34.004352557127312</v>
          </cell>
          <cell r="T42">
            <v>1</v>
          </cell>
          <cell r="U42">
            <v>0</v>
          </cell>
          <cell r="V42">
            <v>35.974600000000002</v>
          </cell>
          <cell r="W42">
            <v>1</v>
          </cell>
          <cell r="X42">
            <v>0</v>
          </cell>
          <cell r="Y42">
            <v>24.03</v>
          </cell>
          <cell r="Z42">
            <v>1</v>
          </cell>
          <cell r="AA42">
            <v>0</v>
          </cell>
          <cell r="AC42">
            <v>20</v>
          </cell>
        </row>
        <row r="43">
          <cell r="B43" t="str">
            <v>CNC Laser Cutting- 4 Kw</v>
          </cell>
          <cell r="D43">
            <v>58.03</v>
          </cell>
          <cell r="E43">
            <v>1</v>
          </cell>
          <cell r="F43">
            <v>0</v>
          </cell>
          <cell r="G43">
            <v>53.51681957186544</v>
          </cell>
          <cell r="H43">
            <v>1</v>
          </cell>
          <cell r="I43">
            <v>0</v>
          </cell>
          <cell r="M43">
            <v>61.609756097560982</v>
          </cell>
          <cell r="N43">
            <v>1</v>
          </cell>
          <cell r="O43">
            <v>0</v>
          </cell>
          <cell r="P43">
            <v>65.256097560975604</v>
          </cell>
          <cell r="Q43">
            <v>1</v>
          </cell>
          <cell r="R43">
            <v>0</v>
          </cell>
          <cell r="S43">
            <v>34.661996735582157</v>
          </cell>
          <cell r="T43">
            <v>1</v>
          </cell>
          <cell r="U43">
            <v>0</v>
          </cell>
          <cell r="V43">
            <v>56.198199999999993</v>
          </cell>
          <cell r="W43">
            <v>1</v>
          </cell>
          <cell r="X43">
            <v>0</v>
          </cell>
          <cell r="Y43">
            <v>37.89</v>
          </cell>
          <cell r="Z43">
            <v>1</v>
          </cell>
          <cell r="AA43">
            <v>0</v>
          </cell>
          <cell r="AC43">
            <v>20</v>
          </cell>
        </row>
        <row r="44">
          <cell r="B44" t="str">
            <v>CNC Press Brake</v>
          </cell>
          <cell r="C44" t="str">
            <v>CPB</v>
          </cell>
          <cell r="G44">
            <v>27.52</v>
          </cell>
          <cell r="H44">
            <v>1</v>
          </cell>
          <cell r="I44">
            <v>0</v>
          </cell>
          <cell r="AC44">
            <v>20</v>
          </cell>
        </row>
        <row r="45">
          <cell r="B45" t="str">
            <v>CNC Press Brake - 35T</v>
          </cell>
          <cell r="C45" t="str">
            <v>35T</v>
          </cell>
          <cell r="D45">
            <v>29.21</v>
          </cell>
          <cell r="E45">
            <v>1</v>
          </cell>
          <cell r="F45">
            <v>0</v>
          </cell>
          <cell r="G45">
            <v>16.703669724770641</v>
          </cell>
          <cell r="H45">
            <v>1</v>
          </cell>
          <cell r="I45">
            <v>0</v>
          </cell>
          <cell r="S45">
            <v>16.435663764961916</v>
          </cell>
          <cell r="T45">
            <v>1</v>
          </cell>
          <cell r="U45">
            <v>0</v>
          </cell>
          <cell r="V45">
            <v>31.2911</v>
          </cell>
          <cell r="W45">
            <v>1</v>
          </cell>
          <cell r="X45">
            <v>0</v>
          </cell>
          <cell r="AC45">
            <v>20</v>
          </cell>
        </row>
        <row r="46">
          <cell r="B46" t="str">
            <v>CNC Press Brake - 80T</v>
          </cell>
          <cell r="C46" t="str">
            <v>80T</v>
          </cell>
          <cell r="D46">
            <v>46.02</v>
          </cell>
          <cell r="E46">
            <v>1</v>
          </cell>
          <cell r="F46">
            <v>0</v>
          </cell>
          <cell r="G46">
            <v>26.298165137614681</v>
          </cell>
          <cell r="H46">
            <v>1</v>
          </cell>
          <cell r="I46">
            <v>0</v>
          </cell>
          <cell r="M46">
            <v>47.914634146341463</v>
          </cell>
          <cell r="N46">
            <v>1</v>
          </cell>
          <cell r="O46">
            <v>0</v>
          </cell>
          <cell r="P46">
            <v>48.18292682926829</v>
          </cell>
          <cell r="Q46">
            <v>1</v>
          </cell>
          <cell r="R46">
            <v>0</v>
          </cell>
          <cell r="S46">
            <v>26.102421109902068</v>
          </cell>
          <cell r="T46">
            <v>1</v>
          </cell>
          <cell r="U46">
            <v>0</v>
          </cell>
          <cell r="V46">
            <v>44.304200000000002</v>
          </cell>
          <cell r="W46">
            <v>1</v>
          </cell>
          <cell r="X46">
            <v>0</v>
          </cell>
          <cell r="Y46">
            <v>28.44</v>
          </cell>
          <cell r="Z46">
            <v>1</v>
          </cell>
          <cell r="AA46">
            <v>0</v>
          </cell>
          <cell r="AC46">
            <v>20</v>
          </cell>
        </row>
        <row r="47">
          <cell r="B47" t="str">
            <v>CNC Press Brake - 100T</v>
          </cell>
          <cell r="C47" t="str">
            <v>100T</v>
          </cell>
          <cell r="G47">
            <v>9.6715596330275222</v>
          </cell>
          <cell r="H47">
            <v>1</v>
          </cell>
          <cell r="I47">
            <v>0</v>
          </cell>
        </row>
        <row r="48">
          <cell r="B48" t="str">
            <v>CNC Press Brake - 220T</v>
          </cell>
          <cell r="C48" t="str">
            <v>220T</v>
          </cell>
          <cell r="G48">
            <v>23.558103975535168</v>
          </cell>
          <cell r="H48">
            <v>1</v>
          </cell>
          <cell r="I48">
            <v>0</v>
          </cell>
        </row>
        <row r="49">
          <cell r="B49" t="str">
            <v>Disc Sawing Machine</v>
          </cell>
          <cell r="D49">
            <v>0.09</v>
          </cell>
          <cell r="E49">
            <v>1</v>
          </cell>
          <cell r="F49">
            <v>0</v>
          </cell>
          <cell r="G49">
            <v>7.0336391437308868E-2</v>
          </cell>
          <cell r="H49">
            <v>1</v>
          </cell>
          <cell r="I49">
            <v>0</v>
          </cell>
          <cell r="M49">
            <v>0.10975609756097561</v>
          </cell>
          <cell r="N49">
            <v>1</v>
          </cell>
          <cell r="O49">
            <v>0</v>
          </cell>
          <cell r="P49">
            <v>0.15853658536585366</v>
          </cell>
          <cell r="Q49">
            <v>1</v>
          </cell>
          <cell r="R49">
            <v>0</v>
          </cell>
          <cell r="S49">
            <v>7.4809575625680094E-2</v>
          </cell>
          <cell r="T49">
            <v>1</v>
          </cell>
          <cell r="U49">
            <v>0</v>
          </cell>
          <cell r="V49">
            <v>9.5000000000000001E-2</v>
          </cell>
          <cell r="W49">
            <v>1</v>
          </cell>
          <cell r="X49">
            <v>0</v>
          </cell>
          <cell r="Y49">
            <v>0.08</v>
          </cell>
          <cell r="Z49">
            <v>1</v>
          </cell>
          <cell r="AA49">
            <v>0</v>
          </cell>
        </row>
        <row r="50">
          <cell r="B50" t="str">
            <v>Band Sawing</v>
          </cell>
          <cell r="D50">
            <v>1.1399999999999999</v>
          </cell>
          <cell r="E50">
            <v>1</v>
          </cell>
          <cell r="F50">
            <v>0</v>
          </cell>
          <cell r="G50">
            <v>0.7262996941896025</v>
          </cell>
          <cell r="H50">
            <v>1</v>
          </cell>
          <cell r="I50">
            <v>0</v>
          </cell>
          <cell r="M50">
            <v>1.2439024390243902</v>
          </cell>
          <cell r="N50">
            <v>1</v>
          </cell>
          <cell r="O50">
            <v>0</v>
          </cell>
          <cell r="P50">
            <v>1.4390243902439024</v>
          </cell>
          <cell r="Q50">
            <v>1</v>
          </cell>
          <cell r="R50">
            <v>0</v>
          </cell>
          <cell r="S50">
            <v>0.7434711643090316</v>
          </cell>
          <cell r="T50">
            <v>1</v>
          </cell>
          <cell r="U50">
            <v>0</v>
          </cell>
          <cell r="V50">
            <v>1.1114999999999999</v>
          </cell>
          <cell r="W50">
            <v>1</v>
          </cell>
          <cell r="X50">
            <v>0</v>
          </cell>
          <cell r="Y50">
            <v>0.82</v>
          </cell>
          <cell r="Z50">
            <v>1</v>
          </cell>
          <cell r="AA50">
            <v>0</v>
          </cell>
        </row>
        <row r="51">
          <cell r="B51" t="str">
            <v>CNC - Laser Cum TPP</v>
          </cell>
          <cell r="G51">
            <v>22.642201834862387</v>
          </cell>
          <cell r="H51">
            <v>1</v>
          </cell>
          <cell r="I51">
            <v>0</v>
          </cell>
          <cell r="T51">
            <v>1</v>
          </cell>
          <cell r="U51">
            <v>0</v>
          </cell>
          <cell r="V51">
            <v>43.348500000000001</v>
          </cell>
          <cell r="W51">
            <v>1</v>
          </cell>
          <cell r="X51">
            <v>0</v>
          </cell>
        </row>
        <row r="52">
          <cell r="B52" t="str">
            <v>CNC - TPP</v>
          </cell>
          <cell r="C52" t="str">
            <v xml:space="preserve"> ---</v>
          </cell>
          <cell r="G52">
            <v>9.5519877675840981</v>
          </cell>
          <cell r="H52">
            <v>1</v>
          </cell>
          <cell r="I52">
            <v>0</v>
          </cell>
          <cell r="S52">
            <v>9.3506528835690972</v>
          </cell>
          <cell r="T52">
            <v>1</v>
          </cell>
          <cell r="U52">
            <v>0</v>
          </cell>
          <cell r="V52" t="str">
            <v>-</v>
          </cell>
        </row>
        <row r="53">
          <cell r="B53" t="str">
            <v>Plasma Cutting</v>
          </cell>
          <cell r="G53">
            <v>5.9525993883792045</v>
          </cell>
          <cell r="H53">
            <v>1</v>
          </cell>
          <cell r="I53">
            <v>0</v>
          </cell>
          <cell r="S53">
            <v>5.9167573449401525</v>
          </cell>
          <cell r="T53">
            <v>1</v>
          </cell>
          <cell r="U53">
            <v>0</v>
          </cell>
          <cell r="V53">
            <v>56.198199999999993</v>
          </cell>
          <cell r="W53">
            <v>1</v>
          </cell>
          <cell r="X53">
            <v>0</v>
          </cell>
        </row>
        <row r="54">
          <cell r="B54" t="str">
            <v>Power press 25T-Rocher REP 25.12 S</v>
          </cell>
          <cell r="C54">
            <v>25</v>
          </cell>
          <cell r="I54" t="str">
            <v>.</v>
          </cell>
          <cell r="V54">
            <v>28.251100000000001</v>
          </cell>
          <cell r="W54">
            <v>1</v>
          </cell>
          <cell r="X54">
            <v>1</v>
          </cell>
          <cell r="Y54">
            <v>2.5099999999999998</v>
          </cell>
          <cell r="Z54">
            <v>1</v>
          </cell>
          <cell r="AA54">
            <v>1</v>
          </cell>
        </row>
        <row r="55">
          <cell r="B55" t="str">
            <v xml:space="preserve">Power press 60T-ANDRITZ Kaiser KSTU 0630-1 </v>
          </cell>
          <cell r="C55">
            <v>60</v>
          </cell>
          <cell r="D55">
            <v>29.28</v>
          </cell>
          <cell r="E55">
            <v>1</v>
          </cell>
          <cell r="F55">
            <v>1</v>
          </cell>
          <cell r="G55">
            <v>16.905198776758411</v>
          </cell>
          <cell r="H55">
            <v>1</v>
          </cell>
          <cell r="I55">
            <v>1</v>
          </cell>
          <cell r="M55">
            <v>30.719512195121954</v>
          </cell>
          <cell r="N55">
            <v>1</v>
          </cell>
          <cell r="O55">
            <v>1</v>
          </cell>
          <cell r="P55">
            <v>31.658536585365855</v>
          </cell>
          <cell r="Q55">
            <v>1</v>
          </cell>
          <cell r="R55">
            <v>1</v>
          </cell>
          <cell r="V55">
            <v>31.627400000000002</v>
          </cell>
          <cell r="W55">
            <v>1</v>
          </cell>
          <cell r="X55">
            <v>1</v>
          </cell>
          <cell r="Y55">
            <v>18.32</v>
          </cell>
          <cell r="Z55">
            <v>1</v>
          </cell>
          <cell r="AA55">
            <v>1</v>
          </cell>
        </row>
        <row r="56">
          <cell r="B56" t="str">
            <v xml:space="preserve">Power press 80T-ANDRITZ Kaiser KSTU 0800-2 </v>
          </cell>
          <cell r="C56">
            <v>80</v>
          </cell>
          <cell r="D56">
            <v>32.72</v>
          </cell>
          <cell r="E56">
            <v>1</v>
          </cell>
          <cell r="F56">
            <v>1</v>
          </cell>
          <cell r="G56">
            <v>19.197247706422019</v>
          </cell>
          <cell r="H56">
            <v>1</v>
          </cell>
          <cell r="I56">
            <v>1</v>
          </cell>
          <cell r="M56">
            <v>34.524390243902438</v>
          </cell>
          <cell r="N56">
            <v>1</v>
          </cell>
          <cell r="O56">
            <v>1</v>
          </cell>
          <cell r="P56">
            <v>35.963414634146339</v>
          </cell>
          <cell r="Q56">
            <v>1</v>
          </cell>
          <cell r="R56">
            <v>1</v>
          </cell>
          <cell r="V56">
            <v>32.993500000000004</v>
          </cell>
          <cell r="W56">
            <v>1</v>
          </cell>
          <cell r="X56">
            <v>1</v>
          </cell>
          <cell r="Y56">
            <v>20.99</v>
          </cell>
          <cell r="Z56">
            <v>1</v>
          </cell>
          <cell r="AA56">
            <v>1</v>
          </cell>
        </row>
        <row r="57">
          <cell r="B57" t="str">
            <v>Power press 100T-ANDRITZ Kaiser - KSTU 1000-2</v>
          </cell>
          <cell r="C57">
            <v>100</v>
          </cell>
          <cell r="D57">
            <v>34.14</v>
          </cell>
          <cell r="E57">
            <v>1</v>
          </cell>
          <cell r="F57">
            <v>1</v>
          </cell>
          <cell r="G57">
            <v>19.9954128440367</v>
          </cell>
          <cell r="H57">
            <v>1</v>
          </cell>
          <cell r="I57">
            <v>1</v>
          </cell>
          <cell r="M57">
            <v>35.987804878048784</v>
          </cell>
          <cell r="N57">
            <v>1</v>
          </cell>
          <cell r="O57">
            <v>1</v>
          </cell>
          <cell r="P57">
            <v>37.414634146341463</v>
          </cell>
          <cell r="Q57">
            <v>1</v>
          </cell>
          <cell r="R57">
            <v>1</v>
          </cell>
          <cell r="V57">
            <v>42.962800000000001</v>
          </cell>
          <cell r="W57">
            <v>1</v>
          </cell>
          <cell r="X57">
            <v>1</v>
          </cell>
          <cell r="Y57">
            <v>21.85</v>
          </cell>
          <cell r="Z57">
            <v>1</v>
          </cell>
          <cell r="AA57">
            <v>1</v>
          </cell>
        </row>
        <row r="58">
          <cell r="B58" t="str">
            <v>Power press 160T- ANDRITZ Kaiser - KSTU 1600-4</v>
          </cell>
          <cell r="C58">
            <v>160</v>
          </cell>
          <cell r="D58">
            <v>44.4</v>
          </cell>
          <cell r="E58">
            <v>1</v>
          </cell>
          <cell r="F58">
            <v>1</v>
          </cell>
          <cell r="G58">
            <v>26.359327217125379</v>
          </cell>
          <cell r="H58">
            <v>1</v>
          </cell>
          <cell r="I58">
            <v>1</v>
          </cell>
          <cell r="M58">
            <v>47.012195121951216</v>
          </cell>
          <cell r="N58">
            <v>1</v>
          </cell>
          <cell r="O58">
            <v>1</v>
          </cell>
          <cell r="P58">
            <v>49.207317073170735</v>
          </cell>
          <cell r="Q58">
            <v>1</v>
          </cell>
          <cell r="R58">
            <v>1</v>
          </cell>
          <cell r="V58">
            <v>51.6477</v>
          </cell>
          <cell r="W58">
            <v>1</v>
          </cell>
          <cell r="X58">
            <v>1</v>
          </cell>
          <cell r="Y58">
            <v>29.03</v>
          </cell>
          <cell r="Z58">
            <v>1</v>
          </cell>
          <cell r="AA58">
            <v>1</v>
          </cell>
        </row>
        <row r="59">
          <cell r="B59" t="str">
            <v>Power press 315T-ANDRITZ Kaiser- KSTU 3150-F3</v>
          </cell>
          <cell r="C59">
            <v>315</v>
          </cell>
          <cell r="D59">
            <v>53.29</v>
          </cell>
          <cell r="E59">
            <v>1</v>
          </cell>
          <cell r="F59">
            <v>1</v>
          </cell>
          <cell r="G59">
            <v>32</v>
          </cell>
          <cell r="H59">
            <v>1</v>
          </cell>
          <cell r="I59">
            <v>1</v>
          </cell>
          <cell r="M59">
            <v>56.68292682926829</v>
          </cell>
          <cell r="N59">
            <v>1</v>
          </cell>
          <cell r="O59">
            <v>1</v>
          </cell>
          <cell r="P59">
            <v>59.890450599421257</v>
          </cell>
          <cell r="Q59">
            <v>1</v>
          </cell>
          <cell r="R59">
            <v>1</v>
          </cell>
          <cell r="V59">
            <v>59.587800000000001</v>
          </cell>
          <cell r="W59">
            <v>1</v>
          </cell>
          <cell r="X59">
            <v>1</v>
          </cell>
          <cell r="Y59">
            <v>35.44</v>
          </cell>
          <cell r="Z59">
            <v>1</v>
          </cell>
          <cell r="AA59">
            <v>1</v>
          </cell>
        </row>
        <row r="60">
          <cell r="B60" t="str">
            <v>Power press 400T-ANDRITZ Kaiser- KSTU 4000-7 (M)</v>
          </cell>
          <cell r="C60">
            <v>400</v>
          </cell>
          <cell r="D60">
            <v>61.43</v>
          </cell>
          <cell r="E60">
            <v>1</v>
          </cell>
          <cell r="F60">
            <v>1</v>
          </cell>
          <cell r="G60">
            <v>37.152905198776757</v>
          </cell>
          <cell r="H60">
            <v>1</v>
          </cell>
          <cell r="I60">
            <v>1</v>
          </cell>
          <cell r="M60">
            <v>65.512195121951223</v>
          </cell>
          <cell r="N60">
            <v>1</v>
          </cell>
          <cell r="O60">
            <v>1</v>
          </cell>
          <cell r="P60">
            <v>69.475609756097569</v>
          </cell>
          <cell r="Q60">
            <v>1</v>
          </cell>
          <cell r="R60">
            <v>1</v>
          </cell>
          <cell r="V60">
            <v>74.974000000000004</v>
          </cell>
          <cell r="W60">
            <v>1</v>
          </cell>
          <cell r="X60">
            <v>1</v>
          </cell>
          <cell r="Y60">
            <v>41.31</v>
          </cell>
          <cell r="Z60">
            <v>1</v>
          </cell>
          <cell r="AA60">
            <v>1</v>
          </cell>
        </row>
        <row r="61">
          <cell r="B61" t="str">
            <v>Power press 630T-ANDRITZ Kaiser - KSTU 6300-8 (M)</v>
          </cell>
          <cell r="C61">
            <v>630</v>
          </cell>
          <cell r="D61">
            <v>77.22</v>
          </cell>
          <cell r="E61">
            <v>1</v>
          </cell>
          <cell r="F61">
            <v>1</v>
          </cell>
          <cell r="G61">
            <v>47.087155963302749</v>
          </cell>
          <cell r="H61">
            <v>1</v>
          </cell>
          <cell r="I61">
            <v>1</v>
          </cell>
          <cell r="M61">
            <v>82.585365853658544</v>
          </cell>
          <cell r="N61">
            <v>1</v>
          </cell>
          <cell r="O61">
            <v>1</v>
          </cell>
          <cell r="P61">
            <v>88.036585365853668</v>
          </cell>
          <cell r="Q61">
            <v>1</v>
          </cell>
          <cell r="R61">
            <v>1</v>
          </cell>
          <cell r="V61">
            <v>111.1481</v>
          </cell>
          <cell r="W61">
            <v>1</v>
          </cell>
          <cell r="X61">
            <v>1</v>
          </cell>
          <cell r="Y61">
            <v>52.58</v>
          </cell>
          <cell r="Z61">
            <v>1</v>
          </cell>
          <cell r="AA61">
            <v>1</v>
          </cell>
        </row>
        <row r="62">
          <cell r="B62" t="str">
            <v>Power press 800T-ANDRITZ Kaiser- KSTU 8000-F5</v>
          </cell>
          <cell r="C62">
            <v>800</v>
          </cell>
          <cell r="D62">
            <v>114.89</v>
          </cell>
          <cell r="E62">
            <v>1</v>
          </cell>
          <cell r="F62">
            <v>1</v>
          </cell>
          <cell r="G62">
            <v>68.217125382262992</v>
          </cell>
          <cell r="H62">
            <v>1</v>
          </cell>
          <cell r="I62">
            <v>1</v>
          </cell>
          <cell r="M62">
            <v>121.51219512195122</v>
          </cell>
          <cell r="N62">
            <v>1</v>
          </cell>
          <cell r="O62">
            <v>1</v>
          </cell>
          <cell r="P62">
            <v>126.45121951219512</v>
          </cell>
          <cell r="Q62">
            <v>1</v>
          </cell>
          <cell r="R62">
            <v>1</v>
          </cell>
          <cell r="W62">
            <v>1</v>
          </cell>
          <cell r="X62">
            <v>1</v>
          </cell>
          <cell r="Y62">
            <v>75.22</v>
          </cell>
          <cell r="Z62">
            <v>1</v>
          </cell>
          <cell r="AA62">
            <v>1</v>
          </cell>
        </row>
        <row r="63">
          <cell r="B63" t="str">
            <v>Power press 25T-Seyi SN1-25, C type press</v>
          </cell>
          <cell r="C63">
            <v>25</v>
          </cell>
          <cell r="G63">
            <v>1.8495412844036698</v>
          </cell>
          <cell r="H63">
            <v>1</v>
          </cell>
          <cell r="I63">
            <v>1</v>
          </cell>
          <cell r="S63">
            <v>1.677380304678999</v>
          </cell>
          <cell r="T63">
            <v>1</v>
          </cell>
          <cell r="U63">
            <v>1</v>
          </cell>
        </row>
        <row r="64">
          <cell r="B64" t="str">
            <v>Power press 60T-SEYI  SN1-60</v>
          </cell>
          <cell r="C64">
            <v>60</v>
          </cell>
          <cell r="G64">
            <v>2.9958715596330276</v>
          </cell>
          <cell r="H64">
            <v>1</v>
          </cell>
          <cell r="I64">
            <v>1</v>
          </cell>
          <cell r="S64">
            <v>3.0542730119855372</v>
          </cell>
          <cell r="T64">
            <v>1</v>
          </cell>
          <cell r="U64">
            <v>1</v>
          </cell>
        </row>
        <row r="65">
          <cell r="B65" t="str">
            <v>Power press 110T-Seyi-SN2-110</v>
          </cell>
          <cell r="C65">
            <v>110</v>
          </cell>
          <cell r="H65">
            <v>1</v>
          </cell>
          <cell r="I65">
            <v>1</v>
          </cell>
          <cell r="S65">
            <v>3.5632997823721437</v>
          </cell>
          <cell r="T65">
            <v>1</v>
          </cell>
          <cell r="U65">
            <v>1</v>
          </cell>
        </row>
        <row r="66">
          <cell r="B66" t="str">
            <v>Power press 160T-Seyi-SN1-160</v>
          </cell>
          <cell r="C66">
            <v>160</v>
          </cell>
          <cell r="G66">
            <v>3.6701834862385323</v>
          </cell>
          <cell r="H66">
            <v>1</v>
          </cell>
          <cell r="I66">
            <v>1</v>
          </cell>
          <cell r="S66">
            <v>3.6811697497279652</v>
          </cell>
          <cell r="T66">
            <v>1</v>
          </cell>
          <cell r="U66">
            <v>1</v>
          </cell>
        </row>
        <row r="67">
          <cell r="B67" t="str">
            <v>Power press 200T-Seyi-SN1-200</v>
          </cell>
          <cell r="C67">
            <v>200</v>
          </cell>
          <cell r="H67">
            <v>1</v>
          </cell>
          <cell r="I67">
            <v>1</v>
          </cell>
          <cell r="S67">
            <v>4.4518579978237209</v>
          </cell>
          <cell r="T67">
            <v>1</v>
          </cell>
          <cell r="U67">
            <v>1</v>
          </cell>
        </row>
        <row r="68">
          <cell r="B68" t="str">
            <v>Power press 250T-Seyi-SN1-250</v>
          </cell>
          <cell r="C68">
            <v>250</v>
          </cell>
          <cell r="H68">
            <v>1</v>
          </cell>
          <cell r="I68">
            <v>1</v>
          </cell>
          <cell r="S68">
            <v>5.4854869423286177</v>
          </cell>
          <cell r="T68">
            <v>1</v>
          </cell>
          <cell r="U68">
            <v>1</v>
          </cell>
        </row>
        <row r="69">
          <cell r="B69" t="str">
            <v>Power press 300 T-Seyi- SSNS1-300:</v>
          </cell>
          <cell r="C69">
            <v>300</v>
          </cell>
          <cell r="G69">
            <v>11.501834862385319</v>
          </cell>
          <cell r="H69">
            <v>1</v>
          </cell>
          <cell r="I69">
            <v>1</v>
          </cell>
          <cell r="S69">
            <v>10.182151795429816</v>
          </cell>
          <cell r="T69">
            <v>1</v>
          </cell>
          <cell r="U69">
            <v>1</v>
          </cell>
        </row>
        <row r="70">
          <cell r="B70" t="str">
            <v>Power press 400T-Seyi-SAG2-400S</v>
          </cell>
          <cell r="C70">
            <v>400</v>
          </cell>
          <cell r="G70" t="str">
            <v>-</v>
          </cell>
          <cell r="H70">
            <v>1</v>
          </cell>
          <cell r="I70">
            <v>1</v>
          </cell>
          <cell r="S70">
            <v>13.709183895538629</v>
          </cell>
          <cell r="T70">
            <v>1</v>
          </cell>
          <cell r="U70">
            <v>1</v>
          </cell>
        </row>
        <row r="71">
          <cell r="B71" t="str">
            <v>Power Press   (400T)</v>
          </cell>
          <cell r="C71">
            <v>400</v>
          </cell>
          <cell r="H71">
            <v>0</v>
          </cell>
        </row>
        <row r="72">
          <cell r="B72" t="str">
            <v>Belt grinder</v>
          </cell>
          <cell r="D72">
            <v>13.431299680944973</v>
          </cell>
          <cell r="E72">
            <v>0</v>
          </cell>
          <cell r="F72">
            <v>1</v>
          </cell>
          <cell r="G72">
            <v>7.9892966360856272</v>
          </cell>
          <cell r="H72">
            <v>0</v>
          </cell>
          <cell r="I72">
            <v>1</v>
          </cell>
          <cell r="M72">
            <v>14.914634146341465</v>
          </cell>
          <cell r="P72">
            <v>17.073170731707318</v>
          </cell>
          <cell r="Q72">
            <v>0</v>
          </cell>
          <cell r="R72">
            <v>1</v>
          </cell>
          <cell r="S72">
            <v>8.043117519042438</v>
          </cell>
          <cell r="V72">
            <v>11.4285</v>
          </cell>
          <cell r="W72">
            <v>0</v>
          </cell>
          <cell r="X72">
            <v>1</v>
          </cell>
          <cell r="Y72">
            <v>9.2899999999999991</v>
          </cell>
          <cell r="Z72">
            <v>0</v>
          </cell>
          <cell r="AA72">
            <v>1</v>
          </cell>
        </row>
        <row r="73">
          <cell r="B73" t="str">
            <v>Shearing Machine</v>
          </cell>
          <cell r="H73">
            <v>0</v>
          </cell>
        </row>
        <row r="74">
          <cell r="B74" t="str">
            <v>Power press 63 T</v>
          </cell>
          <cell r="C74" t="str">
            <v>63T</v>
          </cell>
          <cell r="G74">
            <v>35.74</v>
          </cell>
          <cell r="H74">
            <v>1</v>
          </cell>
          <cell r="I74">
            <v>0.5</v>
          </cell>
          <cell r="AB74">
            <v>4</v>
          </cell>
          <cell r="AC74">
            <v>60</v>
          </cell>
        </row>
        <row r="86">
          <cell r="B86" t="str">
            <v>EXTRUSION</v>
          </cell>
        </row>
        <row r="87">
          <cell r="B87" t="str">
            <v>Billet Cutting</v>
          </cell>
          <cell r="G87">
            <v>2.4082568807339451</v>
          </cell>
          <cell r="H87">
            <v>0</v>
          </cell>
          <cell r="I87">
            <v>1</v>
          </cell>
          <cell r="AC87">
            <v>15</v>
          </cell>
        </row>
        <row r="88">
          <cell r="B88" t="str">
            <v>Billet Pre-Heater</v>
          </cell>
          <cell r="G88">
            <v>15.894495412844037</v>
          </cell>
          <cell r="H88">
            <v>0</v>
          </cell>
          <cell r="I88">
            <v>1</v>
          </cell>
          <cell r="AC88">
            <v>30</v>
          </cell>
        </row>
        <row r="89">
          <cell r="B89" t="str">
            <v>Extrusion and Hot cutting</v>
          </cell>
          <cell r="G89">
            <v>59.151025194262537</v>
          </cell>
          <cell r="H89">
            <v>1</v>
          </cell>
          <cell r="I89">
            <v>1</v>
          </cell>
          <cell r="AC89">
            <v>60</v>
          </cell>
        </row>
        <row r="90">
          <cell r="B90" t="str">
            <v>Stretching</v>
          </cell>
          <cell r="G90">
            <v>12.522935779816514</v>
          </cell>
          <cell r="H90">
            <v>1</v>
          </cell>
          <cell r="I90">
            <v>1</v>
          </cell>
          <cell r="AC90">
            <v>30</v>
          </cell>
        </row>
        <row r="91">
          <cell r="B91" t="str">
            <v>Rough Sawing</v>
          </cell>
          <cell r="G91">
            <v>0.80871848652755352</v>
          </cell>
          <cell r="H91">
            <v>0</v>
          </cell>
          <cell r="I91">
            <v>1</v>
          </cell>
          <cell r="AC91">
            <v>15</v>
          </cell>
        </row>
        <row r="92">
          <cell r="B92" t="str">
            <v>Aging / Stress Reliving</v>
          </cell>
          <cell r="G92">
            <v>4.026605504587156</v>
          </cell>
          <cell r="H92">
            <v>1</v>
          </cell>
          <cell r="I92">
            <v>0</v>
          </cell>
          <cell r="AC92">
            <v>30</v>
          </cell>
        </row>
        <row r="93">
          <cell r="B93" t="str">
            <v>Circular saw</v>
          </cell>
          <cell r="G93">
            <v>0.73211009174311925</v>
          </cell>
          <cell r="H93">
            <v>0</v>
          </cell>
          <cell r="I93">
            <v>1</v>
          </cell>
          <cell r="AC93">
            <v>15</v>
          </cell>
        </row>
        <row r="94">
          <cell r="B94" t="str">
            <v>Tumbling / Deburring</v>
          </cell>
          <cell r="G94">
            <v>2.5</v>
          </cell>
          <cell r="H94">
            <v>0</v>
          </cell>
          <cell r="I94">
            <v>1</v>
          </cell>
        </row>
        <row r="100">
          <cell r="B100" t="str">
            <v>MACHINING</v>
          </cell>
        </row>
        <row r="101">
          <cell r="B101" t="str">
            <v>CNC Turning with Bar feeder_Traub - Traub - TNM 42</v>
          </cell>
          <cell r="D101">
            <v>14.53</v>
          </cell>
          <cell r="E101">
            <v>1</v>
          </cell>
          <cell r="F101">
            <v>0</v>
          </cell>
          <cell r="G101">
            <v>13.761467889908257</v>
          </cell>
          <cell r="H101">
            <v>1</v>
          </cell>
          <cell r="I101">
            <v>0</v>
          </cell>
          <cell r="M101">
            <v>15.414634146341465</v>
          </cell>
          <cell r="N101">
            <v>1</v>
          </cell>
          <cell r="O101">
            <v>0</v>
          </cell>
          <cell r="P101">
            <v>16.146341463414636</v>
          </cell>
          <cell r="Q101">
            <v>1</v>
          </cell>
          <cell r="R101">
            <v>0</v>
          </cell>
          <cell r="S101">
            <v>8.686751904243744</v>
          </cell>
          <cell r="T101">
            <v>1</v>
          </cell>
          <cell r="U101">
            <v>0</v>
          </cell>
          <cell r="V101">
            <v>14.578740157480315</v>
          </cell>
          <cell r="W101">
            <v>1</v>
          </cell>
          <cell r="X101">
            <v>0</v>
          </cell>
          <cell r="Y101">
            <v>9.6199999999999992</v>
          </cell>
          <cell r="Z101">
            <v>1</v>
          </cell>
          <cell r="AA101">
            <v>0</v>
          </cell>
          <cell r="AB101">
            <v>4</v>
          </cell>
          <cell r="AC101">
            <v>60</v>
          </cell>
        </row>
        <row r="102">
          <cell r="B102" t="str">
            <v>CNC Turning -  CNC Turning -SW Emag G200 - 60</v>
          </cell>
          <cell r="D102">
            <v>23.23</v>
          </cell>
          <cell r="E102">
            <v>1</v>
          </cell>
          <cell r="F102">
            <v>0</v>
          </cell>
          <cell r="G102">
            <v>14.185015290519877</v>
          </cell>
          <cell r="H102">
            <v>1</v>
          </cell>
          <cell r="I102">
            <v>0</v>
          </cell>
          <cell r="M102">
            <v>24.841463414634148</v>
          </cell>
          <cell r="N102">
            <v>1</v>
          </cell>
          <cell r="O102">
            <v>0</v>
          </cell>
          <cell r="P102">
            <v>26.402439024390244</v>
          </cell>
          <cell r="Q102">
            <v>1</v>
          </cell>
          <cell r="R102">
            <v>0</v>
          </cell>
          <cell r="S102">
            <v>14.196409140369969</v>
          </cell>
          <cell r="T102">
            <v>1</v>
          </cell>
          <cell r="U102">
            <v>0</v>
          </cell>
          <cell r="V102">
            <v>23.370078740157481</v>
          </cell>
          <cell r="W102">
            <v>1</v>
          </cell>
          <cell r="X102">
            <v>0</v>
          </cell>
          <cell r="Y102">
            <v>13.44</v>
          </cell>
          <cell r="Z102">
            <v>1</v>
          </cell>
          <cell r="AA102">
            <v>0</v>
          </cell>
          <cell r="AC102">
            <v>90</v>
          </cell>
        </row>
        <row r="103">
          <cell r="B103" t="str">
            <v>CNC Turning - Traub - ABC SpeedLine-60</v>
          </cell>
          <cell r="D103">
            <v>18.36</v>
          </cell>
          <cell r="E103">
            <v>1</v>
          </cell>
          <cell r="F103">
            <v>0</v>
          </cell>
          <cell r="G103">
            <v>16.845565749235472</v>
          </cell>
          <cell r="H103">
            <v>1</v>
          </cell>
          <cell r="I103">
            <v>0</v>
          </cell>
          <cell r="M103">
            <v>30.426829268292686</v>
          </cell>
          <cell r="N103">
            <v>1</v>
          </cell>
          <cell r="O103">
            <v>0</v>
          </cell>
          <cell r="P103">
            <v>30.963414634146343</v>
          </cell>
          <cell r="Q103">
            <v>1</v>
          </cell>
          <cell r="R103">
            <v>0</v>
          </cell>
          <cell r="S103">
            <v>16.749591947769318</v>
          </cell>
          <cell r="T103">
            <v>1</v>
          </cell>
          <cell r="U103">
            <v>0</v>
          </cell>
          <cell r="V103">
            <v>29.035433070866141</v>
          </cell>
          <cell r="W103">
            <v>1</v>
          </cell>
          <cell r="X103">
            <v>0</v>
          </cell>
          <cell r="Y103">
            <v>15.56</v>
          </cell>
          <cell r="Z103">
            <v>1</v>
          </cell>
          <cell r="AA103">
            <v>0</v>
          </cell>
          <cell r="AC103">
            <v>90</v>
          </cell>
        </row>
        <row r="104">
          <cell r="B104" t="str">
            <v>CNC Turning - SW Emag Duraturn 2550</v>
          </cell>
          <cell r="D104">
            <v>10.050000000000001</v>
          </cell>
          <cell r="E104">
            <v>1</v>
          </cell>
          <cell r="F104">
            <v>0</v>
          </cell>
          <cell r="G104">
            <v>6.3455657492354742</v>
          </cell>
          <cell r="H104">
            <v>1</v>
          </cell>
          <cell r="I104">
            <v>0</v>
          </cell>
          <cell r="M104">
            <v>10.902439024390244</v>
          </cell>
          <cell r="N104">
            <v>1</v>
          </cell>
          <cell r="O104">
            <v>0</v>
          </cell>
          <cell r="S104">
            <v>6.3845212187159959</v>
          </cell>
          <cell r="T104">
            <v>1</v>
          </cell>
          <cell r="U104">
            <v>0</v>
          </cell>
          <cell r="Y104">
            <v>7.2</v>
          </cell>
          <cell r="Z104">
            <v>1</v>
          </cell>
          <cell r="AA104">
            <v>0</v>
          </cell>
          <cell r="AC104">
            <v>60</v>
          </cell>
        </row>
        <row r="105">
          <cell r="B105" t="str">
            <v>CNC Turning - Emcoturn E45TCM</v>
          </cell>
          <cell r="D105">
            <v>5.63</v>
          </cell>
          <cell r="E105">
            <v>1</v>
          </cell>
          <cell r="F105">
            <v>0</v>
          </cell>
          <cell r="G105">
            <v>3.6798165137614678</v>
          </cell>
          <cell r="H105">
            <v>1</v>
          </cell>
          <cell r="I105">
            <v>0</v>
          </cell>
          <cell r="M105">
            <v>6.1951219512195124</v>
          </cell>
          <cell r="N105">
            <v>1</v>
          </cell>
          <cell r="O105">
            <v>0</v>
          </cell>
          <cell r="S105">
            <v>3.6927366702937978</v>
          </cell>
          <cell r="T105">
            <v>1</v>
          </cell>
          <cell r="U105">
            <v>0</v>
          </cell>
          <cell r="Y105">
            <v>3.55</v>
          </cell>
          <cell r="Z105">
            <v>1</v>
          </cell>
          <cell r="AA105">
            <v>0</v>
          </cell>
          <cell r="AC105">
            <v>60</v>
          </cell>
        </row>
        <row r="106">
          <cell r="B106" t="str">
            <v>CNC Turning - Emcoturn E65T</v>
          </cell>
          <cell r="D106">
            <v>6.35</v>
          </cell>
          <cell r="E106">
            <v>1</v>
          </cell>
          <cell r="F106">
            <v>0</v>
          </cell>
          <cell r="T106">
            <v>1</v>
          </cell>
          <cell r="U106">
            <v>0</v>
          </cell>
          <cell r="AC106">
            <v>60</v>
          </cell>
        </row>
        <row r="107">
          <cell r="B107" t="str">
            <v xml:space="preserve">Drilling machine - Alzmetall AX 4/SV </v>
          </cell>
          <cell r="D107">
            <v>0.92</v>
          </cell>
          <cell r="E107">
            <v>1</v>
          </cell>
          <cell r="F107">
            <v>0</v>
          </cell>
          <cell r="G107">
            <v>9.1743119266055047</v>
          </cell>
          <cell r="H107">
            <v>1</v>
          </cell>
          <cell r="I107">
            <v>0</v>
          </cell>
          <cell r="M107">
            <v>1.0121951219512195</v>
          </cell>
          <cell r="N107">
            <v>1</v>
          </cell>
          <cell r="O107">
            <v>0</v>
          </cell>
          <cell r="P107">
            <v>1.1463414634146341</v>
          </cell>
          <cell r="Q107">
            <v>1</v>
          </cell>
          <cell r="R107">
            <v>0</v>
          </cell>
          <cell r="S107">
            <v>0.60337323177366708</v>
          </cell>
          <cell r="T107">
            <v>1</v>
          </cell>
          <cell r="U107">
            <v>0</v>
          </cell>
          <cell r="V107">
            <v>0.93110236220472453</v>
          </cell>
          <cell r="W107">
            <v>1</v>
          </cell>
          <cell r="X107">
            <v>0</v>
          </cell>
          <cell r="Y107">
            <v>0.68</v>
          </cell>
          <cell r="Z107">
            <v>1</v>
          </cell>
          <cell r="AA107">
            <v>0</v>
          </cell>
          <cell r="AC107">
            <v>60</v>
          </cell>
        </row>
        <row r="108">
          <cell r="B108" t="str">
            <v>HMC - FH-10800-Yamazaki Mazak ( VICTOR TAICHUNG(HMC) )</v>
          </cell>
          <cell r="D108">
            <v>60.49</v>
          </cell>
          <cell r="E108">
            <v>1</v>
          </cell>
          <cell r="F108">
            <v>0</v>
          </cell>
          <cell r="G108">
            <v>36.25382262996942</v>
          </cell>
          <cell r="H108">
            <v>1</v>
          </cell>
          <cell r="I108">
            <v>0</v>
          </cell>
          <cell r="M108">
            <v>64.243902439024396</v>
          </cell>
          <cell r="N108">
            <v>1</v>
          </cell>
          <cell r="O108">
            <v>0</v>
          </cell>
          <cell r="P108">
            <v>67.524390243902445</v>
          </cell>
          <cell r="Q108">
            <v>1</v>
          </cell>
          <cell r="R108">
            <v>0</v>
          </cell>
          <cell r="S108">
            <v>36.26074537540805</v>
          </cell>
          <cell r="T108">
            <v>1</v>
          </cell>
          <cell r="U108">
            <v>0</v>
          </cell>
          <cell r="V108">
            <v>60.712598425196852</v>
          </cell>
          <cell r="W108">
            <v>1</v>
          </cell>
          <cell r="X108">
            <v>0</v>
          </cell>
          <cell r="Y108">
            <v>40.14</v>
          </cell>
          <cell r="Z108">
            <v>1</v>
          </cell>
          <cell r="AA108">
            <v>0</v>
          </cell>
          <cell r="AC108">
            <v>90</v>
          </cell>
        </row>
        <row r="109">
          <cell r="B109" t="str">
            <v>VMC-3 axis - DMC 64V linear</v>
          </cell>
          <cell r="D109">
            <v>8.31</v>
          </cell>
          <cell r="E109">
            <v>1</v>
          </cell>
          <cell r="F109">
            <v>0</v>
          </cell>
          <cell r="G109">
            <v>11.009174311926605</v>
          </cell>
          <cell r="H109">
            <v>1</v>
          </cell>
          <cell r="I109">
            <v>0</v>
          </cell>
          <cell r="M109">
            <v>8.8536585365853657</v>
          </cell>
          <cell r="N109">
            <v>1</v>
          </cell>
          <cell r="O109">
            <v>0</v>
          </cell>
          <cell r="P109">
            <v>9.573170731707318</v>
          </cell>
          <cell r="Q109">
            <v>1</v>
          </cell>
          <cell r="R109">
            <v>0</v>
          </cell>
          <cell r="S109">
            <v>5.0647442872687707</v>
          </cell>
          <cell r="T109">
            <v>1</v>
          </cell>
          <cell r="U109">
            <v>0</v>
          </cell>
          <cell r="V109">
            <v>8.3602362204724407</v>
          </cell>
          <cell r="W109">
            <v>1</v>
          </cell>
          <cell r="X109">
            <v>0</v>
          </cell>
          <cell r="Y109">
            <v>5.56</v>
          </cell>
          <cell r="Z109">
            <v>1</v>
          </cell>
          <cell r="AA109">
            <v>0</v>
          </cell>
          <cell r="AC109">
            <v>60</v>
          </cell>
        </row>
        <row r="110">
          <cell r="B110" t="str">
            <v>VMC-3 axis - DMC 104V linear</v>
          </cell>
          <cell r="D110">
            <v>4.92</v>
          </cell>
          <cell r="E110">
            <v>1</v>
          </cell>
          <cell r="F110">
            <v>0</v>
          </cell>
          <cell r="G110">
            <v>12.996941896024465</v>
          </cell>
          <cell r="H110">
            <v>1</v>
          </cell>
          <cell r="I110">
            <v>0</v>
          </cell>
          <cell r="M110">
            <v>10.926829268292684</v>
          </cell>
          <cell r="N110">
            <v>1</v>
          </cell>
          <cell r="O110">
            <v>0</v>
          </cell>
          <cell r="P110">
            <v>11.719512195121951</v>
          </cell>
          <cell r="Q110">
            <v>1</v>
          </cell>
          <cell r="R110">
            <v>0</v>
          </cell>
          <cell r="S110">
            <v>6.2196681175190429</v>
          </cell>
          <cell r="T110">
            <v>1</v>
          </cell>
          <cell r="U110">
            <v>0</v>
          </cell>
          <cell r="V110">
            <v>10.283464566929133</v>
          </cell>
          <cell r="W110">
            <v>1</v>
          </cell>
          <cell r="X110">
            <v>0</v>
          </cell>
          <cell r="Y110">
            <v>6.85</v>
          </cell>
          <cell r="Z110">
            <v>1</v>
          </cell>
          <cell r="AA110">
            <v>0</v>
          </cell>
          <cell r="AC110">
            <v>60</v>
          </cell>
        </row>
        <row r="111">
          <cell r="B111" t="str">
            <v>VMC 3 Axis - Agie Charmilles VCE 600 Pro</v>
          </cell>
          <cell r="D111">
            <v>7.01</v>
          </cell>
          <cell r="E111">
            <v>1</v>
          </cell>
          <cell r="F111">
            <v>0</v>
          </cell>
          <cell r="G111">
            <v>4.474006116207951</v>
          </cell>
          <cell r="H111">
            <v>1</v>
          </cell>
          <cell r="I111">
            <v>0</v>
          </cell>
          <cell r="M111">
            <v>7.6463414634146343</v>
          </cell>
          <cell r="N111">
            <v>1</v>
          </cell>
          <cell r="O111">
            <v>0</v>
          </cell>
          <cell r="S111">
            <v>4.511697497279652</v>
          </cell>
          <cell r="Y111">
            <v>4.32</v>
          </cell>
          <cell r="Z111">
            <v>1</v>
          </cell>
          <cell r="AA111">
            <v>0</v>
          </cell>
          <cell r="AC111">
            <v>60</v>
          </cell>
        </row>
        <row r="112">
          <cell r="B112" t="str">
            <v>VMC 3 Axis - Starma MC 015/M</v>
          </cell>
          <cell r="G112">
            <v>6.1238532110091741</v>
          </cell>
          <cell r="H112">
            <v>1</v>
          </cell>
          <cell r="I112">
            <v>0</v>
          </cell>
          <cell r="S112">
            <v>5.0598476605005445</v>
          </cell>
          <cell r="AC112">
            <v>60</v>
          </cell>
        </row>
        <row r="113">
          <cell r="B113" t="str">
            <v>VMC 4 Axis - Deckel Maho DMC 635V</v>
          </cell>
          <cell r="G113">
            <v>2.3073394495412844</v>
          </cell>
          <cell r="H113">
            <v>1</v>
          </cell>
          <cell r="I113">
            <v>0</v>
          </cell>
          <cell r="AC113">
            <v>90</v>
          </cell>
        </row>
        <row r="114">
          <cell r="B114" t="str">
            <v>VMC-4 axis - DMG Mori NVD5000 a1A/40</v>
          </cell>
          <cell r="D114">
            <v>12.26</v>
          </cell>
          <cell r="E114">
            <v>1</v>
          </cell>
          <cell r="F114">
            <v>0</v>
          </cell>
          <cell r="G114">
            <v>13.761467889908257</v>
          </cell>
          <cell r="H114">
            <v>1</v>
          </cell>
          <cell r="I114">
            <v>0</v>
          </cell>
          <cell r="M114">
            <v>13.304878048780489</v>
          </cell>
          <cell r="N114">
            <v>1</v>
          </cell>
          <cell r="O114">
            <v>0</v>
          </cell>
          <cell r="P114">
            <v>14.585365853658539</v>
          </cell>
          <cell r="Q114">
            <v>1</v>
          </cell>
          <cell r="R114">
            <v>0</v>
          </cell>
          <cell r="S114">
            <v>7.7971980413492927</v>
          </cell>
          <cell r="T114">
            <v>1</v>
          </cell>
          <cell r="U114">
            <v>0</v>
          </cell>
          <cell r="V114">
            <v>12.389763779527559</v>
          </cell>
          <cell r="W114">
            <v>1</v>
          </cell>
          <cell r="X114">
            <v>0</v>
          </cell>
          <cell r="Y114">
            <v>8.81</v>
          </cell>
          <cell r="Z114">
            <v>1</v>
          </cell>
          <cell r="AA114">
            <v>0</v>
          </cell>
          <cell r="AC114">
            <v>90</v>
          </cell>
        </row>
        <row r="115">
          <cell r="B115" t="str">
            <v xml:space="preserve">CNC Turn Mill - DMG Mori Seiki NTX1000 </v>
          </cell>
          <cell r="D115">
            <v>22.27</v>
          </cell>
          <cell r="E115">
            <v>1</v>
          </cell>
          <cell r="F115">
            <v>0</v>
          </cell>
          <cell r="G115">
            <v>13.422018348623853</v>
          </cell>
          <cell r="H115">
            <v>1</v>
          </cell>
          <cell r="I115">
            <v>0</v>
          </cell>
          <cell r="M115">
            <v>23.682926829268297</v>
          </cell>
          <cell r="N115">
            <v>1</v>
          </cell>
          <cell r="O115">
            <v>0</v>
          </cell>
          <cell r="S115">
            <v>13.411860718171926</v>
          </cell>
          <cell r="Y115">
            <v>14.92</v>
          </cell>
          <cell r="Z115">
            <v>1</v>
          </cell>
          <cell r="AA115">
            <v>0</v>
          </cell>
          <cell r="AC115">
            <v>90</v>
          </cell>
        </row>
        <row r="116">
          <cell r="B116" t="str">
            <v>HMC Milling - DMG Mori Seiki NHX4000</v>
          </cell>
          <cell r="G116">
            <v>9.70045871559633</v>
          </cell>
          <cell r="H116">
            <v>1</v>
          </cell>
          <cell r="I116">
            <v>0</v>
          </cell>
          <cell r="S116">
            <v>11.360854189336235</v>
          </cell>
          <cell r="V116">
            <v>20.15748031496063</v>
          </cell>
          <cell r="W116">
            <v>1</v>
          </cell>
          <cell r="X116">
            <v>0</v>
          </cell>
          <cell r="AC116">
            <v>90</v>
          </cell>
        </row>
        <row r="117">
          <cell r="B117" t="str">
            <v>CNC Turnmill - Haas S35</v>
          </cell>
          <cell r="G117">
            <v>7.96</v>
          </cell>
          <cell r="H117">
            <v>1</v>
          </cell>
          <cell r="I117">
            <v>0</v>
          </cell>
        </row>
        <row r="123">
          <cell r="B123" t="str">
            <v>CASTING</v>
          </cell>
        </row>
        <row r="124">
          <cell r="B124" t="str">
            <v>Induction Melting - 2 Ton</v>
          </cell>
          <cell r="D124" t="str">
            <v xml:space="preserve"> -</v>
          </cell>
          <cell r="G124">
            <v>86.694070943745416</v>
          </cell>
          <cell r="H124">
            <v>1</v>
          </cell>
          <cell r="I124">
            <v>0</v>
          </cell>
          <cell r="S124">
            <v>90.134203844758844</v>
          </cell>
          <cell r="T124">
            <v>1</v>
          </cell>
          <cell r="U124">
            <v>0</v>
          </cell>
          <cell r="V124">
            <v>98.972003499562604</v>
          </cell>
          <cell r="W124">
            <v>1</v>
          </cell>
          <cell r="X124">
            <v>0</v>
          </cell>
          <cell r="AC124">
            <v>15</v>
          </cell>
        </row>
        <row r="125">
          <cell r="B125" t="str">
            <v>Induction Melting - 1 Ton</v>
          </cell>
          <cell r="D125" t="str">
            <v>-</v>
          </cell>
          <cell r="G125">
            <v>43.347035471872779</v>
          </cell>
          <cell r="H125">
            <v>1</v>
          </cell>
          <cell r="I125">
            <v>0</v>
          </cell>
          <cell r="S125">
            <v>45.067101922379351</v>
          </cell>
          <cell r="T125">
            <v>1</v>
          </cell>
          <cell r="U125">
            <v>0</v>
          </cell>
          <cell r="V125">
            <v>49.486001749781302</v>
          </cell>
          <cell r="W125">
            <v>1</v>
          </cell>
          <cell r="X125">
            <v>0</v>
          </cell>
          <cell r="AC125">
            <v>15</v>
          </cell>
        </row>
        <row r="126">
          <cell r="B126" t="str">
            <v>Induction Melting- 500kg (JINHUAXIN INDUCTION Melting)</v>
          </cell>
          <cell r="D126" t="str">
            <v xml:space="preserve"> -</v>
          </cell>
          <cell r="G126">
            <v>32.661899236444036</v>
          </cell>
          <cell r="H126">
            <v>1</v>
          </cell>
          <cell r="I126">
            <v>0</v>
          </cell>
          <cell r="S126">
            <v>19.785999274573857</v>
          </cell>
          <cell r="T126">
            <v>1</v>
          </cell>
          <cell r="U126">
            <v>0</v>
          </cell>
          <cell r="V126">
            <v>19.860017497812795</v>
          </cell>
          <cell r="W126">
            <v>1</v>
          </cell>
          <cell r="X126">
            <v>0</v>
          </cell>
          <cell r="AC126">
            <v>15</v>
          </cell>
        </row>
        <row r="127">
          <cell r="B127" t="str">
            <v>Green Sand Mixer - Qingdao besttechmachinery</v>
          </cell>
          <cell r="D127" t="str">
            <v xml:space="preserve"> -</v>
          </cell>
          <cell r="G127">
            <v>1.5688050173598318</v>
          </cell>
          <cell r="H127">
            <v>1</v>
          </cell>
          <cell r="I127">
            <v>1</v>
          </cell>
          <cell r="S127">
            <v>1.4508523757707699</v>
          </cell>
          <cell r="T127">
            <v>1</v>
          </cell>
          <cell r="U127">
            <v>1</v>
          </cell>
          <cell r="V127">
            <v>2.2090988626421653</v>
          </cell>
          <cell r="W127">
            <v>1</v>
          </cell>
          <cell r="X127">
            <v>1</v>
          </cell>
          <cell r="AC127">
            <v>30</v>
          </cell>
        </row>
        <row r="128">
          <cell r="B128" t="str">
            <v>Manual Mold making</v>
          </cell>
          <cell r="D128" t="str">
            <v xml:space="preserve"> -</v>
          </cell>
          <cell r="G128">
            <v>0.90983134574211011</v>
          </cell>
          <cell r="H128">
            <v>1</v>
          </cell>
          <cell r="I128">
            <v>1</v>
          </cell>
          <cell r="S128">
            <v>0.99746100834240081</v>
          </cell>
          <cell r="T128">
            <v>1</v>
          </cell>
          <cell r="U128">
            <v>1</v>
          </cell>
          <cell r="V128">
            <v>1.6695829687955668</v>
          </cell>
          <cell r="W128">
            <v>1</v>
          </cell>
          <cell r="X128">
            <v>1</v>
          </cell>
          <cell r="AC128">
            <v>60</v>
          </cell>
        </row>
        <row r="129">
          <cell r="B129" t="str">
            <v>Automatic Shell Core Shooter Machine (Model CSA-800)</v>
          </cell>
          <cell r="D129" t="str">
            <v xml:space="preserve"> -</v>
          </cell>
          <cell r="G129">
            <v>5.4426605504587151</v>
          </cell>
          <cell r="H129">
            <v>1</v>
          </cell>
          <cell r="I129">
            <v>0</v>
          </cell>
          <cell r="S129">
            <v>4.7964009793253535</v>
          </cell>
          <cell r="T129">
            <v>1</v>
          </cell>
          <cell r="U129">
            <v>0</v>
          </cell>
          <cell r="V129">
            <v>1.3196267133274999</v>
          </cell>
          <cell r="W129">
            <v>1</v>
          </cell>
          <cell r="X129">
            <v>0</v>
          </cell>
          <cell r="AC129">
            <v>60</v>
          </cell>
        </row>
        <row r="130">
          <cell r="B130" t="str">
            <v>Core making</v>
          </cell>
          <cell r="D130" t="str">
            <v xml:space="preserve"> -</v>
          </cell>
          <cell r="G130">
            <v>0.88073394495412838</v>
          </cell>
          <cell r="H130">
            <v>1</v>
          </cell>
          <cell r="I130">
            <v>0</v>
          </cell>
          <cell r="S130">
            <v>0.54406964091403698</v>
          </cell>
          <cell r="T130">
            <v>1</v>
          </cell>
          <cell r="U130">
            <v>0</v>
          </cell>
          <cell r="V130">
            <v>1.3196267133274999</v>
          </cell>
          <cell r="W130">
            <v>1</v>
          </cell>
          <cell r="X130">
            <v>0</v>
          </cell>
          <cell r="AC130">
            <v>60</v>
          </cell>
        </row>
        <row r="131">
          <cell r="B131" t="str">
            <v>Pouring - Laddle pour</v>
          </cell>
          <cell r="D131" t="str">
            <v xml:space="preserve"> -</v>
          </cell>
          <cell r="G131">
            <v>1.6937469357233792</v>
          </cell>
          <cell r="H131">
            <v>1</v>
          </cell>
          <cell r="I131">
            <v>1</v>
          </cell>
          <cell r="S131">
            <v>1.632208922742111</v>
          </cell>
          <cell r="T131">
            <v>1</v>
          </cell>
          <cell r="U131">
            <v>1</v>
          </cell>
          <cell r="V131">
            <v>2.6392534266549998</v>
          </cell>
          <cell r="W131">
            <v>1</v>
          </cell>
          <cell r="X131">
            <v>1</v>
          </cell>
          <cell r="AC131">
            <v>15</v>
          </cell>
        </row>
        <row r="132">
          <cell r="B132" t="str">
            <v>Gravity die casting set up(Including robotics) - Tiltcaster S (1000 Kg/hr)</v>
          </cell>
          <cell r="D132" t="str">
            <v xml:space="preserve"> -</v>
          </cell>
          <cell r="G132">
            <v>15.963302752293579</v>
          </cell>
          <cell r="H132">
            <v>1</v>
          </cell>
          <cell r="I132">
            <v>0</v>
          </cell>
          <cell r="S132">
            <v>13.463819368879218</v>
          </cell>
          <cell r="T132">
            <v>1</v>
          </cell>
          <cell r="U132">
            <v>0</v>
          </cell>
          <cell r="V132">
            <v>22.677165354330707</v>
          </cell>
          <cell r="W132">
            <v>1</v>
          </cell>
          <cell r="X132">
            <v>0</v>
          </cell>
          <cell r="AC132">
            <v>120</v>
          </cell>
        </row>
        <row r="133">
          <cell r="B133" t="str">
            <v>Shake out - Rovan -L-125 (5Tons)</v>
          </cell>
          <cell r="D133" t="str">
            <v xml:space="preserve"> -</v>
          </cell>
          <cell r="G133">
            <v>5.6495584012422171</v>
          </cell>
          <cell r="H133">
            <v>0</v>
          </cell>
          <cell r="I133">
            <v>1</v>
          </cell>
          <cell r="S133">
            <v>5.2412042074718848</v>
          </cell>
          <cell r="T133">
            <v>0</v>
          </cell>
          <cell r="U133">
            <v>1</v>
          </cell>
          <cell r="V133">
            <v>7.6625838436862015</v>
          </cell>
          <cell r="W133">
            <v>1</v>
          </cell>
          <cell r="X133">
            <v>0</v>
          </cell>
          <cell r="AC133">
            <v>30</v>
          </cell>
        </row>
        <row r="134">
          <cell r="B134" t="str">
            <v>Shake out - Manual</v>
          </cell>
          <cell r="D134" t="str">
            <v xml:space="preserve"> -</v>
          </cell>
          <cell r="G134">
            <v>0.1</v>
          </cell>
          <cell r="H134">
            <v>0</v>
          </cell>
          <cell r="I134">
            <v>1</v>
          </cell>
          <cell r="S134">
            <v>0.1</v>
          </cell>
          <cell r="T134">
            <v>0</v>
          </cell>
          <cell r="U134">
            <v>1</v>
          </cell>
          <cell r="V134">
            <v>0.1</v>
          </cell>
          <cell r="W134">
            <v>0</v>
          </cell>
          <cell r="X134">
            <v>1</v>
          </cell>
          <cell r="AC134">
            <v>30</v>
          </cell>
        </row>
        <row r="135">
          <cell r="B135" t="str">
            <v>Degating - Disamatic &amp; Sinto-Casting Splitter (EP-80N(23)L)</v>
          </cell>
          <cell r="D135" t="str">
            <v xml:space="preserve"> -</v>
          </cell>
          <cell r="G135">
            <v>1.7796800101584098</v>
          </cell>
          <cell r="H135">
            <v>0</v>
          </cell>
          <cell r="I135">
            <v>1</v>
          </cell>
          <cell r="S135">
            <v>1.8696953210010883</v>
          </cell>
          <cell r="T135">
            <v>0</v>
          </cell>
          <cell r="U135">
            <v>1</v>
          </cell>
          <cell r="V135">
            <v>2.765748031496063</v>
          </cell>
          <cell r="W135">
            <v>0</v>
          </cell>
          <cell r="X135">
            <v>1</v>
          </cell>
          <cell r="AC135">
            <v>15</v>
          </cell>
        </row>
        <row r="136">
          <cell r="B136" t="str">
            <v>Deburring- Manual</v>
          </cell>
          <cell r="D136" t="str">
            <v xml:space="preserve"> -</v>
          </cell>
          <cell r="G136">
            <v>0.20948012232415902</v>
          </cell>
          <cell r="H136">
            <v>0</v>
          </cell>
          <cell r="I136">
            <v>1</v>
          </cell>
          <cell r="S136">
            <v>0.1994922016684807</v>
          </cell>
          <cell r="T136">
            <v>0</v>
          </cell>
          <cell r="U136">
            <v>1</v>
          </cell>
          <cell r="V136">
            <v>0.29163021289005514</v>
          </cell>
          <cell r="W136">
            <v>0</v>
          </cell>
          <cell r="X136">
            <v>1</v>
          </cell>
          <cell r="AC136">
            <v>15</v>
          </cell>
        </row>
        <row r="137">
          <cell r="B137" t="str">
            <v>Fettling By Hand</v>
          </cell>
          <cell r="D137" t="str">
            <v xml:space="preserve"> -</v>
          </cell>
          <cell r="G137">
            <v>1.4959644138281329</v>
          </cell>
          <cell r="H137">
            <v>0</v>
          </cell>
          <cell r="I137">
            <v>1</v>
          </cell>
          <cell r="S137">
            <v>1.4689880304678999</v>
          </cell>
          <cell r="T137">
            <v>0</v>
          </cell>
          <cell r="U137">
            <v>1</v>
          </cell>
          <cell r="V137">
            <v>2.325750947798189</v>
          </cell>
          <cell r="W137">
            <v>0</v>
          </cell>
          <cell r="X137">
            <v>1</v>
          </cell>
          <cell r="AC137">
            <v>15</v>
          </cell>
        </row>
        <row r="138">
          <cell r="B138" t="str">
            <v>Shot Blasting - Disa Suspension-SPH2-8</v>
          </cell>
          <cell r="D138" t="str">
            <v xml:space="preserve"> -</v>
          </cell>
          <cell r="G138">
            <v>7.7217125382262992</v>
          </cell>
          <cell r="H138">
            <v>0.5</v>
          </cell>
          <cell r="I138">
            <v>0</v>
          </cell>
          <cell r="S138">
            <v>7.2542618788538231</v>
          </cell>
          <cell r="T138">
            <v>0.5</v>
          </cell>
          <cell r="U138">
            <v>0</v>
          </cell>
          <cell r="V138">
            <v>11.504811898512678</v>
          </cell>
          <cell r="W138">
            <v>0.5</v>
          </cell>
          <cell r="X138">
            <v>0</v>
          </cell>
          <cell r="AC138">
            <v>30</v>
          </cell>
        </row>
        <row r="139">
          <cell r="B139" t="str">
            <v>Washing and Cleaning - Industrial washing machine-MODEL 2500 P</v>
          </cell>
          <cell r="D139">
            <v>6.04</v>
          </cell>
          <cell r="E139">
            <v>0</v>
          </cell>
          <cell r="F139">
            <v>0.5</v>
          </cell>
          <cell r="G139">
            <v>6.2691131498470947</v>
          </cell>
          <cell r="H139">
            <v>0</v>
          </cell>
          <cell r="I139">
            <v>0.5</v>
          </cell>
          <cell r="S139">
            <v>5.549510337323178</v>
          </cell>
          <cell r="T139">
            <v>0</v>
          </cell>
          <cell r="U139">
            <v>0.5</v>
          </cell>
          <cell r="V139">
            <v>8.3333333333333268</v>
          </cell>
          <cell r="W139">
            <v>0</v>
          </cell>
          <cell r="X139">
            <v>0.5</v>
          </cell>
          <cell r="AC139">
            <v>15</v>
          </cell>
        </row>
        <row r="140">
          <cell r="B140" t="str">
            <v>Metallurgical inpsection</v>
          </cell>
          <cell r="D140" t="str">
            <v xml:space="preserve"> -</v>
          </cell>
          <cell r="G140">
            <v>2.7621551579932264</v>
          </cell>
          <cell r="H140">
            <v>1</v>
          </cell>
          <cell r="I140">
            <v>0</v>
          </cell>
          <cell r="S140">
            <v>2.393906420021763</v>
          </cell>
          <cell r="T140">
            <v>1</v>
          </cell>
          <cell r="U140">
            <v>0</v>
          </cell>
          <cell r="V140">
            <v>3.8349372995042321</v>
          </cell>
          <cell r="W140">
            <v>1</v>
          </cell>
          <cell r="X140">
            <v>0</v>
          </cell>
          <cell r="AC140">
            <v>30</v>
          </cell>
        </row>
        <row r="141">
          <cell r="B141" t="str">
            <v>Radiography - Bosello X-ray inspection-SRE Max</v>
          </cell>
          <cell r="D141" t="str">
            <v xml:space="preserve"> -</v>
          </cell>
          <cell r="G141">
            <v>7.7393262749705505</v>
          </cell>
          <cell r="H141">
            <v>1</v>
          </cell>
          <cell r="I141">
            <v>0</v>
          </cell>
          <cell r="S141">
            <v>4.2981501632208925</v>
          </cell>
          <cell r="T141">
            <v>1</v>
          </cell>
          <cell r="U141">
            <v>0</v>
          </cell>
          <cell r="V141">
            <v>6.9335083114610629</v>
          </cell>
          <cell r="W141">
            <v>1</v>
          </cell>
          <cell r="X141">
            <v>0</v>
          </cell>
          <cell r="AC141">
            <v>30</v>
          </cell>
        </row>
        <row r="142">
          <cell r="B142" t="str">
            <v>Leak Testing (Pneumatic system)</v>
          </cell>
          <cell r="D142">
            <v>4.91</v>
          </cell>
          <cell r="E142">
            <v>1</v>
          </cell>
          <cell r="F142">
            <v>0</v>
          </cell>
          <cell r="G142">
            <v>2.6116207951070334</v>
          </cell>
          <cell r="H142">
            <v>1</v>
          </cell>
          <cell r="I142">
            <v>0</v>
          </cell>
          <cell r="S142">
            <v>3.7178092129125813</v>
          </cell>
          <cell r="T142">
            <v>1</v>
          </cell>
          <cell r="U142">
            <v>0</v>
          </cell>
          <cell r="V142">
            <v>5.234762321376496</v>
          </cell>
          <cell r="W142">
            <v>1</v>
          </cell>
          <cell r="X142">
            <v>0</v>
          </cell>
          <cell r="AC142">
            <v>60</v>
          </cell>
        </row>
        <row r="155">
          <cell r="B155" t="str">
            <v>TUBE</v>
          </cell>
        </row>
        <row r="156">
          <cell r="B156" t="str">
            <v xml:space="preserve">SPM- HAIRPIN BENDER </v>
          </cell>
        </row>
        <row r="157">
          <cell r="B157" t="str">
            <v>VERTICAL TUBE EXPANDER CONDENSER</v>
          </cell>
        </row>
        <row r="158">
          <cell r="B158" t="str">
            <v xml:space="preserve">RETURN BENDER </v>
          </cell>
        </row>
        <row r="159">
          <cell r="B159" t="str">
            <v>CNC Condenser Bender coil bender</v>
          </cell>
        </row>
        <row r="160">
          <cell r="B160" t="str">
            <v>CNC 3D COPPER TUBE BENDING MACHINE</v>
          </cell>
        </row>
        <row r="161">
          <cell r="B161" t="str">
            <v>Auto Brazing Machine Line of Copper Heat Exchanger Coils(Return bends)</v>
          </cell>
        </row>
        <row r="162">
          <cell r="B162" t="str">
            <v>Tube end former</v>
          </cell>
        </row>
        <row r="163">
          <cell r="B163" t="str">
            <v>T-Drill Machine</v>
          </cell>
        </row>
        <row r="164">
          <cell r="B164" t="str">
            <v>CNC BAR BENDING MACHINE</v>
          </cell>
          <cell r="D164">
            <v>3.17</v>
          </cell>
          <cell r="G164">
            <v>2.1039755351681957</v>
          </cell>
          <cell r="H164">
            <v>1</v>
          </cell>
          <cell r="M164">
            <v>3.5121951219512195</v>
          </cell>
          <cell r="N164">
            <v>1</v>
          </cell>
          <cell r="O164">
            <v>0</v>
          </cell>
          <cell r="P164">
            <v>4.024390243902439</v>
          </cell>
          <cell r="Q164">
            <v>1</v>
          </cell>
          <cell r="R164">
            <v>0</v>
          </cell>
          <cell r="S164">
            <v>2.1312568008705117</v>
          </cell>
          <cell r="T164">
            <v>1</v>
          </cell>
          <cell r="U164">
            <v>0</v>
          </cell>
          <cell r="V164">
            <v>3.1121999999999996</v>
          </cell>
          <cell r="W164">
            <v>1</v>
          </cell>
          <cell r="X164">
            <v>0</v>
          </cell>
          <cell r="Y164">
            <v>2.44</v>
          </cell>
          <cell r="Z164">
            <v>1</v>
          </cell>
          <cell r="AA164">
            <v>0</v>
          </cell>
          <cell r="AC164">
            <v>10</v>
          </cell>
        </row>
        <row r="165">
          <cell r="B165" t="str">
            <v>CNC Tube Bending</v>
          </cell>
          <cell r="D165">
            <v>23.86</v>
          </cell>
          <cell r="G165">
            <v>13.675840978593271</v>
          </cell>
          <cell r="H165">
            <v>1</v>
          </cell>
          <cell r="M165">
            <v>24.926829268292686</v>
          </cell>
          <cell r="N165">
            <v>1</v>
          </cell>
          <cell r="O165">
            <v>0</v>
          </cell>
          <cell r="P165">
            <v>25.390243902439025</v>
          </cell>
          <cell r="Q165">
            <v>1</v>
          </cell>
          <cell r="R165">
            <v>0</v>
          </cell>
          <cell r="S165">
            <v>13.638329706202395</v>
          </cell>
          <cell r="T165">
            <v>1</v>
          </cell>
          <cell r="U165">
            <v>0</v>
          </cell>
          <cell r="V165">
            <v>22.9938</v>
          </cell>
          <cell r="W165">
            <v>1</v>
          </cell>
          <cell r="X165">
            <v>0</v>
          </cell>
          <cell r="Y165">
            <v>14.78</v>
          </cell>
          <cell r="Z165">
            <v>1</v>
          </cell>
          <cell r="AA165">
            <v>0</v>
          </cell>
          <cell r="AC165">
            <v>10</v>
          </cell>
        </row>
        <row r="166">
          <cell r="B166" t="str">
            <v>CNC Tube Bending</v>
          </cell>
          <cell r="D166">
            <v>11.27</v>
          </cell>
          <cell r="G166">
            <v>6.8577981651376145</v>
          </cell>
          <cell r="H166">
            <v>1</v>
          </cell>
          <cell r="M166">
            <v>12.060975609756099</v>
          </cell>
          <cell r="N166">
            <v>1</v>
          </cell>
          <cell r="O166">
            <v>0</v>
          </cell>
          <cell r="P166">
            <v>12.890243902439025</v>
          </cell>
          <cell r="Q166">
            <v>1</v>
          </cell>
          <cell r="R166">
            <v>0</v>
          </cell>
          <cell r="S166">
            <v>6.8847932535364533</v>
          </cell>
          <cell r="T166">
            <v>1</v>
          </cell>
          <cell r="U166">
            <v>0</v>
          </cell>
          <cell r="V166">
            <v>12.8041</v>
          </cell>
          <cell r="W166">
            <v>1</v>
          </cell>
          <cell r="X166">
            <v>0</v>
          </cell>
          <cell r="Y166">
            <v>7.64</v>
          </cell>
          <cell r="Z166">
            <v>1</v>
          </cell>
          <cell r="AA166">
            <v>0</v>
          </cell>
          <cell r="AC166">
            <v>10</v>
          </cell>
        </row>
        <row r="167">
          <cell r="B167" t="str">
            <v>CNC Tube Bending - Dai 100</v>
          </cell>
          <cell r="D167">
            <v>28.37</v>
          </cell>
          <cell r="G167">
            <v>18.28348623853211</v>
          </cell>
          <cell r="H167">
            <v>1</v>
          </cell>
          <cell r="Y167" t="str">
            <v>-</v>
          </cell>
          <cell r="AC167">
            <v>10</v>
          </cell>
        </row>
        <row r="168">
          <cell r="B168" t="str">
            <v>CNC Tube Bending - Dia 180</v>
          </cell>
          <cell r="D168">
            <v>52.36</v>
          </cell>
          <cell r="G168">
            <v>33.195412844036696</v>
          </cell>
          <cell r="H168">
            <v>1</v>
          </cell>
          <cell r="Y168" t="str">
            <v>-</v>
          </cell>
          <cell r="AC168">
            <v>10</v>
          </cell>
        </row>
        <row r="169">
          <cell r="B169" t="str">
            <v>CNC Tube end former</v>
          </cell>
          <cell r="D169">
            <v>4.0199999999999996</v>
          </cell>
          <cell r="G169">
            <v>2.7431192660550461</v>
          </cell>
          <cell r="H169">
            <v>1</v>
          </cell>
          <cell r="M169">
            <v>4.51219512195122</v>
          </cell>
          <cell r="N169">
            <v>1</v>
          </cell>
          <cell r="O169">
            <v>0</v>
          </cell>
          <cell r="P169">
            <v>5.3048780487804876</v>
          </cell>
          <cell r="Q169">
            <v>1</v>
          </cell>
          <cell r="R169">
            <v>0</v>
          </cell>
          <cell r="S169">
            <v>2.7936615886833516</v>
          </cell>
          <cell r="T169">
            <v>1</v>
          </cell>
          <cell r="U169">
            <v>0</v>
          </cell>
          <cell r="V169">
            <v>3.9653</v>
          </cell>
          <cell r="W169">
            <v>1</v>
          </cell>
          <cell r="X169">
            <v>0</v>
          </cell>
          <cell r="Y169">
            <v>3.21</v>
          </cell>
          <cell r="Z169">
            <v>1</v>
          </cell>
          <cell r="AA169">
            <v>0</v>
          </cell>
          <cell r="AC169">
            <v>10</v>
          </cell>
        </row>
        <row r="170">
          <cell r="B170" t="str">
            <v>CNC Tube end former</v>
          </cell>
          <cell r="D170">
            <v>4.04</v>
          </cell>
          <cell r="H170">
            <v>1</v>
          </cell>
        </row>
        <row r="171">
          <cell r="B171" t="str">
            <v>CNC Tube Laser Cutting</v>
          </cell>
          <cell r="D171">
            <v>50.98</v>
          </cell>
        </row>
        <row r="172">
          <cell r="B172" t="str">
            <v>Circular saw</v>
          </cell>
          <cell r="G172">
            <v>0.73211009174311925</v>
          </cell>
          <cell r="H172">
            <v>0</v>
          </cell>
          <cell r="I172">
            <v>1</v>
          </cell>
          <cell r="AC172">
            <v>15</v>
          </cell>
        </row>
        <row r="176">
          <cell r="B176" t="str">
            <v>WELDING &amp; ASSEMBLY</v>
          </cell>
        </row>
        <row r="177">
          <cell r="B177" t="str">
            <v>MIG Welding</v>
          </cell>
          <cell r="D177">
            <v>2.17</v>
          </cell>
          <cell r="G177">
            <v>2.7522935779816513</v>
          </cell>
          <cell r="H177">
            <v>1</v>
          </cell>
          <cell r="I177">
            <v>0</v>
          </cell>
          <cell r="M177">
            <v>1.524390243902439</v>
          </cell>
          <cell r="N177">
            <v>1</v>
          </cell>
          <cell r="O177">
            <v>0</v>
          </cell>
          <cell r="P177">
            <v>1.9390243902439026</v>
          </cell>
          <cell r="Q177">
            <v>1</v>
          </cell>
          <cell r="R177">
            <v>0</v>
          </cell>
          <cell r="S177">
            <v>2.1762785636561479</v>
          </cell>
          <cell r="T177">
            <v>1</v>
          </cell>
          <cell r="U177">
            <v>0</v>
          </cell>
          <cell r="V177">
            <v>1.292</v>
          </cell>
          <cell r="W177">
            <v>1</v>
          </cell>
          <cell r="X177">
            <v>0</v>
          </cell>
          <cell r="Y177">
            <v>1.23</v>
          </cell>
          <cell r="Z177">
            <v>1</v>
          </cell>
          <cell r="AA177">
            <v>0</v>
          </cell>
        </row>
        <row r="178">
          <cell r="B178" t="str">
            <v>TIG Welding</v>
          </cell>
          <cell r="D178">
            <v>0.95</v>
          </cell>
          <cell r="G178">
            <v>1.8348623853211008</v>
          </cell>
          <cell r="H178">
            <v>1</v>
          </cell>
          <cell r="I178">
            <v>0</v>
          </cell>
          <cell r="M178">
            <v>1.1829268292682926</v>
          </cell>
          <cell r="N178">
            <v>1</v>
          </cell>
          <cell r="O178">
            <v>0</v>
          </cell>
          <cell r="P178">
            <v>1.5975609756097562</v>
          </cell>
          <cell r="Q178">
            <v>1</v>
          </cell>
          <cell r="R178">
            <v>0</v>
          </cell>
          <cell r="S178">
            <v>0.83813928182807396</v>
          </cell>
          <cell r="T178">
            <v>1</v>
          </cell>
          <cell r="U178">
            <v>0</v>
          </cell>
          <cell r="V178">
            <v>0.9728</v>
          </cell>
          <cell r="W178">
            <v>1</v>
          </cell>
          <cell r="X178">
            <v>0</v>
          </cell>
          <cell r="Y178">
            <v>1.03</v>
          </cell>
          <cell r="Z178">
            <v>1</v>
          </cell>
          <cell r="AA178">
            <v>0</v>
          </cell>
        </row>
        <row r="179">
          <cell r="B179" t="str">
            <v>Resistance Welding M/C</v>
          </cell>
          <cell r="D179">
            <v>4.16</v>
          </cell>
          <cell r="G179">
            <v>3.0688073394495414</v>
          </cell>
          <cell r="H179">
            <v>1</v>
          </cell>
          <cell r="I179">
            <v>0</v>
          </cell>
          <cell r="M179">
            <v>4.8780487804878048</v>
          </cell>
          <cell r="N179">
            <v>1</v>
          </cell>
          <cell r="O179">
            <v>0</v>
          </cell>
          <cell r="P179">
            <v>5.9268292682926838</v>
          </cell>
          <cell r="Q179">
            <v>1</v>
          </cell>
          <cell r="R179">
            <v>0</v>
          </cell>
          <cell r="S179">
            <v>3.130576713819369</v>
          </cell>
          <cell r="T179">
            <v>1</v>
          </cell>
          <cell r="U179">
            <v>0</v>
          </cell>
          <cell r="V179">
            <v>4.2218</v>
          </cell>
          <cell r="W179">
            <v>1</v>
          </cell>
          <cell r="X179">
            <v>0</v>
          </cell>
          <cell r="Y179">
            <v>3.69</v>
          </cell>
          <cell r="Z179">
            <v>1</v>
          </cell>
          <cell r="AA179">
            <v>0</v>
          </cell>
        </row>
        <row r="180">
          <cell r="B180" t="str">
            <v xml:space="preserve">Assembly Press </v>
          </cell>
          <cell r="D180">
            <v>1.23</v>
          </cell>
          <cell r="G180" t="str">
            <v>-</v>
          </cell>
          <cell r="V180">
            <v>0</v>
          </cell>
          <cell r="W180">
            <v>1</v>
          </cell>
          <cell r="X180">
            <v>0</v>
          </cell>
          <cell r="Y180">
            <v>1.04</v>
          </cell>
          <cell r="Z180">
            <v>1</v>
          </cell>
          <cell r="AA180">
            <v>0</v>
          </cell>
        </row>
        <row r="186">
          <cell r="B186" t="str">
            <v>COMMON PROCESS</v>
          </cell>
        </row>
        <row r="187">
          <cell r="B187" t="str">
            <v>CMM Inspection</v>
          </cell>
          <cell r="C187" t="str">
            <v>CMM</v>
          </cell>
          <cell r="D187">
            <v>2</v>
          </cell>
          <cell r="E187">
            <v>1</v>
          </cell>
          <cell r="F187">
            <v>0</v>
          </cell>
          <cell r="G187">
            <v>7.45</v>
          </cell>
          <cell r="H187">
            <v>1</v>
          </cell>
          <cell r="I187">
            <v>0</v>
          </cell>
          <cell r="J187">
            <v>14.31</v>
          </cell>
          <cell r="K187">
            <v>1</v>
          </cell>
          <cell r="L187">
            <v>0</v>
          </cell>
          <cell r="M187">
            <v>14.31</v>
          </cell>
          <cell r="N187">
            <v>1</v>
          </cell>
          <cell r="O187">
            <v>0</v>
          </cell>
          <cell r="P187">
            <v>14.31</v>
          </cell>
          <cell r="Q187">
            <v>1</v>
          </cell>
          <cell r="R187">
            <v>0</v>
          </cell>
          <cell r="S187">
            <v>5.85</v>
          </cell>
          <cell r="T187">
            <v>1</v>
          </cell>
          <cell r="U187">
            <v>0</v>
          </cell>
          <cell r="AC187">
            <v>15</v>
          </cell>
        </row>
        <row r="188">
          <cell r="B188" t="str">
            <v>Visual Inspection</v>
          </cell>
          <cell r="D188">
            <v>0.5</v>
          </cell>
          <cell r="E188">
            <v>0</v>
          </cell>
          <cell r="F188">
            <v>1</v>
          </cell>
          <cell r="G188">
            <v>1</v>
          </cell>
          <cell r="H188">
            <v>0</v>
          </cell>
          <cell r="I188">
            <v>1</v>
          </cell>
          <cell r="J188">
            <v>1</v>
          </cell>
          <cell r="K188">
            <v>0</v>
          </cell>
          <cell r="L188">
            <v>1</v>
          </cell>
          <cell r="M188">
            <v>1</v>
          </cell>
          <cell r="N188">
            <v>0</v>
          </cell>
          <cell r="O188">
            <v>1</v>
          </cell>
          <cell r="P188">
            <v>1</v>
          </cell>
          <cell r="Q188">
            <v>0</v>
          </cell>
          <cell r="R188">
            <v>1</v>
          </cell>
          <cell r="S188">
            <v>0.5</v>
          </cell>
          <cell r="T188">
            <v>0</v>
          </cell>
          <cell r="U188">
            <v>1</v>
          </cell>
          <cell r="AC188">
            <v>15</v>
          </cell>
        </row>
        <row r="189">
          <cell r="B189" t="str">
            <v>Final Inspection</v>
          </cell>
          <cell r="D189">
            <v>1</v>
          </cell>
          <cell r="E189">
            <v>1</v>
          </cell>
          <cell r="F189">
            <v>0</v>
          </cell>
          <cell r="G189">
            <v>1.1299999999999999</v>
          </cell>
          <cell r="H189">
            <v>1</v>
          </cell>
          <cell r="I189">
            <v>0</v>
          </cell>
          <cell r="J189">
            <v>1.6</v>
          </cell>
          <cell r="K189">
            <v>1</v>
          </cell>
          <cell r="L189">
            <v>0</v>
          </cell>
          <cell r="M189">
            <v>1.6</v>
          </cell>
          <cell r="N189">
            <v>1</v>
          </cell>
          <cell r="O189">
            <v>0</v>
          </cell>
          <cell r="P189">
            <v>1.6</v>
          </cell>
          <cell r="Q189">
            <v>1</v>
          </cell>
          <cell r="R189">
            <v>0</v>
          </cell>
          <cell r="S189">
            <v>1.07</v>
          </cell>
          <cell r="T189">
            <v>1</v>
          </cell>
          <cell r="U189">
            <v>0</v>
          </cell>
          <cell r="AC189">
            <v>15</v>
          </cell>
        </row>
        <row r="190">
          <cell r="B190" t="str">
            <v>Painting Booth</v>
          </cell>
          <cell r="G190">
            <v>5</v>
          </cell>
          <cell r="H190">
            <v>0.5</v>
          </cell>
          <cell r="I190">
            <v>1</v>
          </cell>
          <cell r="AC190">
            <v>15</v>
          </cell>
        </row>
      </sheetData>
      <sheetData sheetId="16"/>
      <sheetData sheetId="17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  <sheetName val="Summary"/>
      <sheetName val="Process Plan"/>
      <sheetName val="Cylinder (inch)"/>
      <sheetName val="Backup"/>
      <sheetName val="Setup time"/>
      <sheetName val="Machining Calculation"/>
      <sheetName val="Burden Rate"/>
      <sheetName val="Cylinder"/>
      <sheetName val="Cylinder (inch) (square sheet)"/>
      <sheetName val="Sheet2"/>
      <sheetName val="density"/>
      <sheetName val="Cleaning-Wash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287">
          <cell r="G287">
            <v>10</v>
          </cell>
          <cell r="I287" t="str">
            <v>NA</v>
          </cell>
          <cell r="L287" t="str">
            <v>-</v>
          </cell>
          <cell r="N287" t="str">
            <v>NA</v>
          </cell>
        </row>
        <row r="288">
          <cell r="G288">
            <v>20</v>
          </cell>
          <cell r="I288">
            <v>0.25</v>
          </cell>
          <cell r="L288">
            <v>1E-3</v>
          </cell>
          <cell r="N288">
            <v>1</v>
          </cell>
        </row>
        <row r="289">
          <cell r="G289">
            <v>30</v>
          </cell>
          <cell r="I289">
            <v>0.5</v>
          </cell>
          <cell r="L289">
            <v>0.01</v>
          </cell>
          <cell r="N289">
            <v>2</v>
          </cell>
        </row>
        <row r="290">
          <cell r="G290">
            <v>40</v>
          </cell>
          <cell r="I290">
            <v>1</v>
          </cell>
          <cell r="L290">
            <v>0.02</v>
          </cell>
          <cell r="N290">
            <v>3</v>
          </cell>
        </row>
        <row r="291">
          <cell r="G291">
            <v>50</v>
          </cell>
          <cell r="I291">
            <v>1.5</v>
          </cell>
          <cell r="L291">
            <v>0.03</v>
          </cell>
          <cell r="N291">
            <v>4</v>
          </cell>
        </row>
        <row r="292">
          <cell r="G292">
            <v>60</v>
          </cell>
          <cell r="I292">
            <v>2</v>
          </cell>
          <cell r="L292">
            <v>0.05</v>
          </cell>
          <cell r="N292">
            <v>5</v>
          </cell>
        </row>
        <row r="293">
          <cell r="G293">
            <v>70</v>
          </cell>
          <cell r="I293">
            <v>2.5</v>
          </cell>
          <cell r="L293">
            <v>7.0000000000000007E-2</v>
          </cell>
          <cell r="N293">
            <v>6</v>
          </cell>
        </row>
        <row r="294">
          <cell r="G294">
            <v>80</v>
          </cell>
          <cell r="I294">
            <v>3</v>
          </cell>
          <cell r="L294">
            <v>0.1</v>
          </cell>
          <cell r="N294">
            <v>7</v>
          </cell>
        </row>
        <row r="295">
          <cell r="G295">
            <v>90</v>
          </cell>
          <cell r="I295">
            <v>4</v>
          </cell>
          <cell r="L295">
            <v>1</v>
          </cell>
          <cell r="N295">
            <v>8</v>
          </cell>
        </row>
        <row r="296">
          <cell r="G296">
            <v>100</v>
          </cell>
          <cell r="I296">
            <v>5</v>
          </cell>
          <cell r="N296">
            <v>9</v>
          </cell>
        </row>
        <row r="297">
          <cell r="G297">
            <v>110</v>
          </cell>
          <cell r="I297">
            <v>6</v>
          </cell>
        </row>
        <row r="298">
          <cell r="G298">
            <v>120</v>
          </cell>
          <cell r="I298">
            <v>7</v>
          </cell>
        </row>
        <row r="299">
          <cell r="G299">
            <v>130</v>
          </cell>
          <cell r="I299">
            <v>8</v>
          </cell>
        </row>
        <row r="300">
          <cell r="G300">
            <v>140</v>
          </cell>
        </row>
        <row r="301">
          <cell r="G301">
            <v>150</v>
          </cell>
        </row>
        <row r="302">
          <cell r="G302">
            <v>160</v>
          </cell>
        </row>
        <row r="303">
          <cell r="G303">
            <v>170</v>
          </cell>
        </row>
        <row r="304">
          <cell r="G304">
            <v>180</v>
          </cell>
        </row>
        <row r="305">
          <cell r="G305">
            <v>190</v>
          </cell>
        </row>
        <row r="306">
          <cell r="G306">
            <v>200</v>
          </cell>
        </row>
        <row r="339">
          <cell r="C339" t="str">
            <v>ROUND BAR</v>
          </cell>
        </row>
        <row r="340">
          <cell r="C340" t="str">
            <v>SQ./RECT. BAR</v>
          </cell>
        </row>
        <row r="341">
          <cell r="C341" t="str">
            <v>ROUND TUBE</v>
          </cell>
        </row>
      </sheetData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C"/>
      <sheetName val="Notes"/>
      <sheetName val="Output_Cover"/>
      <sheetName val="Output_Summary"/>
      <sheetName val="Output_Graph1"/>
      <sheetName val="Output_Graph2"/>
      <sheetName val="Output_Graph1_Old"/>
      <sheetName val="Output_OnePager"/>
      <sheetName val="Output_Graph3"/>
      <sheetName val="Output_ChanDevTbl2"/>
      <sheetName val="Output_MnthlyDev"/>
      <sheetName val="Output_ChanDev2"/>
      <sheetName val="Output_ChanDevTable"/>
      <sheetName val="Output_ChannelDevices"/>
      <sheetName val="Model_Subs"/>
      <sheetName val="Model_Seasonality"/>
      <sheetName val="Input_ChannelDevices"/>
      <sheetName val="Input_Stores"/>
      <sheetName val="Input_Actuals"/>
      <sheetName val="Output_Channels"/>
      <sheetName val="Site Total - AP"/>
      <sheetName val="Site Total - QTD"/>
      <sheetName val="Site Total - YTD"/>
    </sheetNames>
    <sheetDataSet>
      <sheetData sheetId="0" refreshError="1"/>
      <sheetData sheetId="1" refreshError="1">
        <row r="8">
          <cell r="C8" t="str">
            <v>Revised Draft (08/05/04)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1"/>
      <sheetName val="Q2"/>
      <sheetName val="Q3"/>
      <sheetName val="Q4"/>
      <sheetName val="Investor Call Stats"/>
      <sheetName val="Accretive_Dilutive View"/>
      <sheetName val="Total Consolidated Op Statement"/>
      <sheetName val="Athens IS 2010_2014"/>
      <sheetName val="Assumptions"/>
      <sheetName val="Summary stats"/>
      <sheetName val="Ratios"/>
      <sheetName val="Trended Historical"/>
      <sheetName val="Itron Operating Stmts w Debt"/>
      <sheetName val="Athens Cons Adjustments"/>
      <sheetName val="Itron Cons Adjustments"/>
      <sheetName val="Addl Cost analysis"/>
      <sheetName val="Itron Ops Stmts Stand alone"/>
      <sheetName val="Itron Revenue Build"/>
      <sheetName val="Summary USD"/>
      <sheetName val="Q1 2007"/>
      <sheetName val="Q2 2007"/>
      <sheetName val="Q3 2007"/>
      <sheetName val="Q4 2007"/>
      <sheetName val="Athens IS 2006 ACT"/>
      <sheetName val="Athens Movement in WC"/>
      <sheetName val="Athens IS 2007"/>
      <sheetName val="Q1 2008"/>
      <sheetName val="Q2 2008"/>
      <sheetName val="Q3 2008"/>
      <sheetName val="Q4 2008"/>
      <sheetName val="Athens IS 2008"/>
      <sheetName val="Athens IS 2009"/>
      <sheetName val="Athens BS 2006 ACT"/>
      <sheetName val="Summary of Int Exp"/>
      <sheetName val="Interest Income"/>
      <sheetName val="New Debt"/>
      <sheetName val="Intang Amortization by Qtr"/>
      <sheetName val="Weighted Ave Shares"/>
      <sheetName val="Net Share Settlemnt Convert"/>
      <sheetName val="Athens New Debt Summary"/>
      <sheetName val="Athens New Debt Detail"/>
      <sheetName val="New Debt Interest Rates"/>
      <sheetName val="New Debt Early Paydown Analysis"/>
      <sheetName val="CSSN"/>
      <sheetName val="$125M Senior Sub Notes"/>
      <sheetName val="CapEx"/>
      <sheetName val="Cash Int Exp"/>
      <sheetName val="Deloris_Detail"/>
      <sheetName val="Deloris_Combined"/>
      <sheetName val="Deloris_Sumnary for Earnings"/>
      <sheetName val="Management Upside"/>
      <sheetName val="Debt allocation"/>
      <sheetName val="EBITDA Bridge"/>
      <sheetName val="$55M Revolver"/>
      <sheetName val="MSN MoneyCentral Currency Rates"/>
      <sheetName val="Danamon L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ck"/>
      <sheetName val="변환"/>
      <sheetName val="국내200010"/>
      <sheetName val="수출200010"/>
      <sheetName val="국내200011"/>
      <sheetName val="DATA"/>
      <sheetName val="Cost Reduction"/>
    </sheetNames>
    <sheetDataSet>
      <sheetData sheetId="0" refreshError="1"/>
      <sheetData sheetId="1">
        <row r="60">
          <cell r="A60" t="str">
            <v>문서NO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-asi-00"/>
      <sheetName val="A$"/>
      <sheetName val="2_asi_00"/>
      <sheetName val="Ex_Rate"/>
      <sheetName val="Scenarios&amp;Sensitivities"/>
      <sheetName val="GeneralInfo"/>
      <sheetName val="Marshal"/>
      <sheetName val="Recov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Specific"/>
      <sheetName val="General"/>
      <sheetName val="IS"/>
      <sheetName val="OVERVIEW"/>
      <sheetName val="EMC"/>
      <sheetName val="PROXIM"/>
      <sheetName val="XEROX"/>
      <sheetName val="DANGER"/>
      <sheetName val="2 WIRE"/>
      <sheetName val="HP FRONT PANEL"/>
      <sheetName val="REPAIR CTR"/>
      <sheetName val="XM"/>
      <sheetName val="IFC"/>
      <sheetName val="MAT"/>
      <sheetName val="DL SUMMARY"/>
      <sheetName val="IDL SUMMARY"/>
      <sheetName val="SGA"/>
      <sheetName val="OMH"/>
      <sheetName val="sales+elim"/>
      <sheetName val="sales+elim (2)"/>
      <sheetName val="ID_MAT"/>
      <sheetName val="CON_COST"/>
      <sheetName val="Costmargin"/>
      <sheetName val="NRe"/>
      <sheetName val="Utility"/>
      <sheetName val="FREIGHT"/>
      <sheetName val="Depn"/>
      <sheetName val="Depn_Spec1"/>
      <sheetName val="DL-PROJECT"/>
      <sheetName val="IDL-PROJECT"/>
      <sheetName val="PROD_LINE"/>
      <sheetName val="FOSSIL"/>
      <sheetName val="ST"/>
      <sheetName val="HP EULLER"/>
      <sheetName val="HP SOLAR"/>
      <sheetName val="HP SOLAR &amp; EULLER"/>
      <sheetName val="No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Cnot restated"/>
      <sheetName val="WCrestated"/>
      <sheetName val="rates"/>
      <sheetName val="DBFYCGST SI M&amp;N"/>
      <sheetName val="WCnot restated byquarter"/>
      <sheetName val="WC restated byquarter "/>
      <sheetName val="rates quarter"/>
      <sheetName val="CGSTbyquarter"/>
      <sheetName val="SI_Servizi_USD"/>
      <sheetName val="SI_Servizi_ITL"/>
      <sheetName val="M&amp;N"/>
      <sheetName val="Revenue YTD"/>
      <sheetName val="Revenue Full year "/>
      <sheetName val="Revenue Full Year"/>
      <sheetName val="Ebitda FRS"/>
      <sheetName val="P&amp;L"/>
      <sheetName val="estimate factories"/>
      <sheetName val="PPV Macon"/>
      <sheetName val="PPV Haguenau"/>
      <sheetName val="Capex"/>
      <sheetName val="Cash Flow"/>
      <sheetName val="Factories 2005"/>
      <sheetName val="H.MUNDIAL - 27.01.06 - Ajustado"/>
      <sheetName val="VENDAS_P_SUBSIDIÁRIA"/>
      <sheetName val="Identitas"/>
      <sheetName val="Alert Sheet Pick List"/>
      <sheetName val="E 1.2 - Teste de VC"/>
      <sheetName val="ush"/>
      <sheetName val="Ex-Rate"/>
      <sheetName val="Job Titles"/>
      <sheetName val="Parameters"/>
      <sheetName val="XREF"/>
      <sheetName val=""/>
      <sheetName val="Workingcapitalscope1"/>
      <sheetName val="WCnot_restated"/>
      <sheetName val="DBFYCGST_SI_M&amp;N"/>
      <sheetName val="WCnot_restated_byquarter"/>
      <sheetName val="WC_restated_byquarter_"/>
      <sheetName val="rates_quarter"/>
      <sheetName val="Revenue_YTD"/>
      <sheetName val="Revenue_Full_year_"/>
      <sheetName val="Revenue_Full_Year"/>
      <sheetName val="Ebitda_FRS"/>
      <sheetName val="estimate_factories"/>
      <sheetName val="PPV_Macon"/>
      <sheetName val="PPV_Haguenau"/>
      <sheetName val="Cash_Flow"/>
      <sheetName val="Factories_2005"/>
      <sheetName val="H_MUNDIAL_-_27_01_06_-_Ajustado"/>
      <sheetName val="Alert_Sheet_Pick_List"/>
      <sheetName val="E_1_2_-_Teste_de_VC"/>
      <sheetName val="Job_Titles"/>
      <sheetName val="WCnot_restated1"/>
      <sheetName val="DBFYCGST_SI_M&amp;N1"/>
      <sheetName val="WCnot_restated_byquarter1"/>
      <sheetName val="WC_restated_byquarter_1"/>
      <sheetName val="rates_quarter1"/>
      <sheetName val="Revenue_YTD1"/>
      <sheetName val="Revenue_Full_year_1"/>
      <sheetName val="Revenue_Full_Year1"/>
      <sheetName val="Ebitda_FRS1"/>
      <sheetName val="estimate_factories1"/>
      <sheetName val="PPV_Macon1"/>
      <sheetName val="PPV_Haguenau1"/>
      <sheetName val="Cash_Flow1"/>
      <sheetName val="Factories_20051"/>
      <sheetName val="H_MUNDIAL_-_27_01_06_-_Ajustad1"/>
      <sheetName val="Alert_Sheet_Pick_List1"/>
      <sheetName val="E_1_2_-_Teste_de_VC1"/>
      <sheetName val="Job_Titles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"/>
      <sheetName val="PCBA Assembly Process"/>
      <sheetName val="CBoM"/>
      <sheetName val="Cycle Time"/>
      <sheetName val="Material Cost"/>
      <sheetName val="Burden Rate"/>
      <sheetName val="Labour Rate"/>
      <sheetName val="Preforming - Machine Spec"/>
      <sheetName val="Router - Machine Spec"/>
      <sheetName val="Investment Calculation"/>
    </sheetNames>
    <sheetDataSet>
      <sheetData sheetId="0"/>
      <sheetData sheetId="1">
        <row r="104">
          <cell r="F104" t="str">
            <v>UnSkilled</v>
          </cell>
        </row>
        <row r="105">
          <cell r="F105" t="str">
            <v>Skilled</v>
          </cell>
        </row>
        <row r="106">
          <cell r="F106" t="str">
            <v>Both Skilled &amp; Unskilled</v>
          </cell>
        </row>
        <row r="107">
          <cell r="F107" t="str">
            <v>NA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ould Cost"/>
      <sheetName val="2062756-03"/>
    </sheetNames>
    <sheetDataSet>
      <sheetData sheetId="0"/>
      <sheetData sheetId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Forecasting Guidelines"/>
      <sheetName val="Worksheet_Revised"/>
      <sheetName val="Hardware Sales Mix"/>
      <sheetName val="Notes"/>
      <sheetName val="Worksheet_Base"/>
      <sheetName val="INDEX"/>
      <sheetName val="JV.or TRW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1">
          <cell r="D11">
            <v>2.2000000000000002</v>
          </cell>
        </row>
      </sheetData>
      <sheetData sheetId="5" refreshError="1"/>
      <sheetData sheetId="6" refreshError="1"/>
      <sheetData sheetId="7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BtmsideSMTModule"/>
      <sheetName val="Assumptions"/>
      <sheetName val="QuoteSummary"/>
      <sheetName val="Prep"/>
      <sheetName val="AI"/>
      <sheetName val="TopSMT"/>
      <sheetName val="BtmSMT"/>
      <sheetName val="Top&amp;BtmSMT"/>
      <sheetName val="Offline"/>
      <sheetName val="ManAssy&amp;Wave"/>
      <sheetName val="FinalAssy"/>
      <sheetName val="Test"/>
      <sheetName val="BoxBuild"/>
      <sheetName val="Packing"/>
      <sheetName val="Notes"/>
      <sheetName val="Data lists"/>
      <sheetName val="MOH-April"/>
    </sheetNames>
    <sheetDataSet>
      <sheetData sheetId="0" refreshError="1"/>
      <sheetData sheetId="1" refreshError="1"/>
      <sheetData sheetId="2" refreshError="1">
        <row r="14">
          <cell r="J14">
            <v>1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B"/>
      <sheetName val="C"/>
      <sheetName val="D"/>
      <sheetName val="E"/>
      <sheetName val="F"/>
      <sheetName val="FKT_PJK"/>
      <sheetName val="Alert Sheet Pick List"/>
      <sheetName val="Alert_Sheet_Pick_List"/>
      <sheetName val="Alert_Sheet_Pick_List1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  <sheetName val="Summary"/>
      <sheetName val="Assembly"/>
      <sheetName val="Labor Rate"/>
      <sheetName val="BR_Calc"/>
      <sheetName val="CT_Calc"/>
      <sheetName val="CBoM"/>
    </sheetNames>
    <sheetDataSet>
      <sheetData sheetId="0"/>
      <sheetData sheetId="1"/>
      <sheetData sheetId="2">
        <row r="237">
          <cell r="L237" t="str">
            <v>-</v>
          </cell>
        </row>
        <row r="238">
          <cell r="L238">
            <v>1E-3</v>
          </cell>
        </row>
        <row r="239">
          <cell r="L239">
            <v>0.01</v>
          </cell>
        </row>
        <row r="240">
          <cell r="L240">
            <v>0.02</v>
          </cell>
        </row>
        <row r="241">
          <cell r="L241">
            <v>0.05</v>
          </cell>
        </row>
        <row r="242">
          <cell r="L242">
            <v>0.1</v>
          </cell>
        </row>
        <row r="243">
          <cell r="L243">
            <v>0.2</v>
          </cell>
        </row>
        <row r="244">
          <cell r="L244">
            <v>0.3</v>
          </cell>
        </row>
        <row r="245">
          <cell r="L245">
            <v>0.4</v>
          </cell>
        </row>
        <row r="246">
          <cell r="L246">
            <v>0.5</v>
          </cell>
        </row>
        <row r="247">
          <cell r="L247">
            <v>0.6</v>
          </cell>
        </row>
        <row r="248">
          <cell r="L248">
            <v>0.8</v>
          </cell>
        </row>
        <row r="249">
          <cell r="L249">
            <v>0.9</v>
          </cell>
        </row>
      </sheetData>
      <sheetData sheetId="3">
        <row r="2">
          <cell r="D2" t="str">
            <v>Labor Rate / Region</v>
          </cell>
        </row>
      </sheetData>
      <sheetData sheetId="4">
        <row r="28">
          <cell r="L28">
            <v>123.23158720452588</v>
          </cell>
        </row>
      </sheetData>
      <sheetData sheetId="5">
        <row r="7">
          <cell r="E7">
            <v>2.35</v>
          </cell>
        </row>
      </sheetData>
      <sheetData sheetId="6">
        <row r="98">
          <cell r="R98">
            <v>5.0000000000000001E-4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rrency"/>
      <sheetName val="TOTAL"/>
      <sheetName val="LEAH PARKER"/>
      <sheetName val="Notes"/>
      <sheetName val="SMAD Dashboar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DF Instructions"/>
      <sheetName val="Project Definition Form Summary"/>
      <sheetName val="Project Justification"/>
      <sheetName val="Monthly Realization"/>
      <sheetName val="Monthly Formulas"/>
      <sheetName val="TPCT"/>
      <sheetName val="OQO DL Labor+Wages"/>
      <sheetName val="Realization Charts"/>
      <sheetName val="Status Plan"/>
      <sheetName val="Issue Log"/>
      <sheetName val="SMT Layout"/>
      <sheetName val="Backends"/>
      <sheetName val="SMAD Dashboard"/>
      <sheetName val="TOTAL"/>
      <sheetName val="Input"/>
      <sheetName val="Rates"/>
    </sheetNames>
    <sheetDataSet>
      <sheetData sheetId="0" refreshError="1"/>
      <sheetData sheetId="1" refreshError="1">
        <row r="9">
          <cell r="D9" t="str">
            <v>OQO Direct Labor Cost Reduction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C"/>
      <sheetName val="Notes"/>
      <sheetName val="Output_Cover"/>
      <sheetName val="Output_Summary"/>
      <sheetName val="Output_Graph1"/>
      <sheetName val="Output_Graph2"/>
      <sheetName val="Output_Graph1_Old"/>
      <sheetName val="Output_OnePager"/>
      <sheetName val="Output_Graph3"/>
      <sheetName val="Output_ChanDevTbl2"/>
      <sheetName val="Output_ChanDev2"/>
      <sheetName val="Output_ChanDevTable"/>
      <sheetName val="Output_ChannelDevices"/>
      <sheetName val="Model_Subs"/>
      <sheetName val="Model_Seasonality"/>
      <sheetName val="Input_ChannelDevices"/>
      <sheetName val="Input_Stores"/>
      <sheetName val="Input_Actuals"/>
      <sheetName val="Output_Channels"/>
      <sheetName val="Project Definition Form Summary"/>
      <sheetName val="비교원RD-S"/>
    </sheetNames>
    <sheetDataSet>
      <sheetData sheetId="0" refreshError="1"/>
      <sheetData sheetId="1" refreshError="1">
        <row r="8">
          <cell r="C8" t="str">
            <v>Revised Draft (08/05/04)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 Sheet"/>
      <sheetName val="Results"/>
      <sheetName val="Process Sheet"/>
      <sheetName val="Variable Sheet"/>
      <sheetName val="INDEX"/>
      <sheetName val="Summary"/>
      <sheetName val="Machining"/>
      <sheetName val="Sand Casting"/>
      <sheetName val="Sand Casting Mat"/>
      <sheetName val="Other Secondary Process"/>
      <sheetName val="Heat Treatment"/>
      <sheetName val="Surface Treatment"/>
      <sheetName val="Burden Rate calc-apriori"/>
      <sheetName val="back end data"/>
    </sheetNames>
    <sheetDataSet>
      <sheetData sheetId="0"/>
      <sheetData sheetId="1"/>
      <sheetData sheetId="2"/>
      <sheetData sheetId="3">
        <row r="3">
          <cell r="P3" t="str">
            <v>Casting Weight (Kg)</v>
          </cell>
        </row>
        <row r="4">
          <cell r="P4" t="str">
            <v>Machined Weight (Kg)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공설코드"/>
      <sheetName val="공정루트양식 (4)"/>
      <sheetName val="대 장 (3)"/>
      <sheetName val="구매차입"/>
      <sheetName val="비교원RD-S"/>
      <sheetName val="품의플로"/>
    </sheetNames>
    <sheetDataSet>
      <sheetData sheetId="0">
        <row r="1">
          <cell r="A1" t="str">
            <v>코드</v>
          </cell>
        </row>
      </sheetData>
      <sheetData sheetId="1"/>
      <sheetData sheetId="2"/>
      <sheetData sheetId="3" refreshError="1"/>
      <sheetData sheetId="4" refreshError="1"/>
      <sheetData sheetId="5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일반관리비명세"/>
      <sheetName val="손익계산서"/>
      <sheetName val="CAUDIT"/>
      <sheetName val="2.대외공문"/>
    </sheet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ouser.com/ProductDetail/Essentra/1342664?qs=sGAEpiMZZMsAepjoiJLcxrBr2lVp79XOMDJP%252BK6iKRzPTiq9wiVAhw%3D%3D" TargetMode="External"/><Relationship Id="rId3" Type="http://schemas.openxmlformats.org/officeDocument/2006/relationships/hyperlink" Target="https://prd.sws.co.jp/components/en/detail.php?number_s=71608234" TargetMode="External"/><Relationship Id="rId7" Type="http://schemas.openxmlformats.org/officeDocument/2006/relationships/hyperlink" Target="https://www.mouser.com/ProductDetail/Panduit/TV105-.38D20Y?qs=KwArPi4cUoiZh3Qh202YFQ%3D%3D" TargetMode="External"/><Relationship Id="rId2" Type="http://schemas.openxmlformats.org/officeDocument/2006/relationships/hyperlink" Target="https://prd.sws.co.jp/components/en/detail.php?number_s=15000105" TargetMode="External"/><Relationship Id="rId1" Type="http://schemas.openxmlformats.org/officeDocument/2006/relationships/hyperlink" Target="https://prd.sws.co.jp/components/en/detail.php?number_s=61873231" TargetMode="External"/><Relationship Id="rId6" Type="http://schemas.openxmlformats.org/officeDocument/2006/relationships/hyperlink" Target="https://www.awcwire.com/product/gxl-12" TargetMode="External"/><Relationship Id="rId5" Type="http://schemas.openxmlformats.org/officeDocument/2006/relationships/hyperlink" Target="https://www.awcwire.com/product/gxl-12" TargetMode="External"/><Relationship Id="rId4" Type="http://schemas.openxmlformats.org/officeDocument/2006/relationships/hyperlink" Target="https://www.awcwire.com/product/gxl-12" TargetMode="External"/><Relationship Id="rId9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mouser.com/ProductDetail/Vishay-Dale/CRCW12069K10JNEA?qs=sGAEpiMZZMvdGkrng054txtDEx%2FRoWGKskbw6g%252Blib4%3D" TargetMode="External"/><Relationship Id="rId18" Type="http://schemas.openxmlformats.org/officeDocument/2006/relationships/hyperlink" Target="https://www.digikey.lv/en/products/detail/nichicon/UPS2A331MHD/2600047" TargetMode="External"/><Relationship Id="rId26" Type="http://schemas.openxmlformats.org/officeDocument/2006/relationships/hyperlink" Target="https://www.mouser.com/ProductDetail/YAGEO/AR0603FR-071ML?qs=sGAEpiMZZMvdGkrng054t3GzUHVMl1SeG3UrYP8aWJHmY%252B9Ea3hbYQ%3D%3D" TargetMode="External"/><Relationship Id="rId3" Type="http://schemas.openxmlformats.org/officeDocument/2006/relationships/hyperlink" Target="https://www.mouser.com/ProductDetail/TE-Connectivity-CGS/RLW73PA3FR010TDF?qs=8Wlm6%252BaMh8R9r5N9GC0%2FKw%3D%3D&amp;srsltid=AfmBOopUfUczM-okoX4Mp45P4v04yg4fRXAPquK4-878ODMXdbe2ny1f" TargetMode="External"/><Relationship Id="rId21" Type="http://schemas.openxmlformats.org/officeDocument/2006/relationships/hyperlink" Target="https://www.mouser.com/ProductDetail/KYOCERA-AVX/08055F102K4T4A?qs=%252BdQmOuGyFcG1iuFvnGB2rg%3D%3D" TargetMode="External"/><Relationship Id="rId34" Type="http://schemas.openxmlformats.org/officeDocument/2006/relationships/hyperlink" Target="https://www.mouser.com/ProductDetail/Vishay/MMSZ5244C-HE3_A-08?qs=sGAEpiMZZMtbRapU8LlZD8qu4xuMq4%252BSw7PUO5LvpGF2X%252B6jRMr%2FDQ%3D%3D" TargetMode="External"/><Relationship Id="rId7" Type="http://schemas.openxmlformats.org/officeDocument/2006/relationships/hyperlink" Target="https://www.mouser.com/ProductDetail/Bourns/CRF2010-J-000ELF?qs=sGAEpiMZZMvdGkrng054tx4c7YuULGmGugn2efdB5y0t2nrqxi1I%252Bg%3D%3D" TargetMode="External"/><Relationship Id="rId12" Type="http://schemas.openxmlformats.org/officeDocument/2006/relationships/hyperlink" Target="https://www.mouser.com/ProductDetail/Vishay-Dale/CRCW120662K0JNEA?qs=sGAEpiMZZMvdGkrng054t27YQJ%252BwbTvXlwYrxsvc9PI%3D" TargetMode="External"/><Relationship Id="rId17" Type="http://schemas.openxmlformats.org/officeDocument/2006/relationships/hyperlink" Target="https://www.mouser.com/ProductDetail/ROHM-Semiconductor/KTR18EZPJ301?qs=sGAEpiMZZMvdGkrng054t4QdAY%2FQ0LweIZGcAYPvcrM%3D" TargetMode="External"/><Relationship Id="rId25" Type="http://schemas.openxmlformats.org/officeDocument/2006/relationships/hyperlink" Target="https://www.mouser.com/ProductDetail/Texas-Instruments/LM5116MHX-NOPB?qs=QbsRYf82W3EaCl%2FW15P7yA%3D%3D" TargetMode="External"/><Relationship Id="rId33" Type="http://schemas.openxmlformats.org/officeDocument/2006/relationships/hyperlink" Target="https://www.mouser.com/ProductDetail/Vishay-Semiconductors/VS-5ECU06-M3-9AT?qs=sGAEpiMZZMtbRapU8LlZD86AqDIWVFU%2Fqmw%252BGvu4AfI%3D" TargetMode="External"/><Relationship Id="rId2" Type="http://schemas.openxmlformats.org/officeDocument/2006/relationships/hyperlink" Target="https://www.avnet.com/shop/us/products/vishay/wsl1206r0100fea-3074457345625291305?CMP=EMA_Octopart_inventoryfeed_VSE" TargetMode="External"/><Relationship Id="rId16" Type="http://schemas.openxmlformats.org/officeDocument/2006/relationships/hyperlink" Target="https://www.mouser.com/ProductDetail/Panasonic/ERJ-8GEYJ124V?qs=sGAEpiMZZMvdGkrng054tx7%2F6%252BNA3LAJwwEXY4KYL6w%3D" TargetMode="External"/><Relationship Id="rId20" Type="http://schemas.openxmlformats.org/officeDocument/2006/relationships/hyperlink" Target="https://www.mouser.com/ProductDetail/KYOCERA-AVX/KAM31GCG2J103JU?qs=Jm2GQyTW%2Fbgo0D%252B5IFLfEQ%3D%3D" TargetMode="External"/><Relationship Id="rId29" Type="http://schemas.openxmlformats.org/officeDocument/2006/relationships/hyperlink" Target="https://www.mouser.com/ProductDetail/Nichicon/UCQ1C471MCL1GS?qs=55YtniHzbhBvwO81ezFqGg%3D%3D" TargetMode="External"/><Relationship Id="rId1" Type="http://schemas.openxmlformats.org/officeDocument/2006/relationships/hyperlink" Target="https://www.digikey.com/en/products/detail/littelfuse-inc/SJ6020N1ATP/11505877?curr=usd&amp;utm_campaign=buynow&amp;utm_medium=aggregator&amp;utm_source=octopart" TargetMode="External"/><Relationship Id="rId6" Type="http://schemas.openxmlformats.org/officeDocument/2006/relationships/hyperlink" Target="https://www.mouser.com/ProductDetail/Bourns/CRF2010-J-000ELF?qs=sGAEpiMZZMvdGkrng054tx4c7YuULGmGugn2efdB5y0t2nrqxi1I%252Bg%3D%3D" TargetMode="External"/><Relationship Id="rId11" Type="http://schemas.openxmlformats.org/officeDocument/2006/relationships/hyperlink" Target="https://www.newark.com/vishay/crcw040282r0fkedhp/surface-mount-chip-resistor-thick/dp/41R4596" TargetMode="External"/><Relationship Id="rId24" Type="http://schemas.openxmlformats.org/officeDocument/2006/relationships/hyperlink" Target="https://www.mouser.com/ProductDetail/KYOCERA-AVX/08052U101FAT2A?qs=ZBeOGGPQgEFQ1bbr%252B%2Fh%2FDQ%3D%3D" TargetMode="External"/><Relationship Id="rId32" Type="http://schemas.openxmlformats.org/officeDocument/2006/relationships/hyperlink" Target="https://canada.newark.com/panasonic/erj-2gej102x/res-thick-film-1k-5-0-1w-0402/dp/65T8247" TargetMode="External"/><Relationship Id="rId5" Type="http://schemas.openxmlformats.org/officeDocument/2006/relationships/hyperlink" Target="https://www.mouser.com/ProductDetail/Panasonic/ERJ-PA2J2R2X?qs=IKkN%2F947nfCnLCMYZgM9JQ%3D%3D" TargetMode="External"/><Relationship Id="rId15" Type="http://schemas.openxmlformats.org/officeDocument/2006/relationships/hyperlink" Target="https://www.mouser.com/ProductDetail/Vishay-Dale/CRCW080551K0JNEA?qs=sGAEpiMZZMvdGkrng054tygjBeyq%2FOAOEUdqBiTRmxk%3D" TargetMode="External"/><Relationship Id="rId23" Type="http://schemas.openxmlformats.org/officeDocument/2006/relationships/hyperlink" Target="https://www.mouser.com/ProductDetail/KYOCERA-AVX/06031C223K4T2A?qs=xhbEVWpZdWeoFw5uxdy8jw%3D%3D" TargetMode="External"/><Relationship Id="rId28" Type="http://schemas.openxmlformats.org/officeDocument/2006/relationships/hyperlink" Target="https://www.mouser.com/ProductDetail/Chemi-Con/EMLA250ARA331MHA0G?qs=wT7LY0lnAe3000icBfgtBg%3D%3D" TargetMode="External"/><Relationship Id="rId10" Type="http://schemas.openxmlformats.org/officeDocument/2006/relationships/hyperlink" Target="https://www.mouser.in/ProductDetail/Susumu/RR0816P-273-D?qs=nCAm%252BcMdy9zBVcQEyxI7VA%3D%3D" TargetMode="External"/><Relationship Id="rId19" Type="http://schemas.openxmlformats.org/officeDocument/2006/relationships/hyperlink" Target="https://www.mouser.com/ProductDetail/KYOCERA-AVX/06031C223K4T2A?qs=xhbEVWpZdWeoFw5uxdy8jw%3D%3D" TargetMode="External"/><Relationship Id="rId31" Type="http://schemas.openxmlformats.org/officeDocument/2006/relationships/hyperlink" Target="https://www.mouser.com/ProductDetail/Panasonic/ERJ-14NF1001U?qs=SsWZTgbPiDCVzC74r8dULw%3D%3D" TargetMode="External"/><Relationship Id="rId4" Type="http://schemas.openxmlformats.org/officeDocument/2006/relationships/hyperlink" Target="https://www.rocelec.com/part/01t4w00000PPBJpAAP-IPD60N10S4L12ATMA1" TargetMode="External"/><Relationship Id="rId9" Type="http://schemas.openxmlformats.org/officeDocument/2006/relationships/hyperlink" Target="https://www.ryndackcomponentes.com.br/resistor-de-precis-o-750k-1-1-8w-smd-0805.html" TargetMode="External"/><Relationship Id="rId14" Type="http://schemas.openxmlformats.org/officeDocument/2006/relationships/hyperlink" Target="https://www.mouser.com/ProductDetail/Panasonic/ERJ-8GEYJ124V?qs=sGAEpiMZZMvdGkrng054tx7%2F6%252BNA3LAJwwEXY4KYL6w%3D" TargetMode="External"/><Relationship Id="rId22" Type="http://schemas.openxmlformats.org/officeDocument/2006/relationships/hyperlink" Target="https://www.mouser.com/ProductDetail/Littelfuse/AQ27COM-01FTG?qs=sGAEpiMZZMvxHShE6Whpu8jG9FO6%252BvaPW4UQ%2FZiLpXs%3D" TargetMode="External"/><Relationship Id="rId27" Type="http://schemas.openxmlformats.org/officeDocument/2006/relationships/hyperlink" Target="https://us.rs-online.com/product/kemet/shbc12-1r0a0080v/71823287/?utm_source=octopart&amp;utm_medium=part_sourcing&amp;utm_campaign=partsourcing_octopart_IMP_EX_GR" TargetMode="External"/><Relationship Id="rId30" Type="http://schemas.openxmlformats.org/officeDocument/2006/relationships/hyperlink" Target="https://www.mouser.com/ProductDetail/KYOCERA-AVX/KAM31GCG2J103JU?qs=Jm2GQyTW%2Fbgo0D%252B5IFLfEQ%3D%3D" TargetMode="External"/><Relationship Id="rId35" Type="http://schemas.openxmlformats.org/officeDocument/2006/relationships/printerSettings" Target="../printerSettings/printerSettings2.bin"/><Relationship Id="rId8" Type="http://schemas.openxmlformats.org/officeDocument/2006/relationships/hyperlink" Target="https://www.mouser.com/ProductDetail/Vishay-Dale/CRCW1218470RFKTK?qs=sGAEpiMZZMvdGkrng054t27BJPkTiAfYHce9UbzKfLo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19507-CAEA-4582-9FCB-17FE5D62DD44}">
  <sheetPr>
    <tabColor theme="7" tint="0.59999389629810485"/>
    <pageSetUpPr fitToPage="1"/>
  </sheetPr>
  <dimension ref="A1:P15"/>
  <sheetViews>
    <sheetView showGridLines="0" view="pageBreakPreview" zoomScale="74" zoomScaleNormal="80" zoomScaleSheetLayoutView="55" workbookViewId="0">
      <pane xSplit="2" ySplit="2" topLeftCell="D3" activePane="bottomRight" state="frozen"/>
      <selection pane="topRight" activeCell="C1" sqref="C1"/>
      <selection pane="bottomLeft" activeCell="A4" sqref="A4"/>
      <selection pane="bottomRight" activeCell="H5" sqref="H5"/>
    </sheetView>
  </sheetViews>
  <sheetFormatPr defaultColWidth="6.81640625" defaultRowHeight="15" x14ac:dyDescent="0.35"/>
  <cols>
    <col min="1" max="1" width="7.54296875" style="2" bestFit="1" customWidth="1"/>
    <col min="2" max="2" width="10.36328125" style="2" bestFit="1" customWidth="1"/>
    <col min="3" max="3" width="24.7265625" style="2" bestFit="1" customWidth="1"/>
    <col min="4" max="4" width="15.08984375" style="2" bestFit="1" customWidth="1"/>
    <col min="5" max="5" width="7" style="2" bestFit="1" customWidth="1"/>
    <col min="6" max="6" width="6" style="2" bestFit="1" customWidth="1"/>
    <col min="7" max="7" width="6.54296875" style="2" bestFit="1" customWidth="1"/>
    <col min="8" max="8" width="11.36328125" style="2" customWidth="1"/>
    <col min="9" max="9" width="14.6328125" style="2" bestFit="1" customWidth="1"/>
    <col min="10" max="10" width="10.6328125" style="2" bestFit="1" customWidth="1"/>
    <col min="11" max="11" width="6.36328125" style="2" bestFit="1" customWidth="1"/>
    <col min="12" max="12" width="14.6328125" style="2" bestFit="1" customWidth="1"/>
    <col min="13" max="13" width="8.7265625" style="2" bestFit="1" customWidth="1"/>
    <col min="14" max="14" width="12" style="2" bestFit="1" customWidth="1"/>
    <col min="15" max="15" width="14.26953125" style="2" bestFit="1" customWidth="1"/>
    <col min="16" max="16" width="24.08984375" style="2" customWidth="1"/>
    <col min="17" max="16384" width="6.81640625" style="2"/>
  </cols>
  <sheetData>
    <row r="1" spans="1:16" s="4" customFormat="1" ht="36.5" customHeight="1" x14ac:dyDescent="0.35">
      <c r="A1" s="62" t="s">
        <v>335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</row>
    <row r="2" spans="1:16" s="49" customFormat="1" ht="74" customHeight="1" x14ac:dyDescent="0.35">
      <c r="A2" s="46" t="s">
        <v>245</v>
      </c>
      <c r="B2" s="46" t="s">
        <v>246</v>
      </c>
      <c r="C2" s="46" t="s">
        <v>23</v>
      </c>
      <c r="D2" s="46" t="s">
        <v>247</v>
      </c>
      <c r="E2" s="46" t="s">
        <v>248</v>
      </c>
      <c r="F2" s="46" t="s">
        <v>249</v>
      </c>
      <c r="G2" s="47" t="s">
        <v>250</v>
      </c>
      <c r="H2" s="46" t="s">
        <v>20</v>
      </c>
      <c r="I2" s="46" t="s">
        <v>334</v>
      </c>
      <c r="J2" s="46" t="s">
        <v>251</v>
      </c>
      <c r="K2" s="46" t="s">
        <v>252</v>
      </c>
      <c r="L2" s="46" t="s">
        <v>253</v>
      </c>
      <c r="M2" s="46" t="s">
        <v>254</v>
      </c>
      <c r="N2" s="46" t="s">
        <v>255</v>
      </c>
      <c r="O2" s="46" t="s">
        <v>256</v>
      </c>
      <c r="P2" s="48" t="s">
        <v>257</v>
      </c>
    </row>
    <row r="3" spans="1:16" s="53" customFormat="1" ht="59" customHeight="1" x14ac:dyDescent="0.35">
      <c r="A3" s="29">
        <v>1</v>
      </c>
      <c r="B3" s="29" t="s">
        <v>320</v>
      </c>
      <c r="C3" s="50" t="s">
        <v>258</v>
      </c>
      <c r="D3" s="29"/>
      <c r="E3" s="29" t="s">
        <v>259</v>
      </c>
      <c r="F3" s="29">
        <v>1</v>
      </c>
      <c r="G3" s="29">
        <f>6000*F3</f>
        <v>6000</v>
      </c>
      <c r="H3" s="65">
        <v>0.5</v>
      </c>
      <c r="I3" s="51">
        <f>0.210526315789474*(1-H3)</f>
        <v>0.105263157894737</v>
      </c>
      <c r="J3" s="51" t="s">
        <v>260</v>
      </c>
      <c r="K3" s="51">
        <f>I3*86</f>
        <v>9.0526315789473824</v>
      </c>
      <c r="L3" s="51">
        <f t="shared" ref="L3:L10" si="0">F3*K3</f>
        <v>9.0526315789473824</v>
      </c>
      <c r="M3" s="51">
        <f t="shared" ref="M3:M10" si="1">L3*$M$1</f>
        <v>0</v>
      </c>
      <c r="N3" s="51">
        <f t="shared" ref="N3:N10" si="2">L3*$N$1</f>
        <v>0</v>
      </c>
      <c r="O3" s="67">
        <f>L3+M3+N3</f>
        <v>9.0526315789473824</v>
      </c>
      <c r="P3" s="52" t="s">
        <v>261</v>
      </c>
    </row>
    <row r="4" spans="1:16" s="53" customFormat="1" ht="59" customHeight="1" x14ac:dyDescent="0.35">
      <c r="A4" s="29">
        <v>2</v>
      </c>
      <c r="B4" s="29" t="s">
        <v>321</v>
      </c>
      <c r="C4" s="50" t="s">
        <v>262</v>
      </c>
      <c r="D4" s="29"/>
      <c r="E4" s="29" t="s">
        <v>263</v>
      </c>
      <c r="F4" s="29">
        <v>3</v>
      </c>
      <c r="G4" s="29">
        <f t="shared" ref="G4:G10" si="3">6000*F4</f>
        <v>18000</v>
      </c>
      <c r="H4" s="65">
        <v>0.5</v>
      </c>
      <c r="I4" s="51">
        <f>0.0242*(1-H4)</f>
        <v>1.21E-2</v>
      </c>
      <c r="J4" s="51" t="s">
        <v>260</v>
      </c>
      <c r="K4" s="51">
        <f>I4*86</f>
        <v>1.0406</v>
      </c>
      <c r="L4" s="51">
        <f t="shared" si="0"/>
        <v>3.1217999999999999</v>
      </c>
      <c r="M4" s="51">
        <f t="shared" si="1"/>
        <v>0</v>
      </c>
      <c r="N4" s="51">
        <f t="shared" si="2"/>
        <v>0</v>
      </c>
      <c r="O4" s="67">
        <f t="shared" ref="O4:O10" si="4">L4+M4+N4</f>
        <v>3.1217999999999999</v>
      </c>
      <c r="P4" s="52" t="s">
        <v>264</v>
      </c>
    </row>
    <row r="5" spans="1:16" s="53" customFormat="1" ht="59" customHeight="1" x14ac:dyDescent="0.35">
      <c r="A5" s="29">
        <v>3</v>
      </c>
      <c r="B5" s="29" t="s">
        <v>322</v>
      </c>
      <c r="C5" s="50" t="s">
        <v>265</v>
      </c>
      <c r="D5" s="29"/>
      <c r="E5" s="29" t="s">
        <v>266</v>
      </c>
      <c r="F5" s="29">
        <v>3</v>
      </c>
      <c r="G5" s="29">
        <f t="shared" si="3"/>
        <v>18000</v>
      </c>
      <c r="H5" s="65">
        <v>0.5</v>
      </c>
      <c r="I5" s="51">
        <f>0.0206*(1-H5)</f>
        <v>1.03E-2</v>
      </c>
      <c r="J5" s="51" t="s">
        <v>260</v>
      </c>
      <c r="K5" s="51">
        <f t="shared" ref="K5:K10" si="5">I5*86</f>
        <v>0.88580000000000003</v>
      </c>
      <c r="L5" s="51">
        <f t="shared" si="0"/>
        <v>2.6574</v>
      </c>
      <c r="M5" s="51">
        <f t="shared" si="1"/>
        <v>0</v>
      </c>
      <c r="N5" s="51">
        <f t="shared" si="2"/>
        <v>0</v>
      </c>
      <c r="O5" s="67">
        <f t="shared" si="4"/>
        <v>2.6574</v>
      </c>
      <c r="P5" s="52" t="s">
        <v>267</v>
      </c>
    </row>
    <row r="6" spans="1:16" s="53" customFormat="1" ht="59" customHeight="1" x14ac:dyDescent="0.25">
      <c r="A6" s="29">
        <v>4</v>
      </c>
      <c r="B6" s="29" t="s">
        <v>323</v>
      </c>
      <c r="C6" s="50" t="s">
        <v>268</v>
      </c>
      <c r="D6" s="29"/>
      <c r="E6" s="29" t="s">
        <v>269</v>
      </c>
      <c r="F6" s="29">
        <v>1</v>
      </c>
      <c r="G6" s="29">
        <f t="shared" si="3"/>
        <v>6000</v>
      </c>
      <c r="H6" s="65">
        <v>0.7</v>
      </c>
      <c r="I6" s="51">
        <f>0.36074*(1-H6)</f>
        <v>0.10822200000000001</v>
      </c>
      <c r="J6" s="51" t="s">
        <v>260</v>
      </c>
      <c r="K6" s="51">
        <f t="shared" si="5"/>
        <v>9.3070920000000008</v>
      </c>
      <c r="L6" s="51">
        <f t="shared" si="0"/>
        <v>9.3070920000000008</v>
      </c>
      <c r="M6" s="51">
        <f t="shared" si="1"/>
        <v>0</v>
      </c>
      <c r="N6" s="51">
        <f t="shared" si="2"/>
        <v>0</v>
      </c>
      <c r="O6" s="67">
        <f t="shared" si="4"/>
        <v>9.3070920000000008</v>
      </c>
      <c r="P6" s="54" t="s">
        <v>270</v>
      </c>
    </row>
    <row r="7" spans="1:16" s="53" customFormat="1" ht="59" customHeight="1" x14ac:dyDescent="0.25">
      <c r="A7" s="29">
        <v>5</v>
      </c>
      <c r="B7" s="29" t="s">
        <v>324</v>
      </c>
      <c r="C7" s="50" t="s">
        <v>271</v>
      </c>
      <c r="D7" s="29"/>
      <c r="E7" s="29" t="s">
        <v>272</v>
      </c>
      <c r="F7" s="29">
        <v>1</v>
      </c>
      <c r="G7" s="29">
        <f t="shared" si="3"/>
        <v>6000</v>
      </c>
      <c r="H7" s="65">
        <v>0.7</v>
      </c>
      <c r="I7" s="51">
        <f>0.379*(1-H7)</f>
        <v>0.11370000000000002</v>
      </c>
      <c r="J7" s="51" t="s">
        <v>260</v>
      </c>
      <c r="K7" s="51">
        <f t="shared" si="5"/>
        <v>9.7782000000000018</v>
      </c>
      <c r="L7" s="51">
        <f t="shared" si="0"/>
        <v>9.7782000000000018</v>
      </c>
      <c r="M7" s="51">
        <f t="shared" si="1"/>
        <v>0</v>
      </c>
      <c r="N7" s="51">
        <f t="shared" si="2"/>
        <v>0</v>
      </c>
      <c r="O7" s="67">
        <f t="shared" si="4"/>
        <v>9.7782000000000018</v>
      </c>
      <c r="P7" s="54" t="s">
        <v>273</v>
      </c>
    </row>
    <row r="8" spans="1:16" s="53" customFormat="1" ht="59" customHeight="1" x14ac:dyDescent="0.25">
      <c r="A8" s="29">
        <v>6</v>
      </c>
      <c r="B8" s="29" t="s">
        <v>325</v>
      </c>
      <c r="C8" s="50" t="s">
        <v>274</v>
      </c>
      <c r="D8" s="29"/>
      <c r="E8" s="29" t="s">
        <v>275</v>
      </c>
      <c r="F8" s="55">
        <v>0.66</v>
      </c>
      <c r="G8" s="29">
        <f t="shared" si="3"/>
        <v>3960</v>
      </c>
      <c r="H8" s="65">
        <v>0.5</v>
      </c>
      <c r="I8" s="51">
        <f>0.23499*(1-H8)</f>
        <v>0.117495</v>
      </c>
      <c r="J8" s="29" t="s">
        <v>260</v>
      </c>
      <c r="K8" s="51">
        <f t="shared" si="5"/>
        <v>10.104570000000001</v>
      </c>
      <c r="L8" s="51">
        <f t="shared" si="0"/>
        <v>6.6690162000000006</v>
      </c>
      <c r="M8" s="51">
        <f t="shared" si="1"/>
        <v>0</v>
      </c>
      <c r="N8" s="51">
        <f t="shared" si="2"/>
        <v>0</v>
      </c>
      <c r="O8" s="67">
        <f t="shared" si="4"/>
        <v>6.6690162000000006</v>
      </c>
      <c r="P8" s="54" t="s">
        <v>276</v>
      </c>
    </row>
    <row r="9" spans="1:16" s="53" customFormat="1" ht="59" customHeight="1" x14ac:dyDescent="0.25">
      <c r="A9" s="29">
        <v>7</v>
      </c>
      <c r="B9" s="29" t="s">
        <v>326</v>
      </c>
      <c r="C9" s="50" t="s">
        <v>277</v>
      </c>
      <c r="D9" s="29"/>
      <c r="E9" s="29" t="s">
        <v>275</v>
      </c>
      <c r="F9" s="55">
        <v>0.66</v>
      </c>
      <c r="G9" s="29">
        <f t="shared" si="3"/>
        <v>3960</v>
      </c>
      <c r="H9" s="65">
        <v>0.5</v>
      </c>
      <c r="I9" s="51">
        <f>0.23499*(1-H9)</f>
        <v>0.117495</v>
      </c>
      <c r="J9" s="29" t="s">
        <v>260</v>
      </c>
      <c r="K9" s="51">
        <f t="shared" si="5"/>
        <v>10.104570000000001</v>
      </c>
      <c r="L9" s="51">
        <f t="shared" si="0"/>
        <v>6.6690162000000006</v>
      </c>
      <c r="M9" s="51">
        <f t="shared" si="1"/>
        <v>0</v>
      </c>
      <c r="N9" s="51">
        <f t="shared" si="2"/>
        <v>0</v>
      </c>
      <c r="O9" s="67">
        <f t="shared" si="4"/>
        <v>6.6690162000000006</v>
      </c>
      <c r="P9" s="54" t="s">
        <v>276</v>
      </c>
    </row>
    <row r="10" spans="1:16" s="53" customFormat="1" ht="59" customHeight="1" x14ac:dyDescent="0.25">
      <c r="A10" s="29">
        <v>8</v>
      </c>
      <c r="B10" s="29" t="s">
        <v>327</v>
      </c>
      <c r="C10" s="50" t="s">
        <v>278</v>
      </c>
      <c r="D10" s="29"/>
      <c r="E10" s="29" t="s">
        <v>275</v>
      </c>
      <c r="F10" s="55">
        <v>0.66</v>
      </c>
      <c r="G10" s="29">
        <f t="shared" si="3"/>
        <v>3960</v>
      </c>
      <c r="H10" s="65">
        <v>0.5</v>
      </c>
      <c r="I10" s="51">
        <f>0.23499*(1-H10)</f>
        <v>0.117495</v>
      </c>
      <c r="J10" s="29" t="s">
        <v>260</v>
      </c>
      <c r="K10" s="51">
        <f t="shared" si="5"/>
        <v>10.104570000000001</v>
      </c>
      <c r="L10" s="51">
        <f t="shared" si="0"/>
        <v>6.6690162000000006</v>
      </c>
      <c r="M10" s="51">
        <f t="shared" si="1"/>
        <v>0</v>
      </c>
      <c r="N10" s="51">
        <f t="shared" si="2"/>
        <v>0</v>
      </c>
      <c r="O10" s="67">
        <f t="shared" si="4"/>
        <v>6.6690162000000006</v>
      </c>
      <c r="P10" s="54" t="s">
        <v>276</v>
      </c>
    </row>
    <row r="11" spans="1:16" s="53" customFormat="1" ht="13" thickBot="1" x14ac:dyDescent="0.4"/>
    <row r="12" spans="1:16" s="53" customFormat="1" ht="13.5" thickBot="1" x14ac:dyDescent="0.4">
      <c r="N12" s="56"/>
      <c r="O12" s="66">
        <f>SUM(O3:O10)</f>
        <v>53.924172178947387</v>
      </c>
    </row>
    <row r="13" spans="1:16" s="53" customFormat="1" ht="13" x14ac:dyDescent="0.25">
      <c r="N13" s="56"/>
      <c r="O13" s="57"/>
    </row>
    <row r="14" spans="1:16" s="53" customFormat="1" ht="12.5" x14ac:dyDescent="0.35">
      <c r="N14" s="53" t="s">
        <v>279</v>
      </c>
      <c r="O14" s="58">
        <f>SUM(O8:O10)</f>
        <v>20.007048600000001</v>
      </c>
    </row>
    <row r="15" spans="1:16" s="53" customFormat="1" ht="12.5" x14ac:dyDescent="0.35">
      <c r="N15" s="53" t="s">
        <v>280</v>
      </c>
      <c r="O15" s="58">
        <f>O12-O14</f>
        <v>33.917123578947383</v>
      </c>
    </row>
  </sheetData>
  <mergeCells count="1">
    <mergeCell ref="A1:P1"/>
  </mergeCells>
  <dataValidations disablePrompts="1" count="1">
    <dataValidation type="list" allowBlank="1" showInputMessage="1" showErrorMessage="1" sqref="E3:E10" xr:uid="{9DD957BB-B78A-48EB-937C-EE3BB13A9A70}">
      <formula1>#REF!</formula1>
    </dataValidation>
  </dataValidations>
  <hyperlinks>
    <hyperlink ref="P3" r:id="rId1" xr:uid="{37BF12B6-7B88-4F99-9408-C3EF3BC9113D}"/>
    <hyperlink ref="P4" r:id="rId2" xr:uid="{CFAAC6C2-09AC-4014-BC40-77E66208DEDC}"/>
    <hyperlink ref="P5" r:id="rId3" display="https://prd.sws.co.jp/components/en/detail.php?number_s=71608234" xr:uid="{F1E239C5-666B-40EC-A319-7A5205C70723}"/>
    <hyperlink ref="P8" r:id="rId4" xr:uid="{B8C38C9F-986C-4178-B5B6-BDA033051490}"/>
    <hyperlink ref="P9" r:id="rId5" xr:uid="{07BB6114-50E2-41E5-8430-0069C002881D}"/>
    <hyperlink ref="P10" r:id="rId6" xr:uid="{52DC220A-4E97-4CAC-B521-8A4F4EEDC972}"/>
    <hyperlink ref="P6" r:id="rId7" xr:uid="{A6E6AEA7-77EA-4A98-B294-F59E99BF409A}"/>
    <hyperlink ref="P7" r:id="rId8" xr:uid="{526B8E83-EB1E-49A4-9D48-432E3D24893C}"/>
  </hyperlinks>
  <pageMargins left="0.7" right="0.7" top="0.75" bottom="0.75" header="0.3" footer="0.3"/>
  <pageSetup scale="63" fitToHeight="0" orientation="landscape" r:id="rId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7BD85-2819-45EA-9A1D-3FA1272D276A}">
  <sheetPr>
    <pageSetUpPr fitToPage="1"/>
  </sheetPr>
  <dimension ref="A1:X51"/>
  <sheetViews>
    <sheetView showGridLines="0" tabSelected="1" view="pageLayout" topLeftCell="A25" zoomScale="10" zoomScaleNormal="10" zoomScaleSheetLayoutView="10" zoomScalePageLayoutView="10" workbookViewId="0">
      <selection sqref="A1:X51"/>
    </sheetView>
  </sheetViews>
  <sheetFormatPr defaultColWidth="9.26953125" defaultRowHeight="15" x14ac:dyDescent="0.3"/>
  <cols>
    <col min="1" max="1" width="4.453125" style="1" bestFit="1" customWidth="1"/>
    <col min="2" max="2" width="14.54296875" style="1" bestFit="1" customWidth="1"/>
    <col min="3" max="3" width="4.26953125" style="1" bestFit="1" customWidth="1"/>
    <col min="4" max="4" width="34.453125" style="1" customWidth="1"/>
    <col min="5" max="5" width="15.54296875" style="1" customWidth="1"/>
    <col min="6" max="6" width="30.54296875" style="1" customWidth="1"/>
    <col min="7" max="7" width="20.90625" style="1" bestFit="1" customWidth="1"/>
    <col min="8" max="8" width="18" style="1" bestFit="1" customWidth="1"/>
    <col min="9" max="9" width="12.6328125" style="1" bestFit="1" customWidth="1"/>
    <col min="10" max="17" width="17.26953125" style="1" customWidth="1"/>
    <col min="18" max="18" width="17.26953125" style="3" customWidth="1"/>
    <col min="19" max="24" width="17.26953125" style="1" customWidth="1"/>
    <col min="25" max="16384" width="9.26953125" style="1"/>
  </cols>
  <sheetData>
    <row r="1" spans="1:24" ht="61.5" customHeight="1" x14ac:dyDescent="0.3">
      <c r="A1" s="64" t="s">
        <v>336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</row>
    <row r="2" spans="1:24" s="12" customFormat="1" ht="39" x14ac:dyDescent="0.3">
      <c r="A2" s="5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7" t="s">
        <v>6</v>
      </c>
      <c r="H2" s="7" t="s">
        <v>7</v>
      </c>
      <c r="I2" s="8" t="s">
        <v>8</v>
      </c>
      <c r="J2" s="8" t="s">
        <v>9</v>
      </c>
      <c r="K2" s="9" t="s">
        <v>10</v>
      </c>
      <c r="L2" s="9" t="s">
        <v>11</v>
      </c>
      <c r="M2" s="9" t="s">
        <v>12</v>
      </c>
      <c r="N2" s="9" t="s">
        <v>13</v>
      </c>
      <c r="O2" s="9" t="s">
        <v>14</v>
      </c>
      <c r="P2" s="9" t="s">
        <v>15</v>
      </c>
      <c r="Q2" s="9" t="s">
        <v>16</v>
      </c>
      <c r="R2" s="10" t="s">
        <v>17</v>
      </c>
      <c r="S2" s="9" t="s">
        <v>18</v>
      </c>
      <c r="T2" s="11" t="s">
        <v>19</v>
      </c>
      <c r="U2" s="11" t="s">
        <v>20</v>
      </c>
      <c r="V2" s="11" t="s">
        <v>21</v>
      </c>
      <c r="W2" s="11" t="s">
        <v>22</v>
      </c>
      <c r="X2" s="11" t="s">
        <v>24</v>
      </c>
    </row>
    <row r="3" spans="1:24" s="18" customFormat="1" ht="100" x14ac:dyDescent="0.35">
      <c r="A3" s="19">
        <v>1</v>
      </c>
      <c r="B3" s="13" t="s">
        <v>283</v>
      </c>
      <c r="C3" s="13">
        <v>1</v>
      </c>
      <c r="D3" s="13" t="s">
        <v>25</v>
      </c>
      <c r="E3" s="13" t="s">
        <v>26</v>
      </c>
      <c r="F3" s="13" t="s">
        <v>27</v>
      </c>
      <c r="G3" s="13" t="s">
        <v>28</v>
      </c>
      <c r="H3" s="13" t="s">
        <v>29</v>
      </c>
      <c r="I3" s="13" t="s">
        <v>30</v>
      </c>
      <c r="J3" s="13" t="s">
        <v>31</v>
      </c>
      <c r="K3" s="14" t="s">
        <v>32</v>
      </c>
      <c r="L3" s="14" t="s">
        <v>33</v>
      </c>
      <c r="M3" s="14" t="s">
        <v>34</v>
      </c>
      <c r="N3" s="14" t="s">
        <v>35</v>
      </c>
      <c r="O3" s="14" t="s">
        <v>36</v>
      </c>
      <c r="P3" s="14">
        <v>6000</v>
      </c>
      <c r="Q3" s="14">
        <f t="shared" ref="Q3:Q25" si="0">P3*C3</f>
        <v>6000</v>
      </c>
      <c r="R3" s="15" t="s">
        <v>28</v>
      </c>
      <c r="S3" s="14" t="s">
        <v>37</v>
      </c>
      <c r="T3" s="16">
        <v>1.8952500000000001</v>
      </c>
      <c r="U3" s="17">
        <v>0.75</v>
      </c>
      <c r="V3" s="16">
        <f>T3*(1-U3)</f>
        <v>0.47381250000000003</v>
      </c>
      <c r="W3" s="16">
        <f t="shared" ref="W3:W39" si="1">V3*C3</f>
        <v>0.47381250000000003</v>
      </c>
      <c r="X3" s="59" t="s">
        <v>38</v>
      </c>
    </row>
    <row r="4" spans="1:24" s="21" customFormat="1" ht="75" x14ac:dyDescent="0.35">
      <c r="A4" s="19">
        <v>2</v>
      </c>
      <c r="B4" s="13" t="s">
        <v>284</v>
      </c>
      <c r="C4" s="13">
        <v>5</v>
      </c>
      <c r="D4" s="13" t="s">
        <v>39</v>
      </c>
      <c r="E4" s="13" t="s">
        <v>40</v>
      </c>
      <c r="F4" s="13" t="s">
        <v>41</v>
      </c>
      <c r="G4" s="13" t="s">
        <v>42</v>
      </c>
      <c r="H4" s="13" t="s">
        <v>43</v>
      </c>
      <c r="I4" s="13" t="s">
        <v>44</v>
      </c>
      <c r="J4" s="13" t="s">
        <v>46</v>
      </c>
      <c r="K4" s="14" t="s">
        <v>32</v>
      </c>
      <c r="L4" s="14" t="s">
        <v>33</v>
      </c>
      <c r="M4" s="14" t="s">
        <v>47</v>
      </c>
      <c r="N4" s="14">
        <v>2</v>
      </c>
      <c r="O4" s="14" t="s">
        <v>36</v>
      </c>
      <c r="P4" s="14">
        <v>6000</v>
      </c>
      <c r="Q4" s="14">
        <f t="shared" si="0"/>
        <v>30000</v>
      </c>
      <c r="R4" s="15" t="s">
        <v>42</v>
      </c>
      <c r="S4" s="14" t="s">
        <v>48</v>
      </c>
      <c r="T4" s="20">
        <v>6.8000000000000005E-2</v>
      </c>
      <c r="U4" s="17">
        <v>0.75</v>
      </c>
      <c r="V4" s="16">
        <f t="shared" ref="V4:V38" si="2">T4*(1-U4)</f>
        <v>1.7000000000000001E-2</v>
      </c>
      <c r="W4" s="16">
        <f t="shared" si="1"/>
        <v>8.5000000000000006E-2</v>
      </c>
      <c r="X4" s="59" t="s">
        <v>49</v>
      </c>
    </row>
    <row r="5" spans="1:24" s="21" customFormat="1" ht="75" x14ac:dyDescent="0.35">
      <c r="A5" s="19">
        <v>3</v>
      </c>
      <c r="B5" s="13" t="s">
        <v>285</v>
      </c>
      <c r="C5" s="13">
        <v>1</v>
      </c>
      <c r="D5" s="13" t="s">
        <v>50</v>
      </c>
      <c r="E5" s="13">
        <v>1206</v>
      </c>
      <c r="F5" s="13" t="s">
        <v>51</v>
      </c>
      <c r="G5" s="13" t="s">
        <v>52</v>
      </c>
      <c r="H5" s="13" t="s">
        <v>53</v>
      </c>
      <c r="I5" s="13" t="s">
        <v>44</v>
      </c>
      <c r="J5" s="13" t="s">
        <v>46</v>
      </c>
      <c r="K5" s="14" t="s">
        <v>32</v>
      </c>
      <c r="L5" s="14" t="s">
        <v>33</v>
      </c>
      <c r="M5" s="14" t="s">
        <v>47</v>
      </c>
      <c r="N5" s="14">
        <v>2</v>
      </c>
      <c r="O5" s="14" t="s">
        <v>36</v>
      </c>
      <c r="P5" s="14">
        <v>6000</v>
      </c>
      <c r="Q5" s="14">
        <f t="shared" si="0"/>
        <v>6000</v>
      </c>
      <c r="R5" s="15" t="s">
        <v>52</v>
      </c>
      <c r="S5" s="14" t="s">
        <v>54</v>
      </c>
      <c r="T5" s="16">
        <v>0.14135</v>
      </c>
      <c r="U5" s="17">
        <v>0.75</v>
      </c>
      <c r="V5" s="16">
        <f t="shared" si="2"/>
        <v>3.5337500000000001E-2</v>
      </c>
      <c r="W5" s="16">
        <f t="shared" si="1"/>
        <v>3.5337500000000001E-2</v>
      </c>
      <c r="X5" s="59" t="s">
        <v>55</v>
      </c>
    </row>
    <row r="6" spans="1:24" s="21" customFormat="1" ht="137.5" x14ac:dyDescent="0.35">
      <c r="A6" s="19">
        <v>4</v>
      </c>
      <c r="B6" s="13" t="s">
        <v>286</v>
      </c>
      <c r="C6" s="13">
        <v>1</v>
      </c>
      <c r="D6" s="13" t="s">
        <v>56</v>
      </c>
      <c r="E6" s="13">
        <v>1225</v>
      </c>
      <c r="F6" s="13" t="s">
        <v>57</v>
      </c>
      <c r="G6" s="13" t="s">
        <v>58</v>
      </c>
      <c r="H6" s="13" t="s">
        <v>59</v>
      </c>
      <c r="I6" s="13" t="s">
        <v>44</v>
      </c>
      <c r="J6" s="13" t="s">
        <v>60</v>
      </c>
      <c r="K6" s="14" t="s">
        <v>32</v>
      </c>
      <c r="L6" s="14" t="s">
        <v>33</v>
      </c>
      <c r="M6" s="14" t="s">
        <v>47</v>
      </c>
      <c r="N6" s="14">
        <v>2</v>
      </c>
      <c r="O6" s="14" t="s">
        <v>36</v>
      </c>
      <c r="P6" s="14">
        <v>6000</v>
      </c>
      <c r="Q6" s="14">
        <f t="shared" si="0"/>
        <v>6000</v>
      </c>
      <c r="R6" s="15" t="s">
        <v>58</v>
      </c>
      <c r="S6" s="14" t="s">
        <v>61</v>
      </c>
      <c r="T6" s="16">
        <v>0.30399999999999999</v>
      </c>
      <c r="U6" s="17">
        <v>0.75</v>
      </c>
      <c r="V6" s="16">
        <f t="shared" si="2"/>
        <v>7.5999999999999998E-2</v>
      </c>
      <c r="W6" s="16">
        <f t="shared" si="1"/>
        <v>7.5999999999999998E-2</v>
      </c>
      <c r="X6" s="59" t="s">
        <v>62</v>
      </c>
    </row>
    <row r="7" spans="1:24" s="21" customFormat="1" ht="87.5" x14ac:dyDescent="0.35">
      <c r="A7" s="19">
        <v>5</v>
      </c>
      <c r="B7" s="13" t="s">
        <v>287</v>
      </c>
      <c r="C7" s="13">
        <v>5</v>
      </c>
      <c r="D7" s="13" t="s">
        <v>63</v>
      </c>
      <c r="E7" s="13" t="s">
        <v>64</v>
      </c>
      <c r="F7" s="13" t="s">
        <v>41</v>
      </c>
      <c r="G7" s="13" t="s">
        <v>42</v>
      </c>
      <c r="H7" s="13" t="s">
        <v>65</v>
      </c>
      <c r="I7" s="13" t="s">
        <v>44</v>
      </c>
      <c r="J7" s="13" t="s">
        <v>66</v>
      </c>
      <c r="K7" s="14" t="s">
        <v>32</v>
      </c>
      <c r="L7" s="14" t="s">
        <v>33</v>
      </c>
      <c r="M7" s="14" t="s">
        <v>47</v>
      </c>
      <c r="N7" s="14">
        <v>2</v>
      </c>
      <c r="O7" s="14" t="s">
        <v>36</v>
      </c>
      <c r="P7" s="14">
        <v>6000</v>
      </c>
      <c r="Q7" s="14">
        <f t="shared" si="0"/>
        <v>30000</v>
      </c>
      <c r="R7" s="15" t="s">
        <v>42</v>
      </c>
      <c r="S7" s="14" t="s">
        <v>67</v>
      </c>
      <c r="T7" s="16">
        <v>0.191</v>
      </c>
      <c r="U7" s="17">
        <v>0.75</v>
      </c>
      <c r="V7" s="16">
        <f t="shared" si="2"/>
        <v>4.7750000000000001E-2</v>
      </c>
      <c r="W7" s="16">
        <f t="shared" si="1"/>
        <v>0.23875000000000002</v>
      </c>
      <c r="X7" s="59" t="s">
        <v>68</v>
      </c>
    </row>
    <row r="8" spans="1:24" s="21" customFormat="1" ht="50" x14ac:dyDescent="0.35">
      <c r="A8" s="19">
        <v>6</v>
      </c>
      <c r="B8" s="13" t="s">
        <v>288</v>
      </c>
      <c r="C8" s="13">
        <v>2</v>
      </c>
      <c r="D8" s="13" t="s">
        <v>69</v>
      </c>
      <c r="E8" s="13" t="s">
        <v>70</v>
      </c>
      <c r="F8" s="13" t="s">
        <v>71</v>
      </c>
      <c r="G8" s="13" t="s">
        <v>72</v>
      </c>
      <c r="H8" s="13" t="s">
        <v>73</v>
      </c>
      <c r="I8" s="13" t="s">
        <v>44</v>
      </c>
      <c r="J8" s="13" t="s">
        <v>66</v>
      </c>
      <c r="K8" s="14" t="s">
        <v>32</v>
      </c>
      <c r="L8" s="14" t="s">
        <v>33</v>
      </c>
      <c r="M8" s="14" t="s">
        <v>34</v>
      </c>
      <c r="N8" s="14">
        <v>2</v>
      </c>
      <c r="O8" s="14" t="s">
        <v>36</v>
      </c>
      <c r="P8" s="14">
        <v>6000</v>
      </c>
      <c r="Q8" s="14">
        <f t="shared" si="0"/>
        <v>12000</v>
      </c>
      <c r="R8" s="15" t="s">
        <v>72</v>
      </c>
      <c r="S8" s="14" t="s">
        <v>74</v>
      </c>
      <c r="T8" s="16">
        <v>0.51200000000000001</v>
      </c>
      <c r="U8" s="17">
        <v>0.75</v>
      </c>
      <c r="V8" s="16">
        <f t="shared" si="2"/>
        <v>0.128</v>
      </c>
      <c r="W8" s="16">
        <f t="shared" si="1"/>
        <v>0.25600000000000001</v>
      </c>
      <c r="X8" s="59" t="s">
        <v>75</v>
      </c>
    </row>
    <row r="9" spans="1:24" s="21" customFormat="1" ht="75" x14ac:dyDescent="0.35">
      <c r="A9" s="19">
        <v>7</v>
      </c>
      <c r="B9" s="13" t="s">
        <v>289</v>
      </c>
      <c r="C9" s="13">
        <v>1</v>
      </c>
      <c r="D9" s="13" t="s">
        <v>76</v>
      </c>
      <c r="E9" s="13">
        <v>603</v>
      </c>
      <c r="F9" s="13" t="s">
        <v>57</v>
      </c>
      <c r="G9" s="13" t="s">
        <v>52</v>
      </c>
      <c r="H9" s="13" t="s">
        <v>77</v>
      </c>
      <c r="I9" s="13" t="s">
        <v>44</v>
      </c>
      <c r="J9" s="13" t="s">
        <v>78</v>
      </c>
      <c r="K9" s="14" t="s">
        <v>32</v>
      </c>
      <c r="L9" s="14" t="s">
        <v>33</v>
      </c>
      <c r="M9" s="14" t="s">
        <v>47</v>
      </c>
      <c r="N9" s="14">
        <v>2</v>
      </c>
      <c r="O9" s="14" t="s">
        <v>36</v>
      </c>
      <c r="P9" s="14">
        <v>6000</v>
      </c>
      <c r="Q9" s="14">
        <f t="shared" si="0"/>
        <v>6000</v>
      </c>
      <c r="R9" s="15" t="s">
        <v>52</v>
      </c>
      <c r="S9" s="14"/>
      <c r="T9" s="16">
        <v>0.14602000000000001</v>
      </c>
      <c r="U9" s="17">
        <v>0.75</v>
      </c>
      <c r="V9" s="16">
        <f t="shared" si="2"/>
        <v>3.6505000000000003E-2</v>
      </c>
      <c r="W9" s="16">
        <f t="shared" si="1"/>
        <v>3.6505000000000003E-2</v>
      </c>
      <c r="X9" s="59" t="s">
        <v>79</v>
      </c>
    </row>
    <row r="10" spans="1:24" s="21" customFormat="1" ht="75" x14ac:dyDescent="0.35">
      <c r="A10" s="19">
        <v>8</v>
      </c>
      <c r="B10" s="13" t="s">
        <v>290</v>
      </c>
      <c r="C10" s="13">
        <v>2</v>
      </c>
      <c r="D10" s="13" t="s">
        <v>80</v>
      </c>
      <c r="E10" s="13">
        <v>603</v>
      </c>
      <c r="F10" s="13" t="s">
        <v>41</v>
      </c>
      <c r="G10" s="13" t="s">
        <v>81</v>
      </c>
      <c r="H10" s="13" t="s">
        <v>82</v>
      </c>
      <c r="I10" s="13" t="s">
        <v>44</v>
      </c>
      <c r="J10" s="13" t="s">
        <v>83</v>
      </c>
      <c r="K10" s="14" t="s">
        <v>32</v>
      </c>
      <c r="L10" s="14" t="s">
        <v>33</v>
      </c>
      <c r="M10" s="14" t="s">
        <v>47</v>
      </c>
      <c r="N10" s="14">
        <v>2</v>
      </c>
      <c r="O10" s="14" t="s">
        <v>36</v>
      </c>
      <c r="P10" s="14">
        <v>6000</v>
      </c>
      <c r="Q10" s="14">
        <f t="shared" si="0"/>
        <v>12000</v>
      </c>
      <c r="R10" s="15" t="s">
        <v>81</v>
      </c>
      <c r="S10" s="14" t="s">
        <v>84</v>
      </c>
      <c r="T10" s="16">
        <v>1.7999999999999999E-2</v>
      </c>
      <c r="U10" s="17">
        <v>0.75</v>
      </c>
      <c r="V10" s="16">
        <f t="shared" si="2"/>
        <v>4.4999999999999997E-3</v>
      </c>
      <c r="W10" s="16">
        <f t="shared" si="1"/>
        <v>8.9999999999999993E-3</v>
      </c>
      <c r="X10" s="59" t="s">
        <v>85</v>
      </c>
    </row>
    <row r="11" spans="1:24" s="21" customFormat="1" ht="75" x14ac:dyDescent="0.35">
      <c r="A11" s="19">
        <v>9</v>
      </c>
      <c r="B11" s="13" t="s">
        <v>291</v>
      </c>
      <c r="C11" s="13">
        <v>5</v>
      </c>
      <c r="D11" s="13" t="s">
        <v>86</v>
      </c>
      <c r="E11" s="13" t="s">
        <v>87</v>
      </c>
      <c r="F11" s="13" t="s">
        <v>57</v>
      </c>
      <c r="G11" s="13" t="s">
        <v>42</v>
      </c>
      <c r="H11" s="13" t="s">
        <v>88</v>
      </c>
      <c r="I11" s="13" t="s">
        <v>44</v>
      </c>
      <c r="J11" s="13" t="s">
        <v>89</v>
      </c>
      <c r="K11" s="14" t="s">
        <v>32</v>
      </c>
      <c r="L11" s="14" t="s">
        <v>33</v>
      </c>
      <c r="M11" s="14" t="s">
        <v>47</v>
      </c>
      <c r="N11" s="14">
        <v>2</v>
      </c>
      <c r="O11" s="14" t="s">
        <v>36</v>
      </c>
      <c r="P11" s="14">
        <v>6000</v>
      </c>
      <c r="Q11" s="14">
        <f t="shared" si="0"/>
        <v>30000</v>
      </c>
      <c r="R11" s="15" t="s">
        <v>42</v>
      </c>
      <c r="S11" s="14" t="s">
        <v>90</v>
      </c>
      <c r="T11" s="16">
        <v>3.6999999999999998E-2</v>
      </c>
      <c r="U11" s="17">
        <v>0.75</v>
      </c>
      <c r="V11" s="16">
        <f t="shared" si="2"/>
        <v>9.2499999999999995E-3</v>
      </c>
      <c r="W11" s="16">
        <f t="shared" si="1"/>
        <v>4.6249999999999999E-2</v>
      </c>
      <c r="X11" s="59" t="s">
        <v>91</v>
      </c>
    </row>
    <row r="12" spans="1:24" s="21" customFormat="1" ht="87.5" x14ac:dyDescent="0.35">
      <c r="A12" s="19">
        <v>10</v>
      </c>
      <c r="B12" s="13" t="s">
        <v>292</v>
      </c>
      <c r="C12" s="13">
        <v>1</v>
      </c>
      <c r="D12" s="13" t="s">
        <v>92</v>
      </c>
      <c r="E12" s="13">
        <v>2010</v>
      </c>
      <c r="F12" s="13" t="s">
        <v>93</v>
      </c>
      <c r="G12" s="13" t="s">
        <v>94</v>
      </c>
      <c r="H12" s="13" t="s">
        <v>95</v>
      </c>
      <c r="I12" s="13" t="s">
        <v>44</v>
      </c>
      <c r="J12" s="13" t="s">
        <v>89</v>
      </c>
      <c r="K12" s="14" t="s">
        <v>32</v>
      </c>
      <c r="L12" s="14" t="s">
        <v>33</v>
      </c>
      <c r="M12" s="14" t="s">
        <v>47</v>
      </c>
      <c r="N12" s="14">
        <v>2</v>
      </c>
      <c r="O12" s="14" t="s">
        <v>36</v>
      </c>
      <c r="P12" s="14">
        <v>6000</v>
      </c>
      <c r="Q12" s="14">
        <f t="shared" si="0"/>
        <v>6000</v>
      </c>
      <c r="R12" s="15" t="s">
        <v>94</v>
      </c>
      <c r="S12" s="14" t="s">
        <v>96</v>
      </c>
      <c r="T12" s="16">
        <v>0.17699999999999999</v>
      </c>
      <c r="U12" s="17">
        <v>0.75</v>
      </c>
      <c r="V12" s="16">
        <f t="shared" si="2"/>
        <v>4.4249999999999998E-2</v>
      </c>
      <c r="W12" s="16">
        <f t="shared" si="1"/>
        <v>4.4249999999999998E-2</v>
      </c>
      <c r="X12" s="59" t="s">
        <v>97</v>
      </c>
    </row>
    <row r="13" spans="1:24" s="21" customFormat="1" ht="87.5" x14ac:dyDescent="0.35">
      <c r="A13" s="19">
        <v>11</v>
      </c>
      <c r="B13" s="13" t="s">
        <v>293</v>
      </c>
      <c r="C13" s="13">
        <v>1</v>
      </c>
      <c r="D13" s="13" t="s">
        <v>98</v>
      </c>
      <c r="E13" s="13">
        <v>2010</v>
      </c>
      <c r="F13" s="13" t="s">
        <v>51</v>
      </c>
      <c r="G13" s="13" t="s">
        <v>94</v>
      </c>
      <c r="H13" s="13" t="s">
        <v>99</v>
      </c>
      <c r="I13" s="13" t="s">
        <v>44</v>
      </c>
      <c r="J13" s="13" t="s">
        <v>83</v>
      </c>
      <c r="K13" s="14" t="s">
        <v>32</v>
      </c>
      <c r="L13" s="14" t="s">
        <v>33</v>
      </c>
      <c r="M13" s="14" t="s">
        <v>47</v>
      </c>
      <c r="N13" s="14">
        <v>2</v>
      </c>
      <c r="O13" s="14" t="s">
        <v>36</v>
      </c>
      <c r="P13" s="14">
        <v>6000</v>
      </c>
      <c r="Q13" s="14">
        <f t="shared" si="0"/>
        <v>6000</v>
      </c>
      <c r="R13" s="15" t="s">
        <v>94</v>
      </c>
      <c r="S13" s="14" t="s">
        <v>96</v>
      </c>
      <c r="T13" s="16">
        <v>0.17699999999999999</v>
      </c>
      <c r="U13" s="17">
        <v>0.75</v>
      </c>
      <c r="V13" s="16">
        <f t="shared" si="2"/>
        <v>4.4249999999999998E-2</v>
      </c>
      <c r="W13" s="16">
        <f t="shared" si="1"/>
        <v>4.4249999999999998E-2</v>
      </c>
      <c r="X13" s="59" t="s">
        <v>97</v>
      </c>
    </row>
    <row r="14" spans="1:24" s="21" customFormat="1" ht="87.5" x14ac:dyDescent="0.35">
      <c r="A14" s="19">
        <v>12</v>
      </c>
      <c r="B14" s="13" t="s">
        <v>294</v>
      </c>
      <c r="C14" s="13">
        <v>1</v>
      </c>
      <c r="D14" s="13" t="s">
        <v>100</v>
      </c>
      <c r="E14" s="13" t="s">
        <v>101</v>
      </c>
      <c r="F14" s="13" t="s">
        <v>102</v>
      </c>
      <c r="G14" s="13" t="s">
        <v>103</v>
      </c>
      <c r="H14" s="13" t="s">
        <v>104</v>
      </c>
      <c r="I14" s="13" t="s">
        <v>44</v>
      </c>
      <c r="J14" s="13" t="s">
        <v>83</v>
      </c>
      <c r="K14" s="14" t="s">
        <v>32</v>
      </c>
      <c r="L14" s="14" t="s">
        <v>33</v>
      </c>
      <c r="M14" s="14" t="s">
        <v>34</v>
      </c>
      <c r="N14" s="14">
        <v>2</v>
      </c>
      <c r="O14" s="14" t="s">
        <v>36</v>
      </c>
      <c r="P14" s="14">
        <v>6000</v>
      </c>
      <c r="Q14" s="14">
        <f t="shared" si="0"/>
        <v>6000</v>
      </c>
      <c r="R14" s="15" t="s">
        <v>103</v>
      </c>
      <c r="S14" s="14" t="s">
        <v>105</v>
      </c>
      <c r="T14" s="16">
        <v>9.8000000000000004E-2</v>
      </c>
      <c r="U14" s="17">
        <v>0.75</v>
      </c>
      <c r="V14" s="16">
        <f t="shared" si="2"/>
        <v>2.4500000000000001E-2</v>
      </c>
      <c r="W14" s="16">
        <f t="shared" si="1"/>
        <v>2.4500000000000001E-2</v>
      </c>
      <c r="X14" s="59" t="s">
        <v>106</v>
      </c>
    </row>
    <row r="15" spans="1:24" s="21" customFormat="1" ht="75" x14ac:dyDescent="0.35">
      <c r="A15" s="19">
        <v>13</v>
      </c>
      <c r="B15" s="13" t="s">
        <v>295</v>
      </c>
      <c r="C15" s="13">
        <v>2</v>
      </c>
      <c r="D15" s="13" t="s">
        <v>107</v>
      </c>
      <c r="E15" s="13">
        <v>1218</v>
      </c>
      <c r="F15" s="13" t="s">
        <v>57</v>
      </c>
      <c r="G15" s="13" t="s">
        <v>81</v>
      </c>
      <c r="H15" s="13" t="s">
        <v>108</v>
      </c>
      <c r="I15" s="13" t="s">
        <v>44</v>
      </c>
      <c r="J15" s="13" t="s">
        <v>109</v>
      </c>
      <c r="K15" s="14" t="s">
        <v>32</v>
      </c>
      <c r="L15" s="14" t="s">
        <v>33</v>
      </c>
      <c r="M15" s="14" t="s">
        <v>47</v>
      </c>
      <c r="N15" s="14">
        <v>2</v>
      </c>
      <c r="O15" s="14" t="s">
        <v>36</v>
      </c>
      <c r="P15" s="14">
        <v>6000</v>
      </c>
      <c r="Q15" s="14">
        <f t="shared" si="0"/>
        <v>12000</v>
      </c>
      <c r="R15" s="15" t="s">
        <v>81</v>
      </c>
      <c r="S15" s="14" t="s">
        <v>110</v>
      </c>
      <c r="T15" s="16">
        <v>0.17799999999999999</v>
      </c>
      <c r="U15" s="17">
        <v>0.75</v>
      </c>
      <c r="V15" s="16">
        <f t="shared" si="2"/>
        <v>4.4499999999999998E-2</v>
      </c>
      <c r="W15" s="16">
        <f t="shared" si="1"/>
        <v>8.8999999999999996E-2</v>
      </c>
      <c r="X15" s="59" t="s">
        <v>111</v>
      </c>
    </row>
    <row r="16" spans="1:24" s="21" customFormat="1" ht="75" x14ac:dyDescent="0.35">
      <c r="A16" s="19">
        <v>14</v>
      </c>
      <c r="B16" s="13" t="s">
        <v>296</v>
      </c>
      <c r="C16" s="13">
        <v>2</v>
      </c>
      <c r="D16" s="13" t="s">
        <v>112</v>
      </c>
      <c r="E16" s="13" t="s">
        <v>40</v>
      </c>
      <c r="F16" s="13" t="s">
        <v>41</v>
      </c>
      <c r="G16" s="13" t="s">
        <v>42</v>
      </c>
      <c r="H16" s="13" t="s">
        <v>113</v>
      </c>
      <c r="I16" s="13" t="s">
        <v>44</v>
      </c>
      <c r="J16" s="13" t="s">
        <v>109</v>
      </c>
      <c r="K16" s="14" t="s">
        <v>32</v>
      </c>
      <c r="L16" s="14" t="s">
        <v>33</v>
      </c>
      <c r="M16" s="14" t="s">
        <v>47</v>
      </c>
      <c r="N16" s="14">
        <v>2</v>
      </c>
      <c r="O16" s="14" t="s">
        <v>36</v>
      </c>
      <c r="P16" s="14">
        <v>6000</v>
      </c>
      <c r="Q16" s="14">
        <f t="shared" si="0"/>
        <v>12000</v>
      </c>
      <c r="R16" s="22" t="s">
        <v>42</v>
      </c>
      <c r="S16" s="14" t="s">
        <v>48</v>
      </c>
      <c r="T16" s="16">
        <v>6.8000000000000005E-2</v>
      </c>
      <c r="U16" s="17">
        <v>0.75</v>
      </c>
      <c r="V16" s="16">
        <f t="shared" si="2"/>
        <v>1.7000000000000001E-2</v>
      </c>
      <c r="W16" s="16">
        <f t="shared" si="1"/>
        <v>3.4000000000000002E-2</v>
      </c>
      <c r="X16" s="59" t="s">
        <v>49</v>
      </c>
    </row>
    <row r="17" spans="1:24" s="21" customFormat="1" ht="87.5" x14ac:dyDescent="0.35">
      <c r="A17" s="19">
        <v>15</v>
      </c>
      <c r="B17" s="13" t="s">
        <v>297</v>
      </c>
      <c r="C17" s="13">
        <v>1</v>
      </c>
      <c r="D17" s="13" t="s">
        <v>114</v>
      </c>
      <c r="E17" s="13" t="s">
        <v>115</v>
      </c>
      <c r="F17" s="13" t="s">
        <v>51</v>
      </c>
      <c r="G17" s="13" t="s">
        <v>116</v>
      </c>
      <c r="H17" s="13" t="s">
        <v>117</v>
      </c>
      <c r="I17" s="13" t="s">
        <v>44</v>
      </c>
      <c r="J17" s="13" t="s">
        <v>83</v>
      </c>
      <c r="K17" s="14" t="s">
        <v>32</v>
      </c>
      <c r="L17" s="14" t="s">
        <v>33</v>
      </c>
      <c r="M17" s="14" t="s">
        <v>47</v>
      </c>
      <c r="N17" s="14">
        <v>2</v>
      </c>
      <c r="O17" s="14" t="s">
        <v>36</v>
      </c>
      <c r="P17" s="14">
        <v>6000</v>
      </c>
      <c r="Q17" s="14">
        <f t="shared" si="0"/>
        <v>6000</v>
      </c>
      <c r="R17" s="15" t="s">
        <v>116</v>
      </c>
      <c r="S17" s="14" t="s">
        <v>118</v>
      </c>
      <c r="T17" s="16">
        <v>3.15</v>
      </c>
      <c r="U17" s="17">
        <v>0.75</v>
      </c>
      <c r="V17" s="16">
        <f t="shared" si="2"/>
        <v>0.78749999999999998</v>
      </c>
      <c r="W17" s="16">
        <f t="shared" si="1"/>
        <v>0.78749999999999998</v>
      </c>
      <c r="X17" s="59" t="s">
        <v>119</v>
      </c>
    </row>
    <row r="18" spans="1:24" s="21" customFormat="1" ht="87.5" x14ac:dyDescent="0.35">
      <c r="A18" s="19">
        <v>16</v>
      </c>
      <c r="B18" s="13" t="s">
        <v>298</v>
      </c>
      <c r="C18" s="13">
        <v>1</v>
      </c>
      <c r="D18" s="13" t="s">
        <v>120</v>
      </c>
      <c r="E18" s="13" t="s">
        <v>121</v>
      </c>
      <c r="F18" s="13" t="s">
        <v>31</v>
      </c>
      <c r="G18" s="13" t="s">
        <v>42</v>
      </c>
      <c r="H18" s="13" t="s">
        <v>122</v>
      </c>
      <c r="I18" s="13" t="s">
        <v>44</v>
      </c>
      <c r="J18" s="13" t="s">
        <v>123</v>
      </c>
      <c r="K18" s="14" t="s">
        <v>32</v>
      </c>
      <c r="L18" s="14" t="s">
        <v>33</v>
      </c>
      <c r="M18" s="14" t="s">
        <v>47</v>
      </c>
      <c r="N18" s="14">
        <v>2</v>
      </c>
      <c r="O18" s="14" t="s">
        <v>36</v>
      </c>
      <c r="P18" s="14">
        <v>6000</v>
      </c>
      <c r="Q18" s="14">
        <f t="shared" si="0"/>
        <v>6000</v>
      </c>
      <c r="R18" s="15" t="s">
        <v>42</v>
      </c>
      <c r="S18" s="14" t="s">
        <v>124</v>
      </c>
      <c r="T18" s="16">
        <v>0.13300000000000001</v>
      </c>
      <c r="U18" s="17">
        <v>0.75</v>
      </c>
      <c r="V18" s="16">
        <f t="shared" si="2"/>
        <v>3.3250000000000002E-2</v>
      </c>
      <c r="W18" s="16">
        <f t="shared" si="1"/>
        <v>3.3250000000000002E-2</v>
      </c>
      <c r="X18" s="59" t="s">
        <v>125</v>
      </c>
    </row>
    <row r="19" spans="1:24" s="21" customFormat="1" ht="100" x14ac:dyDescent="0.35">
      <c r="A19" s="19">
        <v>17</v>
      </c>
      <c r="B19" s="13" t="s">
        <v>299</v>
      </c>
      <c r="C19" s="13">
        <v>1</v>
      </c>
      <c r="D19" s="13" t="s">
        <v>126</v>
      </c>
      <c r="E19" s="13">
        <v>603</v>
      </c>
      <c r="F19" s="13" t="s">
        <v>127</v>
      </c>
      <c r="G19" s="13" t="s">
        <v>128</v>
      </c>
      <c r="H19" s="13" t="s">
        <v>129</v>
      </c>
      <c r="I19" s="13" t="s">
        <v>44</v>
      </c>
      <c r="J19" s="13" t="s">
        <v>130</v>
      </c>
      <c r="K19" s="14" t="s">
        <v>32</v>
      </c>
      <c r="L19" s="14" t="s">
        <v>33</v>
      </c>
      <c r="M19" s="14" t="s">
        <v>47</v>
      </c>
      <c r="N19" s="14">
        <v>2</v>
      </c>
      <c r="O19" s="14" t="s">
        <v>36</v>
      </c>
      <c r="P19" s="14">
        <v>6000</v>
      </c>
      <c r="Q19" s="14">
        <f t="shared" si="0"/>
        <v>6000</v>
      </c>
      <c r="R19" s="15" t="s">
        <v>128</v>
      </c>
      <c r="S19" s="14" t="s">
        <v>131</v>
      </c>
      <c r="T19" s="23">
        <v>6.0999999999999999E-2</v>
      </c>
      <c r="U19" s="17">
        <v>0.75</v>
      </c>
      <c r="V19" s="16">
        <f t="shared" si="2"/>
        <v>1.525E-2</v>
      </c>
      <c r="W19" s="16">
        <f t="shared" si="1"/>
        <v>1.525E-2</v>
      </c>
      <c r="X19" s="59" t="s">
        <v>132</v>
      </c>
    </row>
    <row r="20" spans="1:24" s="21" customFormat="1" ht="50" x14ac:dyDescent="0.35">
      <c r="A20" s="19">
        <v>18</v>
      </c>
      <c r="B20" s="13" t="s">
        <v>300</v>
      </c>
      <c r="C20" s="13">
        <v>1</v>
      </c>
      <c r="D20" s="13" t="s">
        <v>133</v>
      </c>
      <c r="E20" s="13">
        <v>805</v>
      </c>
      <c r="F20" s="13" t="s">
        <v>31</v>
      </c>
      <c r="G20" s="13" t="s">
        <v>134</v>
      </c>
      <c r="H20" s="13" t="s">
        <v>135</v>
      </c>
      <c r="I20" s="13" t="s">
        <v>44</v>
      </c>
      <c r="J20" s="13" t="s">
        <v>78</v>
      </c>
      <c r="K20" s="14" t="s">
        <v>32</v>
      </c>
      <c r="L20" s="14" t="s">
        <v>33</v>
      </c>
      <c r="M20" s="14" t="s">
        <v>47</v>
      </c>
      <c r="N20" s="14">
        <v>2</v>
      </c>
      <c r="O20" s="14" t="s">
        <v>36</v>
      </c>
      <c r="P20" s="14">
        <v>6000</v>
      </c>
      <c r="Q20" s="14">
        <f t="shared" si="0"/>
        <v>6000</v>
      </c>
      <c r="R20" s="15" t="s">
        <v>134</v>
      </c>
      <c r="S20" s="14"/>
      <c r="T20" s="16">
        <v>0.03</v>
      </c>
      <c r="U20" s="17">
        <v>0.75</v>
      </c>
      <c r="V20" s="16">
        <f t="shared" si="2"/>
        <v>7.4999999999999997E-3</v>
      </c>
      <c r="W20" s="16">
        <f t="shared" si="1"/>
        <v>7.4999999999999997E-3</v>
      </c>
      <c r="X20" s="59" t="s">
        <v>136</v>
      </c>
    </row>
    <row r="21" spans="1:24" s="21" customFormat="1" ht="75" x14ac:dyDescent="0.35">
      <c r="A21" s="19">
        <v>19</v>
      </c>
      <c r="B21" s="13" t="s">
        <v>301</v>
      </c>
      <c r="C21" s="13">
        <v>1</v>
      </c>
      <c r="D21" s="13" t="s">
        <v>137</v>
      </c>
      <c r="E21" s="13">
        <v>603</v>
      </c>
      <c r="F21" s="13" t="s">
        <v>138</v>
      </c>
      <c r="G21" s="13" t="s">
        <v>139</v>
      </c>
      <c r="H21" s="13" t="s">
        <v>140</v>
      </c>
      <c r="I21" s="13" t="s">
        <v>44</v>
      </c>
      <c r="J21" s="13" t="s">
        <v>66</v>
      </c>
      <c r="K21" s="14" t="s">
        <v>32</v>
      </c>
      <c r="L21" s="14" t="s">
        <v>33</v>
      </c>
      <c r="M21" s="14" t="s">
        <v>47</v>
      </c>
      <c r="N21" s="14">
        <v>2</v>
      </c>
      <c r="O21" s="14" t="s">
        <v>36</v>
      </c>
      <c r="P21" s="14">
        <v>6000</v>
      </c>
      <c r="Q21" s="14">
        <f t="shared" si="0"/>
        <v>6000</v>
      </c>
      <c r="R21" s="15" t="s">
        <v>139</v>
      </c>
      <c r="S21" s="14" t="s">
        <v>141</v>
      </c>
      <c r="T21" s="16">
        <v>1.7000000000000001E-2</v>
      </c>
      <c r="U21" s="17">
        <v>0.75</v>
      </c>
      <c r="V21" s="16">
        <f t="shared" si="2"/>
        <v>4.2500000000000003E-3</v>
      </c>
      <c r="W21" s="16">
        <f t="shared" si="1"/>
        <v>4.2500000000000003E-3</v>
      </c>
      <c r="X21" s="59" t="s">
        <v>142</v>
      </c>
    </row>
    <row r="22" spans="1:24" s="21" customFormat="1" ht="62.5" x14ac:dyDescent="0.35">
      <c r="A22" s="19">
        <v>20</v>
      </c>
      <c r="B22" s="13" t="s">
        <v>302</v>
      </c>
      <c r="C22" s="13">
        <v>1</v>
      </c>
      <c r="D22" s="13" t="s">
        <v>143</v>
      </c>
      <c r="E22" s="13">
        <v>402</v>
      </c>
      <c r="F22" s="13" t="s">
        <v>31</v>
      </c>
      <c r="G22" s="13" t="s">
        <v>144</v>
      </c>
      <c r="H22" s="13" t="s">
        <v>145</v>
      </c>
      <c r="I22" s="13" t="s">
        <v>44</v>
      </c>
      <c r="J22" s="13" t="s">
        <v>66</v>
      </c>
      <c r="K22" s="14" t="s">
        <v>32</v>
      </c>
      <c r="L22" s="14" t="s">
        <v>33</v>
      </c>
      <c r="M22" s="14" t="s">
        <v>47</v>
      </c>
      <c r="N22" s="14">
        <v>2</v>
      </c>
      <c r="O22" s="14" t="s">
        <v>36</v>
      </c>
      <c r="P22" s="14">
        <v>6000</v>
      </c>
      <c r="Q22" s="14">
        <f t="shared" si="0"/>
        <v>6000</v>
      </c>
      <c r="R22" s="15" t="s">
        <v>144</v>
      </c>
      <c r="S22" s="14" t="s">
        <v>146</v>
      </c>
      <c r="T22" s="16">
        <v>2.5999999999999999E-2</v>
      </c>
      <c r="U22" s="17">
        <v>0.75</v>
      </c>
      <c r="V22" s="16">
        <f t="shared" si="2"/>
        <v>6.4999999999999997E-3</v>
      </c>
      <c r="W22" s="16">
        <f t="shared" si="1"/>
        <v>6.4999999999999997E-3</v>
      </c>
      <c r="X22" s="59" t="s">
        <v>147</v>
      </c>
    </row>
    <row r="23" spans="1:24" s="21" customFormat="1" ht="75" x14ac:dyDescent="0.35">
      <c r="A23" s="19">
        <v>21</v>
      </c>
      <c r="B23" s="13" t="s">
        <v>303</v>
      </c>
      <c r="C23" s="13">
        <v>1</v>
      </c>
      <c r="D23" s="13" t="s">
        <v>148</v>
      </c>
      <c r="E23" s="13">
        <v>1206</v>
      </c>
      <c r="F23" s="13" t="s">
        <v>31</v>
      </c>
      <c r="G23" s="13" t="s">
        <v>81</v>
      </c>
      <c r="H23" s="13" t="s">
        <v>149</v>
      </c>
      <c r="I23" s="13" t="s">
        <v>44</v>
      </c>
      <c r="J23" s="13" t="s">
        <v>150</v>
      </c>
      <c r="K23" s="14" t="s">
        <v>32</v>
      </c>
      <c r="L23" s="14" t="s">
        <v>33</v>
      </c>
      <c r="M23" s="14" t="s">
        <v>47</v>
      </c>
      <c r="N23" s="14">
        <v>3</v>
      </c>
      <c r="O23" s="14" t="s">
        <v>36</v>
      </c>
      <c r="P23" s="14">
        <v>6000</v>
      </c>
      <c r="Q23" s="14">
        <f t="shared" si="0"/>
        <v>6000</v>
      </c>
      <c r="R23" s="15" t="s">
        <v>81</v>
      </c>
      <c r="S23" s="14" t="s">
        <v>151</v>
      </c>
      <c r="T23" s="16">
        <v>8.9999999999999993E-3</v>
      </c>
      <c r="U23" s="17">
        <v>0.75</v>
      </c>
      <c r="V23" s="16">
        <f t="shared" si="2"/>
        <v>2.2499999999999998E-3</v>
      </c>
      <c r="W23" s="16">
        <f t="shared" si="1"/>
        <v>2.2499999999999998E-3</v>
      </c>
      <c r="X23" s="59" t="s">
        <v>152</v>
      </c>
    </row>
    <row r="24" spans="1:24" s="21" customFormat="1" ht="87.5" x14ac:dyDescent="0.35">
      <c r="A24" s="19">
        <v>22</v>
      </c>
      <c r="B24" s="13" t="s">
        <v>304</v>
      </c>
      <c r="C24" s="13">
        <v>1</v>
      </c>
      <c r="D24" s="13" t="s">
        <v>153</v>
      </c>
      <c r="E24" s="13">
        <v>1206</v>
      </c>
      <c r="F24" s="24" t="s">
        <v>154</v>
      </c>
      <c r="G24" s="24" t="s">
        <v>81</v>
      </c>
      <c r="H24" s="13" t="s">
        <v>155</v>
      </c>
      <c r="I24" s="13" t="s">
        <v>30</v>
      </c>
      <c r="J24" s="13" t="s">
        <v>156</v>
      </c>
      <c r="K24" s="14" t="s">
        <v>32</v>
      </c>
      <c r="L24" s="14" t="s">
        <v>33</v>
      </c>
      <c r="M24" s="14" t="s">
        <v>47</v>
      </c>
      <c r="N24" s="14">
        <v>2</v>
      </c>
      <c r="O24" s="14" t="s">
        <v>36</v>
      </c>
      <c r="P24" s="14">
        <v>6000</v>
      </c>
      <c r="Q24" s="14">
        <f t="shared" si="0"/>
        <v>6000</v>
      </c>
      <c r="R24" s="25" t="s">
        <v>81</v>
      </c>
      <c r="S24" s="24" t="s">
        <v>157</v>
      </c>
      <c r="T24" s="16">
        <v>8.9999999999999993E-3</v>
      </c>
      <c r="U24" s="17">
        <v>0.75</v>
      </c>
      <c r="V24" s="16">
        <f t="shared" si="2"/>
        <v>2.2499999999999998E-3</v>
      </c>
      <c r="W24" s="16">
        <f t="shared" si="1"/>
        <v>2.2499999999999998E-3</v>
      </c>
      <c r="X24" s="59" t="s">
        <v>158</v>
      </c>
    </row>
    <row r="25" spans="1:24" s="21" customFormat="1" ht="87.5" x14ac:dyDescent="0.35">
      <c r="A25" s="19">
        <v>23</v>
      </c>
      <c r="B25" s="13" t="s">
        <v>305</v>
      </c>
      <c r="C25" s="13">
        <v>1</v>
      </c>
      <c r="D25" s="13" t="s">
        <v>159</v>
      </c>
      <c r="E25" s="13">
        <v>1206</v>
      </c>
      <c r="F25" s="13" t="s">
        <v>160</v>
      </c>
      <c r="G25" s="13" t="s">
        <v>161</v>
      </c>
      <c r="H25" s="13" t="s">
        <v>162</v>
      </c>
      <c r="I25" s="13" t="s">
        <v>44</v>
      </c>
      <c r="J25" s="13" t="s">
        <v>163</v>
      </c>
      <c r="K25" s="14" t="s">
        <v>32</v>
      </c>
      <c r="L25" s="14" t="s">
        <v>33</v>
      </c>
      <c r="M25" s="14" t="s">
        <v>47</v>
      </c>
      <c r="N25" s="14">
        <v>1</v>
      </c>
      <c r="O25" s="14" t="s">
        <v>36</v>
      </c>
      <c r="P25" s="14">
        <v>6000</v>
      </c>
      <c r="Q25" s="14">
        <f t="shared" si="0"/>
        <v>6000</v>
      </c>
      <c r="R25" s="15" t="s">
        <v>161</v>
      </c>
      <c r="S25" s="14" t="s">
        <v>164</v>
      </c>
      <c r="T25" s="16">
        <v>1.4E-2</v>
      </c>
      <c r="U25" s="17">
        <v>0.75</v>
      </c>
      <c r="V25" s="16">
        <f t="shared" si="2"/>
        <v>3.5000000000000001E-3</v>
      </c>
      <c r="W25" s="16">
        <f t="shared" si="1"/>
        <v>3.5000000000000001E-3</v>
      </c>
      <c r="X25" s="59" t="s">
        <v>165</v>
      </c>
    </row>
    <row r="26" spans="1:24" s="21" customFormat="1" ht="75" x14ac:dyDescent="0.35">
      <c r="A26" s="19">
        <v>24</v>
      </c>
      <c r="B26" s="13" t="s">
        <v>306</v>
      </c>
      <c r="C26" s="13">
        <v>2</v>
      </c>
      <c r="D26" s="13" t="s">
        <v>166</v>
      </c>
      <c r="E26" s="13">
        <v>805</v>
      </c>
      <c r="F26" s="24" t="s">
        <v>167</v>
      </c>
      <c r="G26" s="24" t="s">
        <v>81</v>
      </c>
      <c r="H26" s="13" t="s">
        <v>168</v>
      </c>
      <c r="I26" s="13" t="s">
        <v>30</v>
      </c>
      <c r="J26" s="13" t="s">
        <v>156</v>
      </c>
      <c r="K26" s="14" t="s">
        <v>32</v>
      </c>
      <c r="L26" s="14" t="s">
        <v>33</v>
      </c>
      <c r="M26" s="14" t="s">
        <v>47</v>
      </c>
      <c r="N26" s="14"/>
      <c r="O26" s="14"/>
      <c r="P26" s="14">
        <v>6000</v>
      </c>
      <c r="Q26" s="14"/>
      <c r="R26" s="15" t="s">
        <v>81</v>
      </c>
      <c r="S26" s="14" t="s">
        <v>169</v>
      </c>
      <c r="T26" s="16">
        <v>5.0000000000000001E-3</v>
      </c>
      <c r="U26" s="17">
        <v>0.75</v>
      </c>
      <c r="V26" s="16">
        <f t="shared" si="2"/>
        <v>1.25E-3</v>
      </c>
      <c r="W26" s="26">
        <f t="shared" si="1"/>
        <v>2.5000000000000001E-3</v>
      </c>
      <c r="X26" s="59" t="s">
        <v>170</v>
      </c>
    </row>
    <row r="27" spans="1:24" s="21" customFormat="1" ht="87.5" x14ac:dyDescent="0.35">
      <c r="A27" s="19">
        <v>25</v>
      </c>
      <c r="B27" s="13" t="s">
        <v>307</v>
      </c>
      <c r="C27" s="13">
        <v>1</v>
      </c>
      <c r="D27" s="13" t="s">
        <v>171</v>
      </c>
      <c r="E27" s="13">
        <v>1206</v>
      </c>
      <c r="F27" s="24" t="s">
        <v>172</v>
      </c>
      <c r="G27" s="24" t="s">
        <v>173</v>
      </c>
      <c r="H27" s="13" t="s">
        <v>168</v>
      </c>
      <c r="I27" s="13" t="s">
        <v>30</v>
      </c>
      <c r="J27" s="13" t="s">
        <v>156</v>
      </c>
      <c r="K27" s="14" t="s">
        <v>32</v>
      </c>
      <c r="L27" s="14" t="s">
        <v>33</v>
      </c>
      <c r="M27" s="14" t="s">
        <v>47</v>
      </c>
      <c r="N27" s="14">
        <v>19</v>
      </c>
      <c r="O27" s="14" t="s">
        <v>36</v>
      </c>
      <c r="P27" s="14">
        <v>6000</v>
      </c>
      <c r="Q27" s="14">
        <f t="shared" ref="Q27:Q39" si="3">P27*C27</f>
        <v>6000</v>
      </c>
      <c r="R27" s="15" t="s">
        <v>173</v>
      </c>
      <c r="S27" s="14" t="s">
        <v>174</v>
      </c>
      <c r="T27" s="16">
        <v>1.9E-2</v>
      </c>
      <c r="U27" s="17">
        <v>0.75</v>
      </c>
      <c r="V27" s="16">
        <f t="shared" si="2"/>
        <v>4.7499999999999999E-3</v>
      </c>
      <c r="W27" s="16">
        <f t="shared" si="1"/>
        <v>4.7499999999999999E-3</v>
      </c>
      <c r="X27" s="59" t="s">
        <v>175</v>
      </c>
    </row>
    <row r="28" spans="1:24" s="21" customFormat="1" ht="87.5" x14ac:dyDescent="0.35">
      <c r="A28" s="19">
        <v>26</v>
      </c>
      <c r="B28" s="13" t="s">
        <v>308</v>
      </c>
      <c r="C28" s="13">
        <v>1</v>
      </c>
      <c r="D28" s="13" t="s">
        <v>159</v>
      </c>
      <c r="E28" s="13">
        <v>1206</v>
      </c>
      <c r="F28" s="24" t="s">
        <v>176</v>
      </c>
      <c r="G28" s="24" t="s">
        <v>161</v>
      </c>
      <c r="H28" s="13" t="s">
        <v>177</v>
      </c>
      <c r="I28" s="13" t="s">
        <v>30</v>
      </c>
      <c r="J28" s="13" t="s">
        <v>178</v>
      </c>
      <c r="K28" s="14" t="s">
        <v>32</v>
      </c>
      <c r="L28" s="14" t="s">
        <v>33</v>
      </c>
      <c r="M28" s="14" t="s">
        <v>47</v>
      </c>
      <c r="N28" s="14">
        <v>2</v>
      </c>
      <c r="O28" s="14" t="s">
        <v>36</v>
      </c>
      <c r="P28" s="14">
        <v>6000</v>
      </c>
      <c r="Q28" s="14">
        <f t="shared" si="3"/>
        <v>6000</v>
      </c>
      <c r="R28" s="15" t="s">
        <v>161</v>
      </c>
      <c r="S28" s="24" t="s">
        <v>164</v>
      </c>
      <c r="T28" s="16">
        <v>1.4E-2</v>
      </c>
      <c r="U28" s="17">
        <v>0.75</v>
      </c>
      <c r="V28" s="16">
        <f t="shared" si="2"/>
        <v>3.5000000000000001E-3</v>
      </c>
      <c r="W28" s="16">
        <f t="shared" si="1"/>
        <v>3.5000000000000001E-3</v>
      </c>
      <c r="X28" s="59" t="s">
        <v>165</v>
      </c>
    </row>
    <row r="29" spans="1:24" s="21" customFormat="1" ht="112.5" x14ac:dyDescent="0.35">
      <c r="A29" s="19">
        <v>27</v>
      </c>
      <c r="B29" s="13" t="s">
        <v>309</v>
      </c>
      <c r="C29" s="13">
        <v>1</v>
      </c>
      <c r="D29" s="13" t="s">
        <v>179</v>
      </c>
      <c r="E29" s="13" t="s">
        <v>180</v>
      </c>
      <c r="F29" s="13" t="s">
        <v>181</v>
      </c>
      <c r="G29" s="13" t="s">
        <v>182</v>
      </c>
      <c r="H29" s="13" t="s">
        <v>183</v>
      </c>
      <c r="I29" s="13" t="s">
        <v>44</v>
      </c>
      <c r="J29" s="13" t="s">
        <v>46</v>
      </c>
      <c r="K29" s="14" t="s">
        <v>32</v>
      </c>
      <c r="L29" s="14" t="s">
        <v>184</v>
      </c>
      <c r="M29" s="14" t="s">
        <v>47</v>
      </c>
      <c r="N29" s="14">
        <v>3</v>
      </c>
      <c r="O29" s="14" t="s">
        <v>36</v>
      </c>
      <c r="P29" s="14">
        <v>6000</v>
      </c>
      <c r="Q29" s="14">
        <f t="shared" si="3"/>
        <v>6000</v>
      </c>
      <c r="R29" s="15" t="s">
        <v>182</v>
      </c>
      <c r="S29" s="14" t="s">
        <v>185</v>
      </c>
      <c r="T29" s="16">
        <v>2.0779999999999998</v>
      </c>
      <c r="U29" s="17">
        <v>0.75</v>
      </c>
      <c r="V29" s="16">
        <f t="shared" si="2"/>
        <v>0.51949999999999996</v>
      </c>
      <c r="W29" s="16">
        <f t="shared" si="1"/>
        <v>0.51949999999999996</v>
      </c>
      <c r="X29" s="59" t="s">
        <v>186</v>
      </c>
    </row>
    <row r="30" spans="1:24" s="27" customFormat="1" ht="50" x14ac:dyDescent="0.35">
      <c r="A30" s="19">
        <v>28</v>
      </c>
      <c r="B30" s="13" t="s">
        <v>310</v>
      </c>
      <c r="C30" s="13">
        <v>1</v>
      </c>
      <c r="D30" s="13" t="s">
        <v>187</v>
      </c>
      <c r="E30" s="13" t="s">
        <v>188</v>
      </c>
      <c r="F30" s="24" t="s">
        <v>189</v>
      </c>
      <c r="G30" s="24" t="s">
        <v>190</v>
      </c>
      <c r="H30" s="13" t="s">
        <v>191</v>
      </c>
      <c r="I30" s="13" t="s">
        <v>30</v>
      </c>
      <c r="J30" s="13" t="s">
        <v>156</v>
      </c>
      <c r="K30" s="14" t="s">
        <v>192</v>
      </c>
      <c r="L30" s="14" t="s">
        <v>184</v>
      </c>
      <c r="M30" s="14" t="s">
        <v>47</v>
      </c>
      <c r="N30" s="14">
        <v>3</v>
      </c>
      <c r="O30" s="14" t="s">
        <v>36</v>
      </c>
      <c r="P30" s="14">
        <v>6000</v>
      </c>
      <c r="Q30" s="14">
        <f t="shared" si="3"/>
        <v>6000</v>
      </c>
      <c r="R30" s="25" t="s">
        <v>190</v>
      </c>
      <c r="S30" s="24" t="s">
        <v>193</v>
      </c>
      <c r="T30" s="16">
        <v>0.48425000000000001</v>
      </c>
      <c r="U30" s="17">
        <v>0.75</v>
      </c>
      <c r="V30" s="16">
        <f t="shared" si="2"/>
        <v>0.1210625</v>
      </c>
      <c r="W30" s="16">
        <f t="shared" si="1"/>
        <v>0.1210625</v>
      </c>
      <c r="X30" s="59" t="s">
        <v>194</v>
      </c>
    </row>
    <row r="31" spans="1:24" s="21" customFormat="1" ht="62.5" x14ac:dyDescent="0.35">
      <c r="A31" s="19">
        <v>29</v>
      </c>
      <c r="B31" s="13" t="s">
        <v>311</v>
      </c>
      <c r="C31" s="13">
        <v>3</v>
      </c>
      <c r="D31" s="13" t="s">
        <v>195</v>
      </c>
      <c r="E31" s="13" t="s">
        <v>195</v>
      </c>
      <c r="F31" s="13" t="s">
        <v>196</v>
      </c>
      <c r="G31" s="13" t="s">
        <v>197</v>
      </c>
      <c r="H31" s="13" t="s">
        <v>198</v>
      </c>
      <c r="I31" s="13" t="s">
        <v>44</v>
      </c>
      <c r="J31" s="13" t="s">
        <v>199</v>
      </c>
      <c r="K31" s="14" t="s">
        <v>192</v>
      </c>
      <c r="L31" s="14" t="s">
        <v>33</v>
      </c>
      <c r="M31" s="14" t="s">
        <v>47</v>
      </c>
      <c r="N31" s="14">
        <v>3</v>
      </c>
      <c r="O31" s="14" t="s">
        <v>36</v>
      </c>
      <c r="P31" s="14">
        <v>6000</v>
      </c>
      <c r="Q31" s="14">
        <f t="shared" si="3"/>
        <v>18000</v>
      </c>
      <c r="R31" s="15" t="s">
        <v>197</v>
      </c>
      <c r="S31" s="14" t="s">
        <v>200</v>
      </c>
      <c r="T31" s="23">
        <v>0.17799999999999999</v>
      </c>
      <c r="U31" s="17">
        <v>0.75</v>
      </c>
      <c r="V31" s="16">
        <f t="shared" si="2"/>
        <v>4.4499999999999998E-2</v>
      </c>
      <c r="W31" s="16">
        <f t="shared" si="1"/>
        <v>0.13350000000000001</v>
      </c>
      <c r="X31" s="59" t="s">
        <v>201</v>
      </c>
    </row>
    <row r="32" spans="1:24" s="21" customFormat="1" ht="62.5" x14ac:dyDescent="0.35">
      <c r="A32" s="19">
        <v>30</v>
      </c>
      <c r="B32" s="13" t="s">
        <v>312</v>
      </c>
      <c r="C32" s="13">
        <v>1</v>
      </c>
      <c r="D32" s="13" t="s">
        <v>202</v>
      </c>
      <c r="E32" s="13" t="s">
        <v>203</v>
      </c>
      <c r="F32" s="13" t="s">
        <v>31</v>
      </c>
      <c r="G32" s="13" t="s">
        <v>190</v>
      </c>
      <c r="H32" s="13" t="s">
        <v>204</v>
      </c>
      <c r="I32" s="13" t="s">
        <v>44</v>
      </c>
      <c r="J32" s="13" t="s">
        <v>46</v>
      </c>
      <c r="K32" s="14" t="s">
        <v>192</v>
      </c>
      <c r="L32" s="14" t="s">
        <v>33</v>
      </c>
      <c r="M32" s="14" t="s">
        <v>47</v>
      </c>
      <c r="N32" s="14">
        <v>2</v>
      </c>
      <c r="O32" s="14" t="s">
        <v>36</v>
      </c>
      <c r="P32" s="14">
        <v>6000</v>
      </c>
      <c r="Q32" s="14">
        <f t="shared" si="3"/>
        <v>6000</v>
      </c>
      <c r="R32" s="15" t="s">
        <v>190</v>
      </c>
      <c r="S32" s="28" t="s">
        <v>205</v>
      </c>
      <c r="T32" s="23">
        <v>0.47</v>
      </c>
      <c r="U32" s="17">
        <v>0.75</v>
      </c>
      <c r="V32" s="16">
        <f t="shared" si="2"/>
        <v>0.11749999999999999</v>
      </c>
      <c r="W32" s="16">
        <f t="shared" si="1"/>
        <v>0.11749999999999999</v>
      </c>
      <c r="X32" s="59" t="s">
        <v>206</v>
      </c>
    </row>
    <row r="33" spans="1:24" s="21" customFormat="1" ht="71" customHeight="1" x14ac:dyDescent="0.25">
      <c r="A33" s="19">
        <v>31</v>
      </c>
      <c r="B33" s="13" t="s">
        <v>313</v>
      </c>
      <c r="C33" s="13">
        <v>1</v>
      </c>
      <c r="D33" s="13" t="s">
        <v>207</v>
      </c>
      <c r="E33" s="13" t="s">
        <v>203</v>
      </c>
      <c r="F33" s="13" t="s">
        <v>31</v>
      </c>
      <c r="G33" s="13" t="s">
        <v>208</v>
      </c>
      <c r="H33" s="13" t="s">
        <v>209</v>
      </c>
      <c r="I33" s="13" t="s">
        <v>44</v>
      </c>
      <c r="J33" s="13" t="s">
        <v>46</v>
      </c>
      <c r="K33" s="14" t="s">
        <v>192</v>
      </c>
      <c r="L33" s="14" t="s">
        <v>184</v>
      </c>
      <c r="M33" s="14" t="s">
        <v>47</v>
      </c>
      <c r="N33" s="14">
        <v>2</v>
      </c>
      <c r="O33" s="14" t="s">
        <v>36</v>
      </c>
      <c r="P33" s="14">
        <v>6000</v>
      </c>
      <c r="Q33" s="14">
        <f t="shared" si="3"/>
        <v>6000</v>
      </c>
      <c r="R33" s="15" t="s">
        <v>208</v>
      </c>
      <c r="S33" s="28" t="s">
        <v>210</v>
      </c>
      <c r="T33" s="23">
        <v>0.57920000000000005</v>
      </c>
      <c r="U33" s="17">
        <v>0.75</v>
      </c>
      <c r="V33" s="16">
        <f t="shared" si="2"/>
        <v>0.14480000000000001</v>
      </c>
      <c r="W33" s="16">
        <f t="shared" si="1"/>
        <v>0.14480000000000001</v>
      </c>
      <c r="X33" s="60" t="s">
        <v>211</v>
      </c>
    </row>
    <row r="34" spans="1:24" s="21" customFormat="1" ht="87.5" x14ac:dyDescent="0.35">
      <c r="A34" s="19">
        <v>32</v>
      </c>
      <c r="B34" s="13" t="s">
        <v>314</v>
      </c>
      <c r="C34" s="13">
        <v>5</v>
      </c>
      <c r="D34" s="13" t="s">
        <v>63</v>
      </c>
      <c r="E34" s="13" t="s">
        <v>64</v>
      </c>
      <c r="F34" s="13" t="s">
        <v>31</v>
      </c>
      <c r="G34" s="13" t="s">
        <v>42</v>
      </c>
      <c r="H34" s="13" t="s">
        <v>212</v>
      </c>
      <c r="I34" s="13" t="s">
        <v>44</v>
      </c>
      <c r="J34" s="13" t="s">
        <v>156</v>
      </c>
      <c r="K34" s="14" t="s">
        <v>192</v>
      </c>
      <c r="L34" s="14" t="s">
        <v>33</v>
      </c>
      <c r="M34" s="14" t="s">
        <v>47</v>
      </c>
      <c r="N34" s="14">
        <v>2</v>
      </c>
      <c r="O34" s="14" t="s">
        <v>36</v>
      </c>
      <c r="P34" s="14">
        <v>6000</v>
      </c>
      <c r="Q34" s="14">
        <f t="shared" si="3"/>
        <v>30000</v>
      </c>
      <c r="R34" s="15" t="s">
        <v>42</v>
      </c>
      <c r="S34" s="29" t="s">
        <v>67</v>
      </c>
      <c r="T34" s="20">
        <v>0.191</v>
      </c>
      <c r="U34" s="17">
        <v>0.75</v>
      </c>
      <c r="V34" s="16">
        <f t="shared" si="2"/>
        <v>4.7750000000000001E-2</v>
      </c>
      <c r="W34" s="16">
        <f t="shared" si="1"/>
        <v>0.23875000000000002</v>
      </c>
      <c r="X34" s="59" t="s">
        <v>68</v>
      </c>
    </row>
    <row r="35" spans="1:24" s="21" customFormat="1" ht="75" x14ac:dyDescent="0.35">
      <c r="A35" s="19">
        <v>33</v>
      </c>
      <c r="B35" s="13" t="s">
        <v>315</v>
      </c>
      <c r="C35" s="13">
        <v>1</v>
      </c>
      <c r="D35" s="13" t="s">
        <v>213</v>
      </c>
      <c r="E35" s="13" t="s">
        <v>214</v>
      </c>
      <c r="F35" s="13" t="s">
        <v>31</v>
      </c>
      <c r="G35" s="13" t="s">
        <v>161</v>
      </c>
      <c r="H35" s="13" t="s">
        <v>215</v>
      </c>
      <c r="I35" s="13" t="s">
        <v>44</v>
      </c>
      <c r="J35" s="13" t="s">
        <v>199</v>
      </c>
      <c r="K35" s="14" t="s">
        <v>192</v>
      </c>
      <c r="L35" s="14" t="s">
        <v>33</v>
      </c>
      <c r="M35" s="14" t="s">
        <v>47</v>
      </c>
      <c r="N35" s="14">
        <v>2</v>
      </c>
      <c r="O35" s="14" t="s">
        <v>36</v>
      </c>
      <c r="P35" s="14">
        <v>6000</v>
      </c>
      <c r="Q35" s="14">
        <f t="shared" si="3"/>
        <v>6000</v>
      </c>
      <c r="R35" s="15" t="s">
        <v>161</v>
      </c>
      <c r="S35" s="29" t="s">
        <v>216</v>
      </c>
      <c r="T35" s="20">
        <v>4.5999999999999999E-2</v>
      </c>
      <c r="U35" s="17">
        <v>0.75</v>
      </c>
      <c r="V35" s="16">
        <f t="shared" si="2"/>
        <v>1.15E-2</v>
      </c>
      <c r="W35" s="16">
        <f t="shared" si="1"/>
        <v>1.15E-2</v>
      </c>
      <c r="X35" s="59" t="s">
        <v>217</v>
      </c>
    </row>
    <row r="36" spans="1:24" s="21" customFormat="1" ht="62.5" x14ac:dyDescent="0.35">
      <c r="A36" s="19">
        <v>34</v>
      </c>
      <c r="B36" s="13" t="s">
        <v>316</v>
      </c>
      <c r="C36" s="13">
        <v>1</v>
      </c>
      <c r="D36" s="13" t="s">
        <v>218</v>
      </c>
      <c r="E36" s="13" t="s">
        <v>219</v>
      </c>
      <c r="F36" s="13" t="s">
        <v>31</v>
      </c>
      <c r="G36" s="13" t="s">
        <v>220</v>
      </c>
      <c r="H36" s="13" t="s">
        <v>221</v>
      </c>
      <c r="I36" s="13" t="s">
        <v>44</v>
      </c>
      <c r="J36" s="13" t="s">
        <v>199</v>
      </c>
      <c r="K36" s="14" t="s">
        <v>192</v>
      </c>
      <c r="L36" s="14" t="s">
        <v>33</v>
      </c>
      <c r="M36" s="14" t="s">
        <v>47</v>
      </c>
      <c r="N36" s="14">
        <v>2</v>
      </c>
      <c r="O36" s="14" t="s">
        <v>36</v>
      </c>
      <c r="P36" s="14">
        <v>6000</v>
      </c>
      <c r="Q36" s="14">
        <f t="shared" si="3"/>
        <v>6000</v>
      </c>
      <c r="R36" s="15" t="s">
        <v>220</v>
      </c>
      <c r="S36" s="14" t="s">
        <v>222</v>
      </c>
      <c r="T36" s="16">
        <v>7.0000000000000001E-3</v>
      </c>
      <c r="U36" s="17">
        <v>0.75</v>
      </c>
      <c r="V36" s="16">
        <f t="shared" si="2"/>
        <v>1.75E-3</v>
      </c>
      <c r="W36" s="16">
        <f t="shared" si="1"/>
        <v>1.75E-3</v>
      </c>
      <c r="X36" s="59" t="s">
        <v>223</v>
      </c>
    </row>
    <row r="37" spans="1:24" s="21" customFormat="1" ht="100" x14ac:dyDescent="0.35">
      <c r="A37" s="19">
        <v>35</v>
      </c>
      <c r="B37" s="13" t="s">
        <v>317</v>
      </c>
      <c r="C37" s="13">
        <v>1</v>
      </c>
      <c r="D37" s="13" t="s">
        <v>224</v>
      </c>
      <c r="E37" s="13" t="s">
        <v>203</v>
      </c>
      <c r="F37" s="13" t="s">
        <v>31</v>
      </c>
      <c r="G37" s="13" t="s">
        <v>225</v>
      </c>
      <c r="H37" s="13" t="s">
        <v>226</v>
      </c>
      <c r="I37" s="13" t="s">
        <v>44</v>
      </c>
      <c r="J37" s="13" t="s">
        <v>46</v>
      </c>
      <c r="K37" s="14" t="s">
        <v>192</v>
      </c>
      <c r="L37" s="14" t="s">
        <v>33</v>
      </c>
      <c r="M37" s="14" t="s">
        <v>34</v>
      </c>
      <c r="N37" s="14">
        <v>2</v>
      </c>
      <c r="O37" s="14" t="s">
        <v>36</v>
      </c>
      <c r="P37" s="14">
        <v>6000</v>
      </c>
      <c r="Q37" s="14">
        <f t="shared" si="3"/>
        <v>6000</v>
      </c>
      <c r="R37" s="15" t="s">
        <v>225</v>
      </c>
      <c r="S37" s="14" t="s">
        <v>227</v>
      </c>
      <c r="T37" s="16">
        <v>0.33</v>
      </c>
      <c r="U37" s="17">
        <v>0.75</v>
      </c>
      <c r="V37" s="16">
        <f t="shared" si="2"/>
        <v>8.2500000000000004E-2</v>
      </c>
      <c r="W37" s="16">
        <f t="shared" si="1"/>
        <v>8.2500000000000004E-2</v>
      </c>
      <c r="X37" s="59" t="s">
        <v>228</v>
      </c>
    </row>
    <row r="38" spans="1:24" s="21" customFormat="1" ht="100" x14ac:dyDescent="0.35">
      <c r="A38" s="19">
        <v>36</v>
      </c>
      <c r="B38" s="13" t="s">
        <v>318</v>
      </c>
      <c r="C38" s="13">
        <v>2</v>
      </c>
      <c r="D38" s="13" t="s">
        <v>229</v>
      </c>
      <c r="E38" s="13" t="s">
        <v>203</v>
      </c>
      <c r="F38" s="13" t="s">
        <v>31</v>
      </c>
      <c r="G38" s="13" t="s">
        <v>52</v>
      </c>
      <c r="H38" s="13" t="s">
        <v>230</v>
      </c>
      <c r="I38" s="13" t="s">
        <v>44</v>
      </c>
      <c r="J38" s="13" t="s">
        <v>199</v>
      </c>
      <c r="K38" s="14" t="s">
        <v>192</v>
      </c>
      <c r="L38" s="14" t="s">
        <v>33</v>
      </c>
      <c r="M38" s="14" t="s">
        <v>34</v>
      </c>
      <c r="N38" s="14">
        <v>2</v>
      </c>
      <c r="O38" s="14" t="s">
        <v>36</v>
      </c>
      <c r="P38" s="14">
        <v>6000</v>
      </c>
      <c r="Q38" s="14">
        <f t="shared" si="3"/>
        <v>12000</v>
      </c>
      <c r="R38" s="15" t="s">
        <v>52</v>
      </c>
      <c r="S38" s="14" t="s">
        <v>231</v>
      </c>
      <c r="T38" s="16">
        <v>5.7000000000000002E-2</v>
      </c>
      <c r="U38" s="17">
        <v>0.75</v>
      </c>
      <c r="V38" s="16">
        <f t="shared" si="2"/>
        <v>1.4250000000000001E-2</v>
      </c>
      <c r="W38" s="16">
        <f t="shared" si="1"/>
        <v>2.8500000000000001E-2</v>
      </c>
      <c r="X38" s="59" t="s">
        <v>232</v>
      </c>
    </row>
    <row r="39" spans="1:24" s="21" customFormat="1" ht="25" x14ac:dyDescent="0.35">
      <c r="A39" s="19">
        <v>37</v>
      </c>
      <c r="B39" s="13" t="s">
        <v>319</v>
      </c>
      <c r="C39" s="13">
        <v>1</v>
      </c>
      <c r="D39" s="13" t="s">
        <v>233</v>
      </c>
      <c r="E39" s="13" t="s">
        <v>234</v>
      </c>
      <c r="F39" s="13" t="s">
        <v>31</v>
      </c>
      <c r="G39" s="13" t="s">
        <v>235</v>
      </c>
      <c r="H39" s="13" t="s">
        <v>236</v>
      </c>
      <c r="I39" s="13" t="s">
        <v>44</v>
      </c>
      <c r="J39" s="13" t="s">
        <v>199</v>
      </c>
      <c r="K39" s="14" t="s">
        <v>192</v>
      </c>
      <c r="L39" s="14" t="s">
        <v>33</v>
      </c>
      <c r="M39" s="14" t="s">
        <v>47</v>
      </c>
      <c r="N39" s="14">
        <v>2</v>
      </c>
      <c r="O39" s="14" t="s">
        <v>36</v>
      </c>
      <c r="P39" s="14">
        <v>6000</v>
      </c>
      <c r="Q39" s="14">
        <f t="shared" si="3"/>
        <v>6000</v>
      </c>
      <c r="R39" s="15" t="s">
        <v>235</v>
      </c>
      <c r="S39" s="14" t="s">
        <v>237</v>
      </c>
      <c r="T39" s="16">
        <v>0.36935025516214848</v>
      </c>
      <c r="U39" s="17">
        <v>0.75</v>
      </c>
      <c r="V39" s="16">
        <f>T39*(1-U39)</f>
        <v>9.2337563790537119E-2</v>
      </c>
      <c r="W39" s="16">
        <f t="shared" si="1"/>
        <v>9.2337563790537119E-2</v>
      </c>
      <c r="X39" s="61" t="s">
        <v>238</v>
      </c>
    </row>
    <row r="40" spans="1:24" s="36" customFormat="1" ht="12.5" x14ac:dyDescent="0.35">
      <c r="A40" s="19">
        <v>38</v>
      </c>
      <c r="B40" s="30"/>
      <c r="C40" s="30"/>
      <c r="D40" s="30"/>
      <c r="E40" s="30"/>
      <c r="F40" s="30"/>
      <c r="G40" s="30"/>
      <c r="H40" s="30"/>
      <c r="I40" s="30"/>
      <c r="J40" s="30"/>
      <c r="K40" s="31"/>
      <c r="L40" s="31"/>
      <c r="M40" s="31"/>
      <c r="N40" s="31"/>
      <c r="O40" s="31"/>
      <c r="P40" s="31"/>
      <c r="Q40" s="31"/>
      <c r="R40" s="32"/>
      <c r="S40" s="31"/>
      <c r="T40" s="33"/>
      <c r="U40" s="34"/>
      <c r="V40" s="33"/>
      <c r="W40" s="33"/>
      <c r="X40" s="35"/>
    </row>
    <row r="41" spans="1:24" s="36" customFormat="1" ht="12.5" x14ac:dyDescent="0.35">
      <c r="A41" s="19">
        <v>39</v>
      </c>
      <c r="B41" s="30"/>
      <c r="C41" s="30"/>
      <c r="D41" s="30"/>
      <c r="E41" s="30"/>
      <c r="F41" s="37"/>
      <c r="G41" s="30"/>
      <c r="H41" s="37"/>
      <c r="I41" s="30"/>
      <c r="J41" s="30"/>
      <c r="K41" s="31"/>
      <c r="L41" s="31"/>
      <c r="M41" s="31"/>
      <c r="N41" s="31"/>
      <c r="O41" s="31"/>
      <c r="P41" s="31"/>
      <c r="Q41" s="31"/>
      <c r="R41" s="38"/>
      <c r="S41" s="37"/>
      <c r="T41" s="33"/>
      <c r="U41" s="34"/>
      <c r="V41" s="33"/>
      <c r="W41" s="33"/>
      <c r="X41" s="35"/>
    </row>
    <row r="42" spans="1:24" s="21" customFormat="1" ht="13" x14ac:dyDescent="0.35">
      <c r="A42" s="19">
        <v>40</v>
      </c>
      <c r="B42" s="13"/>
      <c r="C42" s="13"/>
      <c r="D42" s="13"/>
      <c r="E42" s="13"/>
      <c r="F42" s="13"/>
      <c r="G42" s="13"/>
      <c r="H42" s="13"/>
      <c r="I42" s="13"/>
      <c r="J42" s="13"/>
      <c r="K42" s="14"/>
      <c r="L42" s="14"/>
      <c r="M42" s="14"/>
      <c r="N42" s="14"/>
      <c r="O42" s="14"/>
      <c r="P42" s="14"/>
      <c r="Q42" s="14"/>
      <c r="R42" s="15"/>
      <c r="S42" s="14"/>
      <c r="T42" s="16"/>
      <c r="U42" s="14"/>
      <c r="V42" s="39" t="s">
        <v>239</v>
      </c>
      <c r="W42" s="40">
        <f>SUM(W3:W41)</f>
        <v>3.8573550637905361</v>
      </c>
      <c r="X42" s="15"/>
    </row>
    <row r="43" spans="1:24" s="21" customFormat="1" ht="13" x14ac:dyDescent="0.35">
      <c r="A43" s="19">
        <v>41</v>
      </c>
      <c r="B43" s="13"/>
      <c r="C43" s="13"/>
      <c r="D43" s="13"/>
      <c r="E43" s="13"/>
      <c r="F43" s="13"/>
      <c r="G43" s="13"/>
      <c r="H43" s="13"/>
      <c r="I43" s="13"/>
      <c r="J43" s="13"/>
      <c r="K43" s="14"/>
      <c r="L43" s="14"/>
      <c r="M43" s="14"/>
      <c r="N43" s="14"/>
      <c r="O43" s="14"/>
      <c r="P43" s="14"/>
      <c r="Q43" s="14"/>
      <c r="R43" s="15"/>
      <c r="S43" s="14"/>
      <c r="T43" s="16"/>
      <c r="U43" s="14"/>
      <c r="V43" s="39" t="s">
        <v>240</v>
      </c>
      <c r="W43" s="40">
        <f>W42*5%</f>
        <v>0.19286775318952681</v>
      </c>
      <c r="X43" s="15"/>
    </row>
    <row r="44" spans="1:24" s="21" customFormat="1" ht="13" x14ac:dyDescent="0.35">
      <c r="A44" s="19">
        <v>42</v>
      </c>
      <c r="B44" s="13"/>
      <c r="C44" s="13"/>
      <c r="D44" s="13"/>
      <c r="E44" s="13"/>
      <c r="F44" s="13"/>
      <c r="G44" s="13"/>
      <c r="H44" s="13"/>
      <c r="I44" s="13"/>
      <c r="J44" s="13"/>
      <c r="K44" s="14"/>
      <c r="L44" s="14"/>
      <c r="M44" s="14"/>
      <c r="N44" s="14"/>
      <c r="O44" s="14"/>
      <c r="P44" s="14"/>
      <c r="Q44" s="14"/>
      <c r="R44" s="15"/>
      <c r="S44" s="14"/>
      <c r="T44" s="16"/>
      <c r="U44" s="14"/>
      <c r="V44" s="39" t="s">
        <v>241</v>
      </c>
      <c r="W44" s="40">
        <f>SUM(W42:W43)</f>
        <v>4.0502228169800629</v>
      </c>
      <c r="X44" s="15"/>
    </row>
    <row r="45" spans="1:24" s="21" customFormat="1" ht="13" x14ac:dyDescent="0.35">
      <c r="A45" s="19">
        <v>43</v>
      </c>
      <c r="B45" s="13"/>
      <c r="C45" s="13"/>
      <c r="D45" s="13"/>
      <c r="E45" s="13"/>
      <c r="F45" s="13"/>
      <c r="G45" s="13"/>
      <c r="H45" s="13"/>
      <c r="I45" s="13"/>
      <c r="J45" s="13"/>
      <c r="K45" s="14"/>
      <c r="L45" s="14"/>
      <c r="M45" s="14"/>
      <c r="N45" s="14"/>
      <c r="O45" s="14"/>
      <c r="P45" s="14"/>
      <c r="Q45" s="14"/>
      <c r="R45" s="15"/>
      <c r="S45" s="14"/>
      <c r="T45" s="16"/>
      <c r="U45" s="14"/>
      <c r="V45" s="39"/>
      <c r="W45" s="40"/>
      <c r="X45" s="15"/>
    </row>
    <row r="46" spans="1:24" s="21" customFormat="1" ht="12.5" x14ac:dyDescent="0.35">
      <c r="A46" s="19">
        <v>44</v>
      </c>
      <c r="B46" s="13" t="s">
        <v>242</v>
      </c>
      <c r="C46" s="13">
        <v>1</v>
      </c>
      <c r="D46" s="13" t="s">
        <v>243</v>
      </c>
      <c r="E46" s="13" t="s">
        <v>31</v>
      </c>
      <c r="F46" s="13" t="s">
        <v>31</v>
      </c>
      <c r="G46" s="13" t="s">
        <v>31</v>
      </c>
      <c r="H46" s="13" t="s">
        <v>244</v>
      </c>
      <c r="I46" s="13" t="s">
        <v>44</v>
      </c>
      <c r="J46" s="13" t="s">
        <v>31</v>
      </c>
      <c r="K46" s="14" t="s">
        <v>192</v>
      </c>
      <c r="L46" s="14" t="s">
        <v>35</v>
      </c>
      <c r="M46" s="14" t="s">
        <v>242</v>
      </c>
      <c r="N46" s="14" t="s">
        <v>35</v>
      </c>
      <c r="O46" s="14" t="s">
        <v>36</v>
      </c>
      <c r="P46" s="14">
        <v>6000</v>
      </c>
      <c r="Q46" s="14">
        <f>P46*C46</f>
        <v>6000</v>
      </c>
      <c r="R46" s="15"/>
      <c r="S46" s="14"/>
      <c r="T46" s="16"/>
      <c r="U46" s="14"/>
      <c r="V46" s="16">
        <v>0</v>
      </c>
      <c r="W46" s="16">
        <f>V46*C46</f>
        <v>0</v>
      </c>
      <c r="X46" s="15" t="s">
        <v>45</v>
      </c>
    </row>
    <row r="47" spans="1:24" s="21" customFormat="1" ht="13" x14ac:dyDescent="0.35">
      <c r="A47" s="19">
        <v>45</v>
      </c>
      <c r="B47" s="41" t="s">
        <v>328</v>
      </c>
      <c r="C47" s="41">
        <v>1</v>
      </c>
      <c r="D47" s="41" t="s">
        <v>329</v>
      </c>
      <c r="E47" s="13"/>
      <c r="F47" s="13"/>
      <c r="G47" s="13"/>
      <c r="H47" s="13"/>
      <c r="I47" s="13"/>
      <c r="J47" s="13"/>
      <c r="K47" s="14"/>
      <c r="L47" s="14"/>
      <c r="M47" s="14"/>
      <c r="N47" s="14"/>
      <c r="O47" s="42" t="s">
        <v>333</v>
      </c>
      <c r="P47" s="14">
        <v>6000</v>
      </c>
      <c r="Q47" s="14">
        <f>P47*C47</f>
        <v>6000</v>
      </c>
      <c r="R47" s="15"/>
      <c r="S47" s="14"/>
      <c r="T47" s="16"/>
      <c r="U47" s="14"/>
      <c r="V47" s="16">
        <v>0</v>
      </c>
      <c r="W47" s="16">
        <f>V47*C47</f>
        <v>0</v>
      </c>
      <c r="X47" s="15"/>
    </row>
    <row r="48" spans="1:24" s="21" customFormat="1" ht="13" x14ac:dyDescent="0.35">
      <c r="A48" s="19">
        <v>46</v>
      </c>
      <c r="B48" s="43" t="s">
        <v>330</v>
      </c>
      <c r="C48" s="43">
        <v>3</v>
      </c>
      <c r="D48" s="41" t="s">
        <v>331</v>
      </c>
      <c r="E48" s="13"/>
      <c r="F48" s="13"/>
      <c r="G48" s="13"/>
      <c r="H48" s="13"/>
      <c r="I48" s="13"/>
      <c r="J48" s="13"/>
      <c r="K48" s="14"/>
      <c r="L48" s="14"/>
      <c r="M48" s="14"/>
      <c r="N48" s="14"/>
      <c r="O48" s="42" t="s">
        <v>333</v>
      </c>
      <c r="P48" s="14">
        <v>6000</v>
      </c>
      <c r="Q48" s="14">
        <f>P48*C48</f>
        <v>18000</v>
      </c>
      <c r="R48" s="15"/>
      <c r="S48" s="14"/>
      <c r="T48" s="16"/>
      <c r="U48" s="14"/>
      <c r="V48" s="16">
        <v>0</v>
      </c>
      <c r="W48" s="16">
        <f>V48*C48</f>
        <v>0</v>
      </c>
      <c r="X48" s="15"/>
    </row>
    <row r="49" spans="1:24" s="21" customFormat="1" ht="13" x14ac:dyDescent="0.35">
      <c r="A49" s="19">
        <v>47</v>
      </c>
      <c r="B49" s="43" t="s">
        <v>332</v>
      </c>
      <c r="C49" s="43">
        <v>1</v>
      </c>
      <c r="D49" s="41"/>
      <c r="E49" s="13"/>
      <c r="F49" s="13"/>
      <c r="G49" s="13"/>
      <c r="H49" s="13"/>
      <c r="I49" s="13"/>
      <c r="J49" s="13"/>
      <c r="K49" s="14"/>
      <c r="L49" s="14"/>
      <c r="M49" s="14"/>
      <c r="N49" s="14"/>
      <c r="O49" s="42" t="s">
        <v>333</v>
      </c>
      <c r="P49" s="14">
        <v>6000</v>
      </c>
      <c r="Q49" s="14">
        <f>P49*C49</f>
        <v>6000</v>
      </c>
      <c r="R49" s="15"/>
      <c r="S49" s="14"/>
      <c r="T49" s="16"/>
      <c r="U49" s="14"/>
      <c r="V49" s="16">
        <v>0</v>
      </c>
      <c r="W49" s="16">
        <f>V49*C49</f>
        <v>0</v>
      </c>
      <c r="X49" s="15"/>
    </row>
    <row r="50" spans="1:24" s="44" customFormat="1" ht="42" customHeight="1" x14ac:dyDescent="0.25">
      <c r="A50" s="68"/>
      <c r="B50" s="68"/>
      <c r="C50" s="68"/>
      <c r="D50" s="68"/>
      <c r="E50" s="68"/>
      <c r="F50" s="68"/>
      <c r="G50" s="68"/>
      <c r="H50" s="68"/>
      <c r="I50" s="68"/>
      <c r="J50" s="68"/>
      <c r="K50" s="68"/>
      <c r="L50" s="68"/>
      <c r="M50" s="68"/>
      <c r="N50" s="68"/>
      <c r="O50" s="68"/>
      <c r="P50" s="68"/>
      <c r="Q50" s="68"/>
      <c r="R50" s="69"/>
      <c r="S50" s="68"/>
      <c r="T50" s="68"/>
      <c r="U50" s="63" t="s">
        <v>282</v>
      </c>
      <c r="V50" s="63"/>
      <c r="W50" s="70">
        <f>SUM(W44:W49)</f>
        <v>4.0502228169800629</v>
      </c>
      <c r="X50" s="68"/>
    </row>
    <row r="51" spans="1:24" s="44" customFormat="1" ht="42" customHeight="1" x14ac:dyDescent="0.25">
      <c r="A51" s="68"/>
      <c r="B51" s="68"/>
      <c r="C51" s="68"/>
      <c r="D51" s="68"/>
      <c r="E51" s="68"/>
      <c r="F51" s="68"/>
      <c r="G51" s="68"/>
      <c r="H51" s="68"/>
      <c r="I51" s="68"/>
      <c r="J51" s="68"/>
      <c r="K51" s="68"/>
      <c r="L51" s="68"/>
      <c r="M51" s="68"/>
      <c r="N51" s="68"/>
      <c r="O51" s="68"/>
      <c r="P51" s="68"/>
      <c r="Q51" s="68"/>
      <c r="R51" s="69"/>
      <c r="S51" s="68"/>
      <c r="T51" s="68"/>
      <c r="U51" s="63" t="s">
        <v>281</v>
      </c>
      <c r="V51" s="63"/>
      <c r="W51" s="45">
        <f>W50*86</f>
        <v>348.3191622602854</v>
      </c>
      <c r="X51" s="68"/>
    </row>
  </sheetData>
  <mergeCells count="3">
    <mergeCell ref="U51:V51"/>
    <mergeCell ref="U50:V50"/>
    <mergeCell ref="A1:X1"/>
  </mergeCells>
  <conditionalFormatting sqref="I2:J16 I20:J49">
    <cfRule type="cellIs" dxfId="0" priority="4" stopIfTrue="1" operator="equal">
      <formula>"Panasonic"</formula>
    </cfRule>
  </conditionalFormatting>
  <hyperlinks>
    <hyperlink ref="X3" r:id="rId1" xr:uid="{5D4BAA2C-9B23-4EB7-9215-CD35E7A2DB17}"/>
    <hyperlink ref="X5" r:id="rId2" xr:uid="{3564B111-08F0-4DBB-92CB-26EA312D3811}"/>
    <hyperlink ref="X6" r:id="rId3" xr:uid="{A2CAC533-AF3A-443D-9851-616FE448E634}"/>
    <hyperlink ref="X8" r:id="rId4" xr:uid="{AEA901C1-904D-4480-977C-1E9F1EE6F6E3}"/>
    <hyperlink ref="X10" r:id="rId5" xr:uid="{406C8566-53FF-4E5C-BF27-66A1A36670C3}"/>
    <hyperlink ref="X12" r:id="rId6" xr:uid="{D28D037C-36EE-4CB8-AD44-F937FEF49B59}"/>
    <hyperlink ref="X13" r:id="rId7" xr:uid="{995C03F1-8B5A-4F28-9A9A-CED39BD415EA}"/>
    <hyperlink ref="X15" r:id="rId8" xr:uid="{33C1BC09-9B61-41E3-BC5B-0F6FA01B9DFB}"/>
    <hyperlink ref="X20" r:id="rId9" xr:uid="{28EFB9EA-36AF-4067-AC9C-1DE21FD641A3}"/>
    <hyperlink ref="X21" r:id="rId10" xr:uid="{63B44291-817F-429B-93AA-9987880AABDB}"/>
    <hyperlink ref="X22" r:id="rId11" xr:uid="{BADB22D4-6867-433D-ACB5-8E7833AEF223}"/>
    <hyperlink ref="X23" r:id="rId12" xr:uid="{E7F039C1-ADBF-41D1-9D48-2326E8D121E9}"/>
    <hyperlink ref="X24" r:id="rId13" xr:uid="{A9DC5946-7E14-4101-B1DD-47D29799AEC9}"/>
    <hyperlink ref="X25" r:id="rId14" xr:uid="{B252ACE4-D3A9-4EE5-9D58-943893DD8716}"/>
    <hyperlink ref="X26" r:id="rId15" xr:uid="{4537B5E7-C09D-4713-8CAE-1AD6EF46026A}"/>
    <hyperlink ref="X28" r:id="rId16" xr:uid="{024CBE12-F249-43AB-BF7C-F86175DCC916}"/>
    <hyperlink ref="X27" r:id="rId17" xr:uid="{EA7EC386-A142-443D-8CA9-2A93776D3D65}"/>
    <hyperlink ref="X30" r:id="rId18" xr:uid="{3C040744-0A14-4895-876A-8C5E4148B6F5}"/>
    <hyperlink ref="X4" r:id="rId19" xr:uid="{88B358D3-4D84-4901-8A58-44BBE4507E6F}"/>
    <hyperlink ref="X7" r:id="rId20" xr:uid="{EA609A3E-8859-4740-9141-F14396574731}"/>
    <hyperlink ref="X11" r:id="rId21" xr:uid="{966D2694-8C3D-434F-B26B-FA9AABB6FD81}"/>
    <hyperlink ref="X14" r:id="rId22" xr:uid="{FEC86E23-A61A-4975-9A70-DF9208B21D85}"/>
    <hyperlink ref="X16" r:id="rId23" xr:uid="{B5E419BD-3562-4FDA-AD65-BD410667B882}"/>
    <hyperlink ref="X18" r:id="rId24" xr:uid="{64E93C11-873B-4775-8335-43C68AABAC85}"/>
    <hyperlink ref="X17" r:id="rId25" xr:uid="{165BEAE8-E624-4BAD-9F56-760593BA74E1}"/>
    <hyperlink ref="X19" r:id="rId26" xr:uid="{3781C7F3-6409-4C78-9216-DE95D8A8E3E0}"/>
    <hyperlink ref="X29" r:id="rId27" xr:uid="{AFE06443-8183-4BBA-8989-EEE8098615FC}"/>
    <hyperlink ref="X31" r:id="rId28" xr:uid="{2AD5DDE9-FF20-4298-9AB0-30F9C8A93DB2}"/>
    <hyperlink ref="X32" r:id="rId29" xr:uid="{BDE70E1E-AA28-418C-86C1-FFDAE6BAC82D}"/>
    <hyperlink ref="X34" r:id="rId30" xr:uid="{823C59C3-3F66-4D7E-8E65-6CB02B51C920}"/>
    <hyperlink ref="X35" r:id="rId31" xr:uid="{C3E823D9-E26A-4774-92E8-40E859754D57}"/>
    <hyperlink ref="X36" r:id="rId32" xr:uid="{91149A52-B54C-404A-A5AF-0E93286C8C5A}"/>
    <hyperlink ref="X37" r:id="rId33" xr:uid="{EF618D22-1949-408B-B9CC-FFC4ACA6363B}"/>
    <hyperlink ref="X38" r:id="rId34" xr:uid="{E71C93E2-8848-43B9-9B13-78502869FA70}"/>
  </hyperlinks>
  <pageMargins left="0.25" right="0.25" top="0.75" bottom="0.75" header="0.3" footer="0.3"/>
  <pageSetup paperSize="9" scale="23" fitToHeight="0" orientation="portrait" r:id="rId35"/>
  <headerFooter>
    <oddFooter>&amp;L&amp;1#&amp;"Calibri"&amp;8&amp;K000000Classified as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Wire Harness_BOM</vt:lpstr>
      <vt:lpstr>PCBA_BOM</vt:lpstr>
      <vt:lpstr>PCBA_BOM!Print_Area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Manjunath G</dc:creator>
  <cp:lastModifiedBy>Thirunavukkarasu Vengatraman</cp:lastModifiedBy>
  <cp:lastPrinted>2025-04-09T01:52:10Z</cp:lastPrinted>
  <dcterms:created xsi:type="dcterms:W3CDTF">2025-03-15T16:29:50Z</dcterms:created>
  <dcterms:modified xsi:type="dcterms:W3CDTF">2025-04-09T02:14:45Z</dcterms:modified>
</cp:coreProperties>
</file>