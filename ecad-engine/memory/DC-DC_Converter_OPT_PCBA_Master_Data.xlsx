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emithran\ecad-engine\memory\"/>
    </mc:Choice>
  </mc:AlternateContent>
  <xr:revisionPtr revIDLastSave="0" documentId="13_ncr:1_{86AF9ED5-41CD-4CBB-8943-6902631C2A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DC_Overview" sheetId="2" r:id="rId2"/>
    <sheet name="DC_Teardown" sheetId="3" r:id="rId3"/>
    <sheet name="DC_PCBA_BOM" sheetId="4" r:id="rId4"/>
    <sheet name="DC_PCBA_Features" sheetId="5" r:id="rId5"/>
    <sheet name="DC_PCBA_Cost" sheetId="6" r:id="rId6"/>
    <sheet name="DC_WH_BOM" sheetId="7" r:id="rId7"/>
    <sheet name="DC_Body_Casting" sheetId="8" r:id="rId8"/>
    <sheet name="DC_Assembly_Cost" sheetId="9" r:id="rId9"/>
    <sheet name="DC_Process_Routing" sheetId="10" r:id="rId10"/>
    <sheet name="DC_Cost_Scenarios" sheetId="11" r:id="rId11"/>
    <sheet name="DC_VAVE_Suppliers" sheetId="12" r:id="rId12"/>
    <sheet name="OPT_PCBA_BOM" sheetId="13" r:id="rId13"/>
    <sheet name="OPT_PnP_FL285182" sheetId="14" r:id="rId14"/>
    <sheet name="OPT_PnP_LI15020" sheetId="15" r:id="rId15"/>
    <sheet name="OPT_PCB_Specs" sheetId="16" r:id="rId16"/>
    <sheet name="OPT_PCB_Features" sheetId="17" r:id="rId17"/>
    <sheet name="OPT_Harness" sheetId="18" r:id="rId18"/>
    <sheet name="Data_Issues" sheetId="19" r:id="rId19"/>
  </sheets>
  <definedNames>
    <definedName name="USD_INR">README!$B$39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7" l="1"/>
  <c r="B34" i="17"/>
  <c r="C33" i="17"/>
  <c r="C28" i="17"/>
  <c r="B28" i="17"/>
  <c r="C25" i="17"/>
  <c r="B25" i="17"/>
  <c r="C24" i="17"/>
  <c r="B24" i="17"/>
  <c r="C23" i="17"/>
  <c r="B23" i="17"/>
  <c r="C19" i="17"/>
  <c r="B19" i="17"/>
  <c r="C18" i="17"/>
  <c r="B18" i="17"/>
  <c r="C17" i="17"/>
  <c r="B17" i="17"/>
  <c r="C16" i="17"/>
  <c r="B16" i="17"/>
  <c r="C9" i="17"/>
  <c r="C10" i="17" s="1"/>
  <c r="B9" i="17"/>
  <c r="B10" i="17" s="1"/>
  <c r="G30" i="12"/>
  <c r="G29" i="12"/>
  <c r="G28" i="12"/>
  <c r="G53" i="11"/>
  <c r="G52" i="11"/>
  <c r="G51" i="11"/>
  <c r="E46" i="11"/>
  <c r="F46" i="11" s="1"/>
  <c r="E45" i="11"/>
  <c r="F45" i="11" s="1"/>
  <c r="E44" i="11"/>
  <c r="F44" i="11" s="1"/>
  <c r="B39" i="11"/>
  <c r="B38" i="11"/>
  <c r="B37" i="11"/>
  <c r="B36" i="11"/>
  <c r="B35" i="11"/>
  <c r="B34" i="11"/>
  <c r="C29" i="11"/>
  <c r="B29" i="11"/>
  <c r="D28" i="11"/>
  <c r="E28" i="11" s="1"/>
  <c r="D27" i="11"/>
  <c r="E27" i="11" s="1"/>
  <c r="D26" i="11"/>
  <c r="E26" i="11" s="1"/>
  <c r="D25" i="11"/>
  <c r="E25" i="11" s="1"/>
  <c r="D24" i="11"/>
  <c r="E24" i="11" s="1"/>
  <c r="D23" i="11"/>
  <c r="E23" i="11" s="1"/>
  <c r="J18" i="9"/>
  <c r="I18" i="9"/>
  <c r="K18" i="9" s="1"/>
  <c r="J17" i="9"/>
  <c r="I17" i="9"/>
  <c r="K17" i="9" s="1"/>
  <c r="J16" i="9"/>
  <c r="I16" i="9"/>
  <c r="K16" i="9" s="1"/>
  <c r="J15" i="9"/>
  <c r="I15" i="9"/>
  <c r="K15" i="9" s="1"/>
  <c r="J14" i="9"/>
  <c r="I14" i="9"/>
  <c r="K14" i="9" s="1"/>
  <c r="J13" i="9"/>
  <c r="I13" i="9"/>
  <c r="K13" i="9" s="1"/>
  <c r="J12" i="9"/>
  <c r="I12" i="9"/>
  <c r="K12" i="9" s="1"/>
  <c r="K19" i="9" s="1"/>
  <c r="C24" i="9" s="1"/>
  <c r="C26" i="9" s="1"/>
  <c r="H8" i="9"/>
  <c r="H7" i="9"/>
  <c r="H6" i="9"/>
  <c r="H5" i="9"/>
  <c r="H9" i="9" s="1"/>
  <c r="C23" i="9" s="1"/>
  <c r="E230" i="8"/>
  <c r="E213" i="8"/>
  <c r="E212" i="8"/>
  <c r="E211" i="8"/>
  <c r="E210" i="8"/>
  <c r="E209" i="8"/>
  <c r="E208" i="8"/>
  <c r="E214" i="8" s="1"/>
  <c r="B183" i="8"/>
  <c r="D182" i="8"/>
  <c r="D181" i="8"/>
  <c r="D180" i="8"/>
  <c r="D179" i="8"/>
  <c r="D178" i="8"/>
  <c r="D177" i="8"/>
  <c r="D176" i="8"/>
  <c r="D183" i="8" s="1"/>
  <c r="B170" i="8"/>
  <c r="B115" i="8"/>
  <c r="B121" i="8" s="1"/>
  <c r="B106" i="8"/>
  <c r="B120" i="8" s="1"/>
  <c r="F69" i="8"/>
  <c r="D69" i="8"/>
  <c r="C69" i="8"/>
  <c r="B69" i="8"/>
  <c r="B80" i="8" s="1"/>
  <c r="B119" i="8" s="1"/>
  <c r="B38" i="8"/>
  <c r="B41" i="8" s="1"/>
  <c r="B36" i="8"/>
  <c r="B35" i="8"/>
  <c r="B40" i="8" s="1"/>
  <c r="B42" i="8" s="1"/>
  <c r="B118" i="8" s="1"/>
  <c r="I24" i="7"/>
  <c r="J24" i="7" s="1"/>
  <c r="M24" i="7" s="1"/>
  <c r="F24" i="7"/>
  <c r="I23" i="7"/>
  <c r="J23" i="7" s="1"/>
  <c r="M23" i="7" s="1"/>
  <c r="F23" i="7"/>
  <c r="I22" i="7"/>
  <c r="J22" i="7" s="1"/>
  <c r="M22" i="7" s="1"/>
  <c r="M26" i="7" s="1"/>
  <c r="F22" i="7"/>
  <c r="I21" i="7"/>
  <c r="J21" i="7" s="1"/>
  <c r="M21" i="7" s="1"/>
  <c r="F21" i="7"/>
  <c r="I20" i="7"/>
  <c r="J20" i="7" s="1"/>
  <c r="M20" i="7" s="1"/>
  <c r="F20" i="7"/>
  <c r="I19" i="7"/>
  <c r="J19" i="7" s="1"/>
  <c r="M19" i="7" s="1"/>
  <c r="F19" i="7"/>
  <c r="I18" i="7"/>
  <c r="J18" i="7" s="1"/>
  <c r="M18" i="7" s="1"/>
  <c r="F18" i="7"/>
  <c r="I17" i="7"/>
  <c r="J17" i="7" s="1"/>
  <c r="M17" i="7" s="1"/>
  <c r="F17" i="7"/>
  <c r="B41" i="6"/>
  <c r="E33" i="6"/>
  <c r="B24" i="6"/>
  <c r="B23" i="6"/>
  <c r="B29" i="6" s="1"/>
  <c r="C18" i="6"/>
  <c r="C17" i="6"/>
  <c r="F16" i="6"/>
  <c r="C16" i="6"/>
  <c r="C15" i="6"/>
  <c r="C19" i="6" s="1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B33" i="5"/>
  <c r="B30" i="5"/>
  <c r="B22" i="5"/>
  <c r="B21" i="5"/>
  <c r="B20" i="5"/>
  <c r="B19" i="5"/>
  <c r="B18" i="5"/>
  <c r="B17" i="5"/>
  <c r="B16" i="5"/>
  <c r="B15" i="5"/>
  <c r="B14" i="5"/>
  <c r="B12" i="5"/>
  <c r="B11" i="5"/>
  <c r="B13" i="5" s="1"/>
  <c r="B9" i="5"/>
  <c r="B8" i="5"/>
  <c r="B10" i="5" s="1"/>
  <c r="B7" i="5"/>
  <c r="B6" i="5"/>
  <c r="B5" i="5"/>
  <c r="Y41" i="4"/>
  <c r="Z41" i="4" s="1"/>
  <c r="V41" i="4"/>
  <c r="Y40" i="4"/>
  <c r="Z40" i="4" s="1"/>
  <c r="AA40" i="4" s="1"/>
  <c r="V40" i="4"/>
  <c r="Y39" i="4"/>
  <c r="Z39" i="4" s="1"/>
  <c r="AA39" i="4" s="1"/>
  <c r="V39" i="4"/>
  <c r="Y38" i="4"/>
  <c r="Z38" i="4" s="1"/>
  <c r="AA38" i="4" s="1"/>
  <c r="V38" i="4"/>
  <c r="Y37" i="4"/>
  <c r="Z37" i="4" s="1"/>
  <c r="V37" i="4"/>
  <c r="Y36" i="4"/>
  <c r="Z36" i="4" s="1"/>
  <c r="AA36" i="4" s="1"/>
  <c r="V36" i="4"/>
  <c r="Y35" i="4"/>
  <c r="Z35" i="4" s="1"/>
  <c r="AA35" i="4" s="1"/>
  <c r="V35" i="4"/>
  <c r="Y34" i="4"/>
  <c r="Z34" i="4" s="1"/>
  <c r="V34" i="4"/>
  <c r="Y33" i="4"/>
  <c r="Z33" i="4" s="1"/>
  <c r="AA33" i="4" s="1"/>
  <c r="V33" i="4"/>
  <c r="Y32" i="4"/>
  <c r="Z32" i="4" s="1"/>
  <c r="V32" i="4"/>
  <c r="Y31" i="4"/>
  <c r="Z31" i="4" s="1"/>
  <c r="V31" i="4"/>
  <c r="Y30" i="4"/>
  <c r="Z30" i="4" s="1"/>
  <c r="AA30" i="4" s="1"/>
  <c r="V30" i="4"/>
  <c r="Y29" i="4"/>
  <c r="Z29" i="4" s="1"/>
  <c r="AA29" i="4" s="1"/>
  <c r="V29" i="4"/>
  <c r="Y28" i="4"/>
  <c r="Z28" i="4" s="1"/>
  <c r="AA28" i="4" s="1"/>
  <c r="V28" i="4"/>
  <c r="Y27" i="4"/>
  <c r="Z27" i="4" s="1"/>
  <c r="AA27" i="4" s="1"/>
  <c r="V27" i="4"/>
  <c r="Y26" i="4"/>
  <c r="Z26" i="4" s="1"/>
  <c r="AA26" i="4" s="1"/>
  <c r="V26" i="4"/>
  <c r="Y25" i="4"/>
  <c r="Z25" i="4" s="1"/>
  <c r="AA25" i="4" s="1"/>
  <c r="V25" i="4"/>
  <c r="Y24" i="4"/>
  <c r="Z24" i="4" s="1"/>
  <c r="V24" i="4"/>
  <c r="Y23" i="4"/>
  <c r="Z23" i="4" s="1"/>
  <c r="AA23" i="4" s="1"/>
  <c r="V23" i="4"/>
  <c r="Y22" i="4"/>
  <c r="Z22" i="4" s="1"/>
  <c r="AA22" i="4" s="1"/>
  <c r="V22" i="4"/>
  <c r="Y21" i="4"/>
  <c r="Z21" i="4" s="1"/>
  <c r="AA21" i="4" s="1"/>
  <c r="V21" i="4"/>
  <c r="Y20" i="4"/>
  <c r="Z20" i="4" s="1"/>
  <c r="AA20" i="4" s="1"/>
  <c r="V20" i="4"/>
  <c r="Y19" i="4"/>
  <c r="Z19" i="4" s="1"/>
  <c r="V19" i="4"/>
  <c r="Y18" i="4"/>
  <c r="Z18" i="4" s="1"/>
  <c r="AA18" i="4" s="1"/>
  <c r="V18" i="4"/>
  <c r="Y17" i="4"/>
  <c r="Z17" i="4" s="1"/>
  <c r="V17" i="4"/>
  <c r="Y16" i="4"/>
  <c r="Z16" i="4" s="1"/>
  <c r="V16" i="4"/>
  <c r="Y15" i="4"/>
  <c r="Z15" i="4" s="1"/>
  <c r="AA15" i="4" s="1"/>
  <c r="V15" i="4"/>
  <c r="Y14" i="4"/>
  <c r="Z14" i="4" s="1"/>
  <c r="V14" i="4"/>
  <c r="Y13" i="4"/>
  <c r="Z13" i="4" s="1"/>
  <c r="V13" i="4"/>
  <c r="Y12" i="4"/>
  <c r="Z12" i="4" s="1"/>
  <c r="AA12" i="4" s="1"/>
  <c r="V12" i="4"/>
  <c r="Y11" i="4"/>
  <c r="Z11" i="4" s="1"/>
  <c r="AA11" i="4" s="1"/>
  <c r="V11" i="4"/>
  <c r="Y10" i="4"/>
  <c r="Z10" i="4" s="1"/>
  <c r="V10" i="4"/>
  <c r="Y9" i="4"/>
  <c r="Z9" i="4" s="1"/>
  <c r="AA9" i="4" s="1"/>
  <c r="V9" i="4"/>
  <c r="Y8" i="4"/>
  <c r="Z8" i="4" s="1"/>
  <c r="V8" i="4"/>
  <c r="Y7" i="4"/>
  <c r="Z7" i="4" s="1"/>
  <c r="V7" i="4"/>
  <c r="Y6" i="4"/>
  <c r="Z6" i="4" s="1"/>
  <c r="V6" i="4"/>
  <c r="Y5" i="4"/>
  <c r="Z5" i="4" s="1"/>
  <c r="V5" i="4"/>
  <c r="B26" i="2"/>
  <c r="B28" i="2" s="1"/>
  <c r="C39" i="11" l="1"/>
  <c r="C38" i="11"/>
  <c r="C37" i="11"/>
  <c r="C36" i="11"/>
  <c r="C35" i="11"/>
  <c r="C34" i="11"/>
  <c r="D29" i="11"/>
  <c r="E29" i="11" s="1"/>
  <c r="D34" i="11"/>
  <c r="D35" i="11"/>
  <c r="D36" i="11"/>
  <c r="D37" i="11"/>
  <c r="D38" i="11"/>
  <c r="D39" i="11"/>
  <c r="C25" i="9"/>
  <c r="C27" i="9"/>
  <c r="E233" i="8"/>
  <c r="E234" i="8"/>
  <c r="E236" i="8"/>
  <c r="B122" i="8"/>
  <c r="C118" i="8" s="1"/>
  <c r="AA41" i="4"/>
  <c r="D52" i="5"/>
  <c r="AA37" i="4"/>
  <c r="D41" i="5"/>
  <c r="AA34" i="4"/>
  <c r="D50" i="5"/>
  <c r="AA32" i="4"/>
  <c r="D49" i="5"/>
  <c r="AA31" i="4"/>
  <c r="D51" i="5"/>
  <c r="AA24" i="4"/>
  <c r="D37" i="5"/>
  <c r="AA19" i="4"/>
  <c r="D48" i="5"/>
  <c r="AA17" i="4"/>
  <c r="D42" i="5"/>
  <c r="AA16" i="4"/>
  <c r="D47" i="5"/>
  <c r="AA14" i="4"/>
  <c r="D44" i="5"/>
  <c r="AA13" i="4"/>
  <c r="D39" i="5"/>
  <c r="AA10" i="4"/>
  <c r="D46" i="5"/>
  <c r="AA8" i="4"/>
  <c r="D43" i="5"/>
  <c r="AA7" i="4"/>
  <c r="D40" i="5"/>
  <c r="AA6" i="4"/>
  <c r="D38" i="5"/>
  <c r="AA5" i="4"/>
  <c r="B25" i="5"/>
  <c r="Z43" i="4"/>
  <c r="D45" i="5"/>
  <c r="M25" i="7"/>
  <c r="C28" i="9" l="1"/>
  <c r="C29" i="9" s="1"/>
  <c r="C119" i="8"/>
  <c r="C121" i="8"/>
  <c r="C120" i="8"/>
  <c r="B26" i="5"/>
  <c r="B23" i="5"/>
  <c r="B27" i="5" s="1"/>
  <c r="AA43" i="4"/>
  <c r="Z44" i="4"/>
  <c r="C31" i="7"/>
  <c r="M27" i="7"/>
  <c r="AA44" i="4" l="1"/>
  <c r="Z45" i="4"/>
  <c r="AA45" i="4" s="1"/>
  <c r="B24" i="5" s="1"/>
  <c r="C22" i="12"/>
  <c r="C23" i="12"/>
  <c r="C24" i="12"/>
  <c r="B28" i="5"/>
  <c r="B29" i="5"/>
  <c r="C33" i="7"/>
  <c r="C38" i="7" s="1"/>
  <c r="C34" i="7"/>
  <c r="C35" i="7"/>
  <c r="C36" i="7"/>
  <c r="C3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builder</author>
  </authors>
  <commentList>
    <comment ref="F1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MPN blank in source; report p9 also blank.</t>
        </r>
      </text>
    </comment>
    <comment ref="F2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MPN blank in source; report p9 also blank.</t>
        </r>
      </text>
    </comment>
    <comment ref="W4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Bare PCB price "As per the calculation" – see DC_PCBA_Cost bare-PCB should-cost (INR 34.785 → USD ~0.40).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builder</author>
  </authors>
  <commentList>
    <comment ref="E69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Shot blasting ₹15/kg × part weight ≈ ₹1.17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builder</author>
  </authors>
  <commentList>
    <comment ref="G8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Report shows ₹0.06/ml rounded; ₹6.04 total ⇒ ₹0.0559/ml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builder</author>
  </authors>
  <commentList>
    <comment ref="E5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Source table prints 50000 for DC-00 S2 batch; treated as typo for 5000.</t>
        </r>
      </text>
    </comment>
  </commentList>
</comments>
</file>

<file path=xl/sharedStrings.xml><?xml version="1.0" encoding="utf-8"?>
<sst xmlns="http://schemas.openxmlformats.org/spreadsheetml/2006/main" count="6163" uniqueCount="2439">
  <si>
    <t>Emithran ECAD Engine – Reverse-Engineering Master Data</t>
  </si>
  <si>
    <t>Electronic-module feature extraction &amp; should-costing reference set. Built 2026-10-20.</t>
  </si>
  <si>
    <t>Sources</t>
  </si>
  <si>
    <t>Source file</t>
  </si>
  <si>
    <t>Content</t>
  </si>
  <si>
    <t>Used in sheets</t>
  </si>
  <si>
    <t>DC DC Convertor Final Report (EMUSKI) (3).pdf, 45 pages</t>
  </si>
  <si>
    <t>Numeros Motors DC-DC converter teardown, BOMs, should-cost, casting/tooling, VAVE, supplier negotiation</t>
  </si>
  <si>
    <t>DC_Overview … DC_VAVE_Suppliers</t>
  </si>
  <si>
    <t>BOM-Cost.xlsx (memory folder)</t>
  </si>
  <si>
    <t>Native Excel behind report pages 28–30 (PCBA &amp; WH BOM cost)</t>
  </si>
  <si>
    <t>DC_PCBA_BOM, DC_WH_BOM</t>
  </si>
  <si>
    <t>WH Summary Report.xlsx (memory folder)</t>
  </si>
  <si>
    <t>Native Excel behind report page 27 (WH should-cost summary)</t>
  </si>
  <si>
    <t>DC_WH_BOM</t>
  </si>
  <si>
    <t>PCBA + Harness Drawing - FL285182 + LI15020.zip</t>
  </si>
  <si>
    <t>OPT Machine Vision LED-light PCBAs: BOM xlsx, PCB requirement docx, 2 PCB drawings, Gerbers, NC drill, pick&amp;place, 2 cable-harness drawings</t>
  </si>
  <si>
    <t>OPT_* sheets</t>
  </si>
  <si>
    <t>Sheet index</t>
  </si>
  <si>
    <t>Sheet</t>
  </si>
  <si>
    <t>What it holds</t>
  </si>
  <si>
    <t>DC_Overview</t>
  </si>
  <si>
    <t>Customer, scope, product spec, physical dims, potting calc, top-level BOM</t>
  </si>
  <si>
    <t>DC_Teardown</t>
  </si>
  <si>
    <t>Teardown balloon list and assembly-fitting / joining method</t>
  </si>
  <si>
    <t>DC_PCBA_BOM</t>
  </si>
  <si>
    <t>37-line PCBA BOM: identification (side, family, marking) + cost (MPN, price, discount) with live formulas</t>
  </si>
  <si>
    <t>DC_PCBA_Features</t>
  </si>
  <si>
    <t>Formula-driven feature extraction from the PCBA BOM (counts by mount type, side, category, package)</t>
  </si>
  <si>
    <t>DC_PCBA_Cost</t>
  </si>
  <si>
    <t>PCBA assembly should-cost (p25) and bare-PCB should-cost (p26)</t>
  </si>
  <si>
    <t>Wiring harness components (p14), BOM cost (p28) and should-cost summary (p27)</t>
  </si>
  <si>
    <t>DC_Body_Casting</t>
  </si>
  <si>
    <t>ADC12 HPDC body: dims, material, ops 20–70, overheads, runner/tonnage/cycle, alloy, mould cost</t>
  </si>
  <si>
    <t>DC_Assembly_Cost</t>
  </si>
  <si>
    <t>Final assembly cost estimate DC-00 (p24) with formulas</t>
  </si>
  <si>
    <t>DC_Process_Routing</t>
  </si>
  <si>
    <t>Process routings: PCBA, bare PCB, wire harness, casting</t>
  </si>
  <si>
    <t>DC_Cost_Scenarios</t>
  </si>
  <si>
    <t>Costing assumptions, Scenario 1 vs 2, Pareto, cost proposition</t>
  </si>
  <si>
    <t>DC_VAVE_Suppliers</t>
  </si>
  <si>
    <t>VAVE ideas, supplier quotes vs should-cost, take-aways</t>
  </si>
  <si>
    <t>OPT_PCBA_BOM</t>
  </si>
  <si>
    <t>OPT LED-light PCBA BOM (LI15020-W, FL285182-W)</t>
  </si>
  <si>
    <t>OPT_PCB_Specs</t>
  </si>
  <si>
    <t>PCB fabrication requirements (4 models), drawing title-block data, NC-drill reports, Gerber layer inventory</t>
  </si>
  <si>
    <t>OPT_PCB_Features</t>
  </si>
  <si>
    <t>Features extracted from Gerber outline + drill + pick&amp;place (area, utilisation, densities, counts)</t>
  </si>
  <si>
    <t>OPT_PnP_FL285182</t>
  </si>
  <si>
    <t>Full pick-and-place, OPT-FL285182-X6-V1.0.2 (626 placements)</t>
  </si>
  <si>
    <t>OPT_PnP_LI15020</t>
  </si>
  <si>
    <t>Full pick-and-place, OPT-LI15020-X7-V2.3.2 2-up panel (192 placements)</t>
  </si>
  <si>
    <t>OPT_Harness</t>
  </si>
  <si>
    <t>GYXL-2P-R-N / R-Y robot-cable harness drawings: variants, dimensions, tech requirements</t>
  </si>
  <si>
    <t>Data_Issues</t>
  </si>
  <si>
    <t>Inconsistencies found in the source documents – check before training/validating the engine</t>
  </si>
  <si>
    <t>Legend</t>
  </si>
  <si>
    <t>Blue text = hard-coded value transcribed from a source document</t>
  </si>
  <si>
    <t>Black text = formula / calculated in this workbook</t>
  </si>
  <si>
    <t>Green text = link to another sheet</t>
  </si>
  <si>
    <t>Yellow fill = key assumption you can edit (e.g. USD→INR rate)</t>
  </si>
  <si>
    <t>Global assumptions</t>
  </si>
  <si>
    <t>USD → INR exchange rate</t>
  </si>
  <si>
    <t>INR per USD</t>
  </si>
  <si>
    <t>Back-solved from source: Total BoM USD 4.0502 → INR 348.32 (BOM-Cost.xlsx); WH 0.10526 USD → 9.0526 INR</t>
  </si>
  <si>
    <t>DC-DC Converter – Project &amp; Product Overview</t>
  </si>
  <si>
    <t>Source: DC DC Convertor Final Report (EMUSKI) pp. 3–7, 16</t>
  </si>
  <si>
    <t>Project</t>
  </si>
  <si>
    <t>Customer</t>
  </si>
  <si>
    <t>Numeros Motors Pvt Ltd</t>
  </si>
  <si>
    <t>p3 – EV OEM, commercial 2-wheelers</t>
  </si>
  <si>
    <t>Analysis by</t>
  </si>
  <si>
    <t>EMUSKI (Salem, Tamil Nadu)</t>
  </si>
  <si>
    <t>p1</t>
  </si>
  <si>
    <t>Scope</t>
  </si>
  <si>
    <t>Complete teardown, component study, should-costing, VAVE</t>
  </si>
  <si>
    <t>p3 §2.1</t>
  </si>
  <si>
    <t>Annual demand</t>
  </si>
  <si>
    <t>units/yr</t>
  </si>
  <si>
    <t>p3 §2.2</t>
  </si>
  <si>
    <t>Current sourcing</t>
  </si>
  <si>
    <t>Domestic supplier, proprietary part (no customer design)</t>
  </si>
  <si>
    <t>p3</t>
  </si>
  <si>
    <t>Should-cost date</t>
  </si>
  <si>
    <t>15-03-2025</t>
  </si>
  <si>
    <t>p25/26</t>
  </si>
  <si>
    <t>Device specification (market + teardown)</t>
  </si>
  <si>
    <t>Input voltage</t>
  </si>
  <si>
    <t>36 – 72 V DC</t>
  </si>
  <si>
    <t>p5 §3.4</t>
  </si>
  <si>
    <t>Output voltage</t>
  </si>
  <si>
    <t>12 V ± 0.5 V</t>
  </si>
  <si>
    <t>p5</t>
  </si>
  <si>
    <t>Output current</t>
  </si>
  <si>
    <t>10 – 15 A</t>
  </si>
  <si>
    <t>Converter type</t>
  </si>
  <si>
    <t>DC/DC power converter (synchronous buck, TI LM5116 controller)</t>
  </si>
  <si>
    <t>p5 + BOM</t>
  </si>
  <si>
    <t>Wiring</t>
  </si>
  <si>
    <t>Red: Input, Black: Cathode (GND), Yellow: Output</t>
  </si>
  <si>
    <t>Overall product weight</t>
  </si>
  <si>
    <t>g</t>
  </si>
  <si>
    <t>Max product width</t>
  </si>
  <si>
    <t>mm</t>
  </si>
  <si>
    <t>Max product length (incl. harness)</t>
  </si>
  <si>
    <t>Potting compound consumption</t>
  </si>
  <si>
    <t>Body inside length</t>
  </si>
  <si>
    <t>p7</t>
  </si>
  <si>
    <t>Body inside width</t>
  </si>
  <si>
    <t>Body inside depth</t>
  </si>
  <si>
    <t>Fill volume</t>
  </si>
  <si>
    <t>ml</t>
  </si>
  <si>
    <t>report: 108,000 mm³ = 108 ml</t>
  </si>
  <si>
    <t>Potting density</t>
  </si>
  <si>
    <t>g/ml</t>
  </si>
  <si>
    <t>Potting weight</t>
  </si>
  <si>
    <t>report: 118.8 g</t>
  </si>
  <si>
    <t>Material</t>
  </si>
  <si>
    <t>Black epoxy encapsulating &amp; potting compound</t>
  </si>
  <si>
    <t>Top-level BOM (p7)</t>
  </si>
  <si>
    <t>S.no</t>
  </si>
  <si>
    <t>Level</t>
  </si>
  <si>
    <t>Part Number</t>
  </si>
  <si>
    <t>Description</t>
  </si>
  <si>
    <t>Material Grade</t>
  </si>
  <si>
    <t>Commodity</t>
  </si>
  <si>
    <t>Qty/Assy</t>
  </si>
  <si>
    <t>UOM</t>
  </si>
  <si>
    <t>L0</t>
  </si>
  <si>
    <t>DC-00</t>
  </si>
  <si>
    <t>DC DC Convertor Assy</t>
  </si>
  <si>
    <t>-</t>
  </si>
  <si>
    <t>EM Assy</t>
  </si>
  <si>
    <t>EA</t>
  </si>
  <si>
    <t>L1</t>
  </si>
  <si>
    <t>DC-PCBA-00</t>
  </si>
  <si>
    <t>DC Convertor PCBA</t>
  </si>
  <si>
    <t>Electronics</t>
  </si>
  <si>
    <t>DC-WH-00</t>
  </si>
  <si>
    <t>Wiring Harness Assembly</t>
  </si>
  <si>
    <t>Electrical</t>
  </si>
  <si>
    <t>DC-ME-00</t>
  </si>
  <si>
    <t>DC Convertor Body</t>
  </si>
  <si>
    <t>ADC12</t>
  </si>
  <si>
    <t>Casting</t>
  </si>
  <si>
    <t>DC-C-00 (DC-01 in p24)</t>
  </si>
  <si>
    <t>Black Epoxy Encapsulating &amp; Potting Compound</t>
  </si>
  <si>
    <t>Chemical</t>
  </si>
  <si>
    <t>DC-DC Converter – Teardown &amp; Assembly Fitting</t>
  </si>
  <si>
    <t>Source: DC DC Convertor Final Report (EMUSKI) p6</t>
  </si>
  <si>
    <t>Teardown balloons</t>
  </si>
  <si>
    <t>Balloon</t>
  </si>
  <si>
    <t>Component</t>
  </si>
  <si>
    <t>Sub-assembly</t>
  </si>
  <si>
    <t>Body</t>
  </si>
  <si>
    <t>PCBA</t>
  </si>
  <si>
    <t>Grommet</t>
  </si>
  <si>
    <t>WH</t>
  </si>
  <si>
    <t>4,5,6</t>
  </si>
  <si>
    <t>Yellow, Black &amp; Red wire</t>
  </si>
  <si>
    <t>Tubing shrink black</t>
  </si>
  <si>
    <t>Wire seal</t>
  </si>
  <si>
    <t>Wire terminal</t>
  </si>
  <si>
    <t>Connector body</t>
  </si>
  <si>
    <t>Connector seal</t>
  </si>
  <si>
    <t>Potting compound</t>
  </si>
  <si>
    <t>Assembly fitting details (§4.2)</t>
  </si>
  <si>
    <t>Balloon No</t>
  </si>
  <si>
    <t>Component Name</t>
  </si>
  <si>
    <t>Type of Assembly</t>
  </si>
  <si>
    <t>Equipment</t>
  </si>
  <si>
    <t>2 to 1</t>
  </si>
  <si>
    <t>PCBA to Body</t>
  </si>
  <si>
    <t>Pick &amp; place, Adhesive fit (Resin)</t>
  </si>
  <si>
    <t>Resin melting &amp; pouring</t>
  </si>
  <si>
    <t>3 to 1</t>
  </si>
  <si>
    <t>Grommet to Body</t>
  </si>
  <si>
    <t>Snap fit</t>
  </si>
  <si>
    <t>Manual</t>
  </si>
  <si>
    <t>4,5,6 to 3</t>
  </si>
  <si>
    <t>Wire to Grommet</t>
  </si>
  <si>
    <t>Press fit</t>
  </si>
  <si>
    <t>4,5,6 to 2</t>
  </si>
  <si>
    <t>Wire to PCBA</t>
  </si>
  <si>
    <t>Soldering</t>
  </si>
  <si>
    <t>Solder</t>
  </si>
  <si>
    <t>7 to 4,5,6</t>
  </si>
  <si>
    <t>Tube Shrink to Wire</t>
  </si>
  <si>
    <t>Free fit</t>
  </si>
  <si>
    <t>8 to 4,5,6</t>
  </si>
  <si>
    <t>Wire to Wire Seal</t>
  </si>
  <si>
    <t>9 to 4,5,6</t>
  </si>
  <si>
    <t>Terminal to Wire</t>
  </si>
  <si>
    <t>Crimping</t>
  </si>
  <si>
    <t>10 to 9</t>
  </si>
  <si>
    <t>Terminal to Connector</t>
  </si>
  <si>
    <t>11 to 10</t>
  </si>
  <si>
    <t>Seal to Connector</t>
  </si>
  <si>
    <t>12 to 1</t>
  </si>
  <si>
    <t>Potting Compound to Body</t>
  </si>
  <si>
    <t>Adhesive</t>
  </si>
  <si>
    <t>Manual pouring</t>
  </si>
  <si>
    <t>DC-DC Converter PCBA (DC-PCBA-00) – Full BOM with Identification &amp; Cost</t>
  </si>
  <si>
    <t>Identification cols from report p9 (§4.4.1); cost cols from BOM-Cost.xlsx / report pp29–30. Price per unit at EAU 6000.</t>
  </si>
  <si>
    <t>Sr</t>
  </si>
  <si>
    <t>Part Ref</t>
  </si>
  <si>
    <t>Value / Specification</t>
  </si>
  <si>
    <t>Package / Footprint</t>
  </si>
  <si>
    <t>MPN</t>
  </si>
  <si>
    <t>Manufacturer</t>
  </si>
  <si>
    <t>Part Family (p9)</t>
  </si>
  <si>
    <t>Marking on component (p9)</t>
  </si>
  <si>
    <t>Mount (p9)</t>
  </si>
  <si>
    <t>Mount (cost BOM)</t>
  </si>
  <si>
    <t>Side (p9)</t>
  </si>
  <si>
    <t>Side (cost BOM)</t>
  </si>
  <si>
    <t>Category</t>
  </si>
  <si>
    <t>Pin count (cost BOM)</t>
  </si>
  <si>
    <t>Pin (p9)</t>
  </si>
  <si>
    <t>Class A/B</t>
  </si>
  <si>
    <t>Subsystem code</t>
  </si>
  <si>
    <t>Internal code</t>
  </si>
  <si>
    <t>Supplier-code column (raw)</t>
  </si>
  <si>
    <t>EAU</t>
  </si>
  <si>
    <t>Total Qty/Annum</t>
  </si>
  <si>
    <t>Volume Unit Price (USD)</t>
  </si>
  <si>
    <t>Discount %</t>
  </si>
  <si>
    <t>Unit Price (USD)</t>
  </si>
  <si>
    <t>Extended Price (USD)</t>
  </si>
  <si>
    <t>Extended Price (INR)</t>
  </si>
  <si>
    <t>Pricing Source</t>
  </si>
  <si>
    <t>Pin count (clean)</t>
  </si>
  <si>
    <t>DC-PCBA-1</t>
  </si>
  <si>
    <t>HT SCR 600V 20A TO263 AECQ</t>
  </si>
  <si>
    <t>TO-263-3</t>
  </si>
  <si>
    <t>SJ6020N1ATP</t>
  </si>
  <si>
    <t>Littelfuse Inc.</t>
  </si>
  <si>
    <t>Transistor</t>
  </si>
  <si>
    <t>SJ6020N121ND5</t>
  </si>
  <si>
    <t>SMD</t>
  </si>
  <si>
    <t>Bottom</t>
  </si>
  <si>
    <t>Top</t>
  </si>
  <si>
    <t>Active</t>
  </si>
  <si>
    <t>NA</t>
  </si>
  <si>
    <t>A</t>
  </si>
  <si>
    <t>PB0006696/001</t>
  </si>
  <si>
    <t>SHENGYI S1600
NANYA FR4-86-PY
DOOSAN DS-7405S
KINGBOARD KB6160C</t>
  </si>
  <si>
    <t>https://www.digikey.com/en/products/detail/littelfuse-inc/SJ6020N1ATP/11505877?curr=usd&amp;utm_campaign=buynow&amp;utm_medium=aggregator&amp;utm_source=octopart</t>
  </si>
  <si>
    <t>DC-PCBA-2</t>
  </si>
  <si>
    <t>Multilayer Ceramic Capacitors MLCC - SMD/SMT KAM15AR72A223KT NEW GLOBAL PN .022UF 100 A 581-KAM15AR72A223KT</t>
  </si>
  <si>
    <t>0603 (1608 metric)</t>
  </si>
  <si>
    <t>06031C223K4T2A</t>
  </si>
  <si>
    <t>KYOCERA AVX</t>
  </si>
  <si>
    <t>Capacitor-Small</t>
  </si>
  <si>
    <t>0.7 x 1.4 mm</t>
  </si>
  <si>
    <t>Passive</t>
  </si>
  <si>
    <t>B</t>
  </si>
  <si>
    <t>SignalDrive</t>
  </si>
  <si>
    <t>VC9999860</t>
  </si>
  <si>
    <t>X7R tolerance ±20%</t>
  </si>
  <si>
    <t>https://www.mouser.com/ProductDetail/KYOCERA-AVX/06031C223K4T2A?qs=xhbEVWpZdWeoFw5uxdy8jw%3D%3D</t>
  </si>
  <si>
    <t>DC-PCBA-3</t>
  </si>
  <si>
    <t>WSL-1206 .01 1% EA e3</t>
  </si>
  <si>
    <t>1206</t>
  </si>
  <si>
    <t>WSL1206R0100FEA</t>
  </si>
  <si>
    <t>Vishay</t>
  </si>
  <si>
    <t>Resistor</t>
  </si>
  <si>
    <t>R025</t>
  </si>
  <si>
    <t>VC9999719</t>
  </si>
  <si>
    <t>COG tolerance ±5%</t>
  </si>
  <si>
    <t>https://www.avnet.com/shop/us/products/vishay/wsl1206r0100fea-3074457345625291305?CMP=EMA_Octopart_inventoryfeed_VSE</t>
  </si>
  <si>
    <t>DC-PCBA-4</t>
  </si>
  <si>
    <t>Thick Film Resistors - SMD RLW73P A3 1% R010 600ppm 1k RL</t>
  </si>
  <si>
    <t>1225</t>
  </si>
  <si>
    <t>RLW73PA3FR010TDF</t>
  </si>
  <si>
    <t>TE Connectivity / CGS</t>
  </si>
  <si>
    <t>R010</t>
  </si>
  <si>
    <t>Connectors</t>
  </si>
  <si>
    <t>VC9999582</t>
  </si>
  <si>
    <t>X5R tolerance ±20%</t>
  </si>
  <si>
    <t>https://www.mouser.com/ProductDetail/TE-Connectivity-CGS/RLW73PA3FR010TDF?qs=8Wlm6%252BaMh8R9r5N9GC0%2FKw%3D%3D&amp;srsltid=AfmBOopUfUczM-okoX4Mp45P4v04yg4fRXAPquK4-878ODMXdbe2ny1f</t>
  </si>
  <si>
    <t>DC-PCBA-5</t>
  </si>
  <si>
    <t>630V 10 000pF C0G 12 06 5% AEC-Q200</t>
  </si>
  <si>
    <t>1206 (3216 mm)</t>
  </si>
  <si>
    <t>KAM31GCG2J103JU</t>
  </si>
  <si>
    <t>Capacitor-Medium</t>
  </si>
  <si>
    <t>3.2 x 1.5 x 1.8 mm</t>
  </si>
  <si>
    <t>LvDisp</t>
  </si>
  <si>
    <t>VC9999829</t>
  </si>
  <si>
    <t>https://www.mouser.com/ProductDetail/KYOCERA-AVX/KAM31GCG2J103JU?qs=Jm2GQyTW%2Fbgo0D%252B5IFLfEQ%3D%3D</t>
  </si>
  <si>
    <t>DC-PCBA-6</t>
  </si>
  <si>
    <t>IPD60N10 - 75V-100V N-Channel Automotive MOSFET</t>
  </si>
  <si>
    <t>PG-TO252-3</t>
  </si>
  <si>
    <t>IPD60N10S4L12ATMA1</t>
  </si>
  <si>
    <t>Infineon</t>
  </si>
  <si>
    <t>4N10L12 GAL403</t>
  </si>
  <si>
    <t>VC9999511</t>
  </si>
  <si>
    <t>2000h D=6.3mm H=8mm Ref. Part number: NICHICON - UCL1V101MCL6GS</t>
  </si>
  <si>
    <t>https://www.rocelec.com/part/01t4w00000PPBJpAAP-IPD60N10S4L12ATMA1</t>
  </si>
  <si>
    <t>DC-PCBA-7</t>
  </si>
  <si>
    <t>Thin Film Resistors - SMD 10Kohms .1% 25ppm</t>
  </si>
  <si>
    <t>0603</t>
  </si>
  <si>
    <t>1R00</t>
  </si>
  <si>
    <t>Decoupling</t>
  </si>
  <si>
    <t>VC9999809</t>
  </si>
  <si>
    <t>https://www.avnet.com/shop/us/products/vishay/tnpw060310k0been-3074457345624830694?CMP=EMA_Octopart_inventoryfeed_VSE</t>
  </si>
  <si>
    <t>DC-PCBA-8</t>
  </si>
  <si>
    <t>Thick Film Resistors 0.25watt 2.2ohms 5% 200ppm</t>
  </si>
  <si>
    <t>RCS06032R20JNEA</t>
  </si>
  <si>
    <t>Vishay / Dale</t>
  </si>
  <si>
    <t>2R2</t>
  </si>
  <si>
    <t>TOUCH</t>
  </si>
  <si>
    <t>VC9999674</t>
  </si>
  <si>
    <t>https://www.mouser.com/ProductDetail/Panasonic/ERJ-PA2J2R2X?qs=IKkN%2F947nfCnLCMYZgM9JQ%3D%3D</t>
  </si>
  <si>
    <t>DC-PCBA-9</t>
  </si>
  <si>
    <t>50V 1000pF X8 A 581-KAM21BR81H102KM</t>
  </si>
  <si>
    <t>0805 (2012 metric)</t>
  </si>
  <si>
    <t>08055F102K4T4A</t>
  </si>
  <si>
    <t>Capacitor-Very Small</t>
  </si>
  <si>
    <t>2 x 1.2 mm</t>
  </si>
  <si>
    <t>LoadSwitch</t>
  </si>
  <si>
    <t>VC9995438</t>
  </si>
  <si>
    <t>https://www.mouser.com/ProductDetail/KYOCERA-AVX/08055F102K4T4A?qs=%252BdQmOuGyFcG1iuFvnGB2rg%3D%3D</t>
  </si>
  <si>
    <t>DC-PCBA-10</t>
  </si>
  <si>
    <t>Current Sense Resistors ResMetalStrip 2010 R0 Jumper 1.5W</t>
  </si>
  <si>
    <t>2010</t>
  </si>
  <si>
    <t>CRF2010-J/-000ELF</t>
  </si>
  <si>
    <t>Bourns</t>
  </si>
  <si>
    <t>0</t>
  </si>
  <si>
    <t>VC9999470</t>
  </si>
  <si>
    <t>Tol. ±20%, Op. Temp. Range (-20 / +105)°C, 1000hrs, D=6.3mm, H=10.0mm MAX</t>
  </si>
  <si>
    <t>https://www.mouser.com/ProductDetail/Bourns/CRF2010-J-000ELF?qs=sGAEpiMZZMvdGkrng054tx4c7YuULGmGugn2efdB5y0t2nrqxi1I%252Bg%3D%3D</t>
  </si>
  <si>
    <t>DC-PCBA-11</t>
  </si>
  <si>
    <t>2010 R0 Jumper 1.5W</t>
  </si>
  <si>
    <t>VC1010928</t>
  </si>
  <si>
    <t>DC-PCBA-12</t>
  </si>
  <si>
    <t>TVS Diodes 27V 4A 30kV 12pF SOD323 Diode Array</t>
  </si>
  <si>
    <t>SOD-323-3</t>
  </si>
  <si>
    <t>AQ27COM-01FTG</t>
  </si>
  <si>
    <t>Littelfuse</t>
  </si>
  <si>
    <t>Diode</t>
  </si>
  <si>
    <t>2v</t>
  </si>
  <si>
    <t>VC9999698</t>
  </si>
  <si>
    <t>NP0 tolerance ±5%</t>
  </si>
  <si>
    <t>https://www.mouser.com/ProductDetail/Littelfuse/AQ27COM-01FTG?qs=sGAEpiMZZMvxHShE6Whpu8jG9FO6%252BvaPW4UQ%2FZiLpXs%3D</t>
  </si>
  <si>
    <t>DC-PCBA-13</t>
  </si>
  <si>
    <t>Thick Film Resistors 1watt 470ohms 1% 100ppm</t>
  </si>
  <si>
    <t>1218</t>
  </si>
  <si>
    <t>CRCW1218470RFKTK</t>
  </si>
  <si>
    <t>10R0</t>
  </si>
  <si>
    <t>Microcontroller</t>
  </si>
  <si>
    <t>VC9999667</t>
  </si>
  <si>
    <t>https://www.mouser.com/ProductDetail/Vishay-Dale/CRCW1218470RFKTK?qs=sGAEpiMZZMvdGkrng054t27BJPkTiAfYHce9UbzKfLo%3D</t>
  </si>
  <si>
    <t>DC-PCBA-14</t>
  </si>
  <si>
    <t>022UF 100 A 581</t>
  </si>
  <si>
    <t>VC1011809</t>
  </si>
  <si>
    <t>DC-PCBA-15</t>
  </si>
  <si>
    <t>Switching Controllers WIDE RANGE SYNCH BUC K CONTROLLER A 926</t>
  </si>
  <si>
    <t>HTSSOP-20</t>
  </si>
  <si>
    <t>LM5116MHX/NOPB</t>
  </si>
  <si>
    <t>Texas Instruments</t>
  </si>
  <si>
    <t>IC</t>
  </si>
  <si>
    <t>3AABC30 LM5116 MH</t>
  </si>
  <si>
    <t>VC9999818</t>
  </si>
  <si>
    <t>https://www.mouser.com/ProductDetail/Texas-Instruments/LM5116MHX-NOPB?qs=QbsRYf82W3EaCl%2FW15P7yA%3D%3D</t>
  </si>
  <si>
    <t>DC-PCBA-16</t>
  </si>
  <si>
    <t>200V 100pF A 581</t>
  </si>
  <si>
    <t>0805(2012)</t>
  </si>
  <si>
    <t>08052U101FAT2A</t>
  </si>
  <si>
    <t>Capacitor-Big</t>
  </si>
  <si>
    <t>2 x 1 mm</t>
  </si>
  <si>
    <t>MACS</t>
  </si>
  <si>
    <t>VC9998432</t>
  </si>
  <si>
    <t>https://www.mouser.com/ProductDetail/KYOCERA-AVX/08052U101FAT2A?qs=ZBeOGGPQgEFQ1bbr%252B%2Fh%2FDQ%3D%3D</t>
  </si>
  <si>
    <t>DC-PCBA-17</t>
  </si>
  <si>
    <t>1m Ohms 1/10 W 0603% 1% AEC-Q200</t>
  </si>
  <si>
    <t>AR0603FR-071ML</t>
  </si>
  <si>
    <t>YAGEO</t>
  </si>
  <si>
    <t>01E</t>
  </si>
  <si>
    <t>ExternalInputs</t>
  </si>
  <si>
    <t>VC9998547</t>
  </si>
  <si>
    <t>1N4148 150mA 75V</t>
  </si>
  <si>
    <t>https://www.mouser.com/ProductDetail/YAGEO/AR0603FR-071ML?qs=sGAEpiMZZMvdGkrng054t3GzUHVMl1SeG3UrYP8aWJHmY%252B9Ea3hbYQ%3D%3D</t>
  </si>
  <si>
    <t>DC-PCBA-18</t>
  </si>
  <si>
    <t>Resistor de Precisão 750kΩ 1% 1/8W SMD 0805</t>
  </si>
  <si>
    <t>0805</t>
  </si>
  <si>
    <t>Outros</t>
  </si>
  <si>
    <t>7503</t>
  </si>
  <si>
    <t>VC9998428</t>
  </si>
  <si>
    <t>https://www.ryndackcomponentes.com.br/resistor-de-precis-o-750k-1-1-8w-smd-0805.html</t>
  </si>
  <si>
    <t>DC-PCBA-19</t>
  </si>
  <si>
    <t>Thin Film Resistors - SMD 1/16W 27Kohm 0.5% 25ppm</t>
  </si>
  <si>
    <t>RR0816P-273-D</t>
  </si>
  <si>
    <t>Susumu</t>
  </si>
  <si>
    <t>273</t>
  </si>
  <si>
    <t>VC9998608</t>
  </si>
  <si>
    <t>Schottky 0.5A 40V</t>
  </si>
  <si>
    <t>https://www.mouser.in/ProductDetail/Susumu/RR0816P-273-D?qs=nCAm%252BcMdy9zBVcQEyxI7VA%3D%3D</t>
  </si>
  <si>
    <t>DC-PCBA-20</t>
  </si>
  <si>
    <t>Thick Film, AEC-Q200 CRCW Series, 82 ohm, 200 mW, 1%, 50</t>
  </si>
  <si>
    <t>0402</t>
  </si>
  <si>
    <t>CRCW040282R0FKEDHP</t>
  </si>
  <si>
    <t>VISHAY</t>
  </si>
  <si>
    <t>8202</t>
  </si>
  <si>
    <t>VC9998461</t>
  </si>
  <si>
    <t>https://www.newark.com/vishay/crcw040282r0fkedhp/surface-mount-chip-resistor-thick/dp/41R4596</t>
  </si>
  <si>
    <t>DC-PCBA-21</t>
  </si>
  <si>
    <t>Thick Film Resistors 1/4watt 62Kohms 5%</t>
  </si>
  <si>
    <t>CRCW120662K0JNEA</t>
  </si>
  <si>
    <t>623</t>
  </si>
  <si>
    <t>DAAS</t>
  </si>
  <si>
    <t>VC9998539</t>
  </si>
  <si>
    <t>https://www.mouser.com/ProductDetail/Vishay-Dale/CRCW120662K0JNEA?qs=sGAEpiMZZMvdGkrng054t27YQJ%252BwbTvXlwYrxsvc9PI%3D</t>
  </si>
  <si>
    <t>DC-PCBA-22</t>
  </si>
  <si>
    <t>Thick Film Resistors 1/4watt 9.1Kohms 5%</t>
  </si>
  <si>
    <t>CRCW12069K10JNEA</t>
  </si>
  <si>
    <t>912</t>
  </si>
  <si>
    <t>LedMux</t>
  </si>
  <si>
    <t>VC1012556</t>
  </si>
  <si>
    <t>LTW-C191DS5</t>
  </si>
  <si>
    <t>https://www.mouser.com/ProductDetail/Vishay-Dale/CRCW12069K10JNEA?qs=sGAEpiMZZMvdGkrng054txtDEx%2FRoWGKskbw6g%252Blib4%3D</t>
  </si>
  <si>
    <t>DC-PCBA-23</t>
  </si>
  <si>
    <t>Thick Film Resistors 1206 120Kohms 5% AEC-Q200</t>
  </si>
  <si>
    <t>ERJ-8GEYJ124V</t>
  </si>
  <si>
    <t>Panasonic</t>
  </si>
  <si>
    <t>124</t>
  </si>
  <si>
    <t>Touch</t>
  </si>
  <si>
    <t>VC1008215</t>
  </si>
  <si>
    <t>AM-A10961201</t>
  </si>
  <si>
    <t>https://www.mouser.com/ProductDetail/Panasonic/ERJ-8GEYJ124V?qs=sGAEpiMZZMvdGkrng054tx7%2F6%252BNA3LAJwwEXY4KYL6w%3D</t>
  </si>
  <si>
    <t>DC-PCBA-24</t>
  </si>
  <si>
    <t>Thick Film Resistors 1/8watt 51Kohms 5%</t>
  </si>
  <si>
    <t>CRCW080551K0JNEA</t>
  </si>
  <si>
    <t>513</t>
  </si>
  <si>
    <t>VC1006352</t>
  </si>
  <si>
    <t>LTG-1626SM-01</t>
  </si>
  <si>
    <t>https://www.mouser.com/ProductDetail/Vishay-Dale/CRCW080551K0JNEA?qs=sGAEpiMZZMvdGkrng054tygjBeyq%2FOAOEUdqBiTRmxk%3D</t>
  </si>
  <si>
    <t>DC-PCBA-25</t>
  </si>
  <si>
    <t>Thick Film Resistors 1206 300ohm 5% High VoltageAEC-Q200</t>
  </si>
  <si>
    <t>KTR18EZPJ301</t>
  </si>
  <si>
    <t>ROHM Semiconductor</t>
  </si>
  <si>
    <t>300</t>
  </si>
  <si>
    <t>LTG-1626SMD-01-T2</t>
  </si>
  <si>
    <t>https://www.mouser.com/ProductDetail/ROHM-Semiconductor/KTR18EZPJ301?qs=sGAEpiMZZMvdGkrng054t4QdAY%2FQ0LweIZGcAYPvcrM%3D</t>
  </si>
  <si>
    <t>DC-PCBA-26</t>
  </si>
  <si>
    <t>125</t>
  </si>
  <si>
    <t>Buzzer</t>
  </si>
  <si>
    <t>VC9999905</t>
  </si>
  <si>
    <t>PKLCS1212E4001-R1</t>
  </si>
  <si>
    <t>DC-PCBA-27</t>
  </si>
  <si>
    <t>Power Inductors - Leaded 80uH 5A 20% DCR=35.6mOhms</t>
  </si>
  <si>
    <t>Tray</t>
  </si>
  <si>
    <t>SHBC12-1R0A0080V</t>
  </si>
  <si>
    <t>KEMET</t>
  </si>
  <si>
    <t>Inductor/Choke</t>
  </si>
  <si>
    <t>Dia-2.8mm</t>
  </si>
  <si>
    <t>TH</t>
  </si>
  <si>
    <t>VC9999947</t>
  </si>
  <si>
    <t>Ref component: NXP BC807-25</t>
  </si>
  <si>
    <t>https://us.rs-online.com/product/kemet/shbc12-1r0a0080v/71823287/?utm_source=octopart&amp;utm_medium=part_sourcing&amp;utm_campaign=partsourcing_octopart_IMP_EX_GR</t>
  </si>
  <si>
    <t>DC-PCBA-28</t>
  </si>
  <si>
    <t>CAP ALUM 330UF 20% 100V RADIAL</t>
  </si>
  <si>
    <t>Radial, Can</t>
  </si>
  <si>
    <t>UPS2A331MHD</t>
  </si>
  <si>
    <t>Nichicon</t>
  </si>
  <si>
    <t>Capacitor</t>
  </si>
  <si>
    <t>330UF 100V</t>
  </si>
  <si>
    <t>Bot</t>
  </si>
  <si>
    <t>VC9997811</t>
  </si>
  <si>
    <t>LP2301BLT1G</t>
  </si>
  <si>
    <t>https://www.digikey.lv/en/products/detail/nichicon/UPS2A331MHD/2600047</t>
  </si>
  <si>
    <t>DC-PCBA-29</t>
  </si>
  <si>
    <t>Aluminum Electrolytic Capacitors - SMD</t>
  </si>
  <si>
    <t>EMLA250ARA331MHA0G</t>
  </si>
  <si>
    <t>Chemi-Con</t>
  </si>
  <si>
    <t>Aluminum Electrolytic Capacitor</t>
  </si>
  <si>
    <t>jH 330 ELA</t>
  </si>
  <si>
    <t>LedDispDrivers</t>
  </si>
  <si>
    <t>VC9999954</t>
  </si>
  <si>
    <t>Ref. Pn: ON SEMICONDUCTOR BC817-25LT1G</t>
  </si>
  <si>
    <t>https://www.mouser.com/ProductDetail/Chemi-Con/EMLA250ARA331MHA0G?qs=wT7LY0lnAe3000icBfgtBg%3D%3D</t>
  </si>
  <si>
    <t>DC-PCBA-30</t>
  </si>
  <si>
    <t>SMD 16V 470uf 20% AEC-Q200</t>
  </si>
  <si>
    <t>Reel</t>
  </si>
  <si>
    <t>UCQ1C471MCL1GS</t>
  </si>
  <si>
    <t>U0/2 4/OE CD</t>
  </si>
  <si>
    <t>VC9997372</t>
  </si>
  <si>
    <t>https://www.mouser.com/ProductDetail/Nichicon/UCQ1C471MCL1GS?qs=55YtniHzbhBvwO81ezFqGg%3D%3D</t>
  </si>
  <si>
    <t>DC-PCBA-31</t>
  </si>
  <si>
    <t>2.5 Ohm, 8A, NTC Thermistor</t>
  </si>
  <si>
    <t>SCK-2R58</t>
  </si>
  <si>
    <t>Voltts</t>
  </si>
  <si>
    <t>NTC Thermistor</t>
  </si>
  <si>
    <t>2.5D-15 mm</t>
  </si>
  <si>
    <t>VC9997159</t>
  </si>
  <si>
    <t>https://www.ebay.com/itm/355742133181?_trkparms=amclksrc%3DITM%26aid%3D1110006%26algo%3DHOMESPLICE.SIM%26ao%3D1%26asc%3D281955%2C282393%2C282314%26meid%3D85182a6b43434cc780d585ca0487fab7%26pid%3D101875%26rk%3D2%26rkt%3D4%26sd%3D395529645706%26itm%3D355742133181%26pmt%3D1%26noa%3D0%26pg%3D2332490%26algv%3DSimVIDwebV3WithCPCExpansionEmbeddingSearchQuerySemanticBroadMatchSingularityRecall%26brand%3DUnbranded&amp;_trksid=p2332490.c101875.m1851&amp;itmprp=cksum%3A35574213318185182a6b43434cc780d585ca0487fab7%7Cenc%3AAQAKAAABQOqalcCsb07ituDYLOrUrH2eG1DBUcAU1siB%252B881ennut1KqikNJ--C2JmJJYbnGBSq9s1cAaLR3u1P2GFHP6cOkMtiQrPwhnArZTi0NFnCkYNs9wPMPnRY0lLYAH0ZUZAibqDPJ%252BbgBETW62dsqLTkadiuzdSV45OfRGieK40izU5dajW0VR3EM8gPgcxvm0tX%252Buzzj%252BII0%252FH1qW1rG4xFo7nXqNmF1u%252BOOcUyZ53oWnYah0Yc6JWdpV0SjCzi64NQseG4%252FPtKndJqVnU7s08uKv2F4apoQtegG4UN00gVF%252BWYwDlmCZrT9c6e0z0p1tnarvCqhwrgPphW%252B%252FsXXsInJCcCFNOlGeWFSdO%252F4KvS0tirl4U6IqbaIio1hqDfl0%252FmZ0%252FPjVU6EaMonOxgB8pDaSTynhTySy39KYOhxEhEg%7Campid%3APL_CLK%7Cclp%3A2332490&amp;itmmeta=01JP9GR4SVCQGP6ZAD5FC4VQEP</t>
  </si>
  <si>
    <t>DC-PCBA-32</t>
  </si>
  <si>
    <t>VC9997399</t>
  </si>
  <si>
    <t>DC-PCBA-33</t>
  </si>
  <si>
    <t>SMD 1210 1Kohms 1% Tol AEC-Q200</t>
  </si>
  <si>
    <t>1210 (3225)</t>
  </si>
  <si>
    <t>ERJ-14NF1001U</t>
  </si>
  <si>
    <t>1001</t>
  </si>
  <si>
    <t>VC9996824</t>
  </si>
  <si>
    <t>https://www.mouser.com/ProductDetail/Panasonic/ERJ-14NF1001U?qs=SsWZTgbPiDCVzC74r8dULw%3D%3D</t>
  </si>
  <si>
    <t>DC-PCBA-34</t>
  </si>
  <si>
    <t>ERJ Series, 1 kohm, ± 5%, 100 mW, 0402 [1005 Metric]</t>
  </si>
  <si>
    <t>0402 [1005 Metric]</t>
  </si>
  <si>
    <t>ERJ-2GEJ102X</t>
  </si>
  <si>
    <t>PANASONIC</t>
  </si>
  <si>
    <t>4700</t>
  </si>
  <si>
    <t>VC9997254</t>
  </si>
  <si>
    <t>https://canada.newark.com/panasonic/erj-2gej102x/res-thick-film-1k-5-0-1w-0402/dp/65T8247</t>
  </si>
  <si>
    <t>DC-PCBA-35</t>
  </si>
  <si>
    <t>Rectifiers 5 Amp 600 Volts Ultrafast - Low VF</t>
  </si>
  <si>
    <t>VS-5ECU06-M3/9AT</t>
  </si>
  <si>
    <t>Vishay Semiconductors</t>
  </si>
  <si>
    <t>Diode-Medium</t>
  </si>
  <si>
    <t>SM 45</t>
  </si>
  <si>
    <t>VC9996566</t>
  </si>
  <si>
    <t>https://www.mouser.com/ProductDetail/Vishay-Semiconductors/VS-5ECU06-M3-9AT?qs=sGAEpiMZZMtbRapU8LlZD86AqDIWVFU%2Fqmw%252BGvu4AfI%3D</t>
  </si>
  <si>
    <t>DC-PCBA-36</t>
  </si>
  <si>
    <t>Zener Diodes</t>
  </si>
  <si>
    <t>MMSZ5244C-HE3_A-08</t>
  </si>
  <si>
    <t>Diode-Small</t>
  </si>
  <si>
    <t>WE</t>
  </si>
  <si>
    <t>VC9996341</t>
  </si>
  <si>
    <t>https://www.mouser.com/ProductDetail/Vishay/MMSZ5244C-HE3_A-08?qs=sGAEpiMZZMtbRapU8LlZD8qu4xuMq4%252BSw7PUO5LvpGF2X%252B6jRMr%2FDQ%3D%3D</t>
  </si>
  <si>
    <t>DC-PCBA-37</t>
  </si>
  <si>
    <t>2L STD PCB, HASL, Silk, 1.6mm thick.</t>
  </si>
  <si>
    <t>Pcs</t>
  </si>
  <si>
    <t>SE-59-009-015-00</t>
  </si>
  <si>
    <t>India</t>
  </si>
  <si>
    <t>Bare PCB</t>
  </si>
  <si>
    <t>64 x 50 x 1.5 mm</t>
  </si>
  <si>
    <t>PCB</t>
  </si>
  <si>
    <t>VC9996755</t>
  </si>
  <si>
    <t>As per the calculation</t>
  </si>
  <si>
    <t>BoM Cost (USD)</t>
  </si>
  <si>
    <t>Mtl. OH %</t>
  </si>
  <si>
    <t>PCBA BoM Cost</t>
  </si>
  <si>
    <t>Source total: USD 4.050 / INR 348.32</t>
  </si>
  <si>
    <t>Non-electronic lines listed in source BOM (zero cost; appear to be template carry-over)</t>
  </si>
  <si>
    <t>Item</t>
  </si>
  <si>
    <t>Qty</t>
  </si>
  <si>
    <t>Cost</t>
  </si>
  <si>
    <t>Label</t>
  </si>
  <si>
    <t>AM-A253508-Label</t>
  </si>
  <si>
    <t>Support</t>
  </si>
  <si>
    <t>EDW7200/7300 45/55/60cm</t>
  </si>
  <si>
    <t>Mechanical</t>
  </si>
  <si>
    <t>Light guide double</t>
  </si>
  <si>
    <t>X 3 pcs each assembly</t>
  </si>
  <si>
    <t>Light guide central</t>
  </si>
  <si>
    <t>DC-DC PCBA – Extracted Features (formula-driven from DC_PCBA_BOM)</t>
  </si>
  <si>
    <t>Engine-ready feature vector. All values recalc if the BOM changes. Excludes the bare PCB line where noted.</t>
  </si>
  <si>
    <t>Feature</t>
  </si>
  <si>
    <t>Value</t>
  </si>
  <si>
    <t>Unit</t>
  </si>
  <si>
    <t>Definition</t>
  </si>
  <si>
    <t>Unique BOM lines (incl. PCB)</t>
  </si>
  <si>
    <t>lines</t>
  </si>
  <si>
    <t>Distinct part refs</t>
  </si>
  <si>
    <t>Unique electronic part lines</t>
  </si>
  <si>
    <t>excl. bare PCB</t>
  </si>
  <si>
    <t>Total placements (component qty)</t>
  </si>
  <si>
    <t>pcs</t>
  </si>
  <si>
    <t>Σ Qty, excl. PCB</t>
  </si>
  <si>
    <t>SMD placements</t>
  </si>
  <si>
    <t>Mount per p9 identification</t>
  </si>
  <si>
    <t>TH placements</t>
  </si>
  <si>
    <t>SMD share</t>
  </si>
  <si>
    <t>Placements – side Bottom (p9)</t>
  </si>
  <si>
    <t>p9 side</t>
  </si>
  <si>
    <t>Placements – side Top (p9)</t>
  </si>
  <si>
    <t>p9 side, excl. PCB</t>
  </si>
  <si>
    <t>Double-sided SMT required?</t>
  </si>
  <si>
    <t>SMD on both sides → 2 reflow passes</t>
  </si>
  <si>
    <t>Active placements</t>
  </si>
  <si>
    <t>Category col</t>
  </si>
  <si>
    <t>Passive placements</t>
  </si>
  <si>
    <t>Resistor placements</t>
  </si>
  <si>
    <t>Part family p9</t>
  </si>
  <si>
    <t>Capacitor placements</t>
  </si>
  <si>
    <t>Semiconductor placements (IC/transistor/diode)</t>
  </si>
  <si>
    <t>Magnetics placements</t>
  </si>
  <si>
    <t>Total solder joints (Σ qty × pin)</t>
  </si>
  <si>
    <t>joints</t>
  </si>
  <si>
    <t>Uses cleaned pin col AC (p9 pins; 20–26 reset to 2)</t>
  </si>
  <si>
    <t>Max pin count single part</t>
  </si>
  <si>
    <t>pins</t>
  </si>
  <si>
    <t>LM5116 HTSSOP-20</t>
  </si>
  <si>
    <t>Class A lines</t>
  </si>
  <si>
    <t>High-value / critical</t>
  </si>
  <si>
    <t>BoM cost (USD)</t>
  </si>
  <si>
    <t>USD</t>
  </si>
  <si>
    <t>BoM cost incl. Mtl OH (INR)</t>
  </si>
  <si>
    <t>INR</t>
  </si>
  <si>
    <t>Top cost line (USD ext.)</t>
  </si>
  <si>
    <t>Top cost line – MPN</t>
  </si>
  <si>
    <t>Top cost line share of BoM</t>
  </si>
  <si>
    <t>Active parts cost share</t>
  </si>
  <si>
    <t>TH parts cost share</t>
  </si>
  <si>
    <t>Mount per cost BOM</t>
  </si>
  <si>
    <t>Average discount applied</t>
  </si>
  <si>
    <t>Volume discount vs. distributor price</t>
  </si>
  <si>
    <t>Bare PCB size</t>
  </si>
  <si>
    <t>p9 marking col (BOM text says 1.6 mm)</t>
  </si>
  <si>
    <t>Bare PCB layers / finish</t>
  </si>
  <si>
    <t>2L, HASL, silkscreen</t>
  </si>
  <si>
    <t>Assembly cycle time (total)</t>
  </si>
  <si>
    <t>s</t>
  </si>
  <si>
    <t>p25</t>
  </si>
  <si>
    <t>Package / footprint mix (placements)</t>
  </si>
  <si>
    <t>Package (normalised)</t>
  </si>
  <si>
    <t>Lines</t>
  </si>
  <si>
    <t>Placements</t>
  </si>
  <si>
    <t>Extended USD</t>
  </si>
  <si>
    <t>1210</t>
  </si>
  <si>
    <t>TO-263</t>
  </si>
  <si>
    <t>TO252</t>
  </si>
  <si>
    <t>SOD-323</t>
  </si>
  <si>
    <t>HTSSOP</t>
  </si>
  <si>
    <t>Radial</t>
  </si>
  <si>
    <t>Note: "Reel"/"Tray"/"Pcs" are packaging words left in the footprint column of the source – the true package is in Value/Spec.</t>
  </si>
  <si>
    <t>DC-DC PCBA – Assembly &amp; Bare-PCB Should-Cost</t>
  </si>
  <si>
    <t>Source: DC DC Convertor Final Report (EMUSKI) p25 (PCBA) and p26 (bare PCB). Date 15-03-2025, India, EXW.</t>
  </si>
  <si>
    <t>PCB assembly should-costing (DC-PCBA-00)</t>
  </si>
  <si>
    <t>Annual qty</t>
  </si>
  <si>
    <t>Batch qty</t>
  </si>
  <si>
    <t>Batch</t>
  </si>
  <si>
    <t>Monthly</t>
  </si>
  <si>
    <t>Part rev</t>
  </si>
  <si>
    <t>Rate</t>
  </si>
  <si>
    <t>Cost (INR)</t>
  </si>
  <si>
    <t>Process</t>
  </si>
  <si>
    <t>Cycle time (s)</t>
  </si>
  <si>
    <t>BOM cost</t>
  </si>
  <si>
    <t>Solder paste process</t>
  </si>
  <si>
    <t>Setup cost</t>
  </si>
  <si>
    <t>SMD process</t>
  </si>
  <si>
    <t>Process cost</t>
  </si>
  <si>
    <t>TH process</t>
  </si>
  <si>
    <t>Solder paste material cost</t>
  </si>
  <si>
    <t>Depaneling</t>
  </si>
  <si>
    <t>Conformal coating material cost</t>
  </si>
  <si>
    <t>Testing process</t>
  </si>
  <si>
    <t>Cost of rejection (1% of setup+process+paste)</t>
  </si>
  <si>
    <t>Manual process</t>
  </si>
  <si>
    <t>SG&amp;A (5% of BOM+setup+process+paste)</t>
  </si>
  <si>
    <t>Total product cycle time</t>
  </si>
  <si>
    <t>Profit (10% of same base)</t>
  </si>
  <si>
    <t>ICC (1.5% of BOM)</t>
  </si>
  <si>
    <t>PCBA Ex-Works cost</t>
  </si>
  <si>
    <t>Source: ₹471.14</t>
  </si>
  <si>
    <t>Bare PCB should-cost (DC-PCBA-37) – India, annual 6000, batch 500 monthly</t>
  </si>
  <si>
    <t>Manufacturing cost distribution</t>
  </si>
  <si>
    <t>Process cost breakup</t>
  </si>
  <si>
    <t>Bill of material cost</t>
  </si>
  <si>
    <t>Inner layer image</t>
  </si>
  <si>
    <t>Lamination</t>
  </si>
  <si>
    <t>Scrap</t>
  </si>
  <si>
    <t>Drilling</t>
  </si>
  <si>
    <t>SG&amp;A</t>
  </si>
  <si>
    <t>Plating</t>
  </si>
  <si>
    <t>Margin + material overhead</t>
  </si>
  <si>
    <t>Outer layer image</t>
  </si>
  <si>
    <t>ICC</t>
  </si>
  <si>
    <t>Solder mask</t>
  </si>
  <si>
    <t>TOTAL bare PCB cost</t>
  </si>
  <si>
    <t>Silk screen</t>
  </si>
  <si>
    <t>Source total ₹34.785</t>
  </si>
  <si>
    <t>Routing</t>
  </si>
  <si>
    <t>Testing</t>
  </si>
  <si>
    <t>Surface finish treatment</t>
  </si>
  <si>
    <t>TOTAL process</t>
  </si>
  <si>
    <t>Bill of material breakup</t>
  </si>
  <si>
    <t>Core laminate cost</t>
  </si>
  <si>
    <t>Prepreg cost</t>
  </si>
  <si>
    <t>Copper foil cost</t>
  </si>
  <si>
    <t>Consumable material cost</t>
  </si>
  <si>
    <t>Surface finish cost</t>
  </si>
  <si>
    <t>TOTAL BOM</t>
  </si>
  <si>
    <t>DC-DC Wiring Harness (DC-WH-00) – Components, BOM Cost &amp; Should-Cost</t>
  </si>
  <si>
    <t>Sources: report p14 (identification), BOM-Cost.xlsx "Wire Harness_BOM" (p28), WH Summary Report.xlsx (p27)</t>
  </si>
  <si>
    <t>Component identification (p14 §4.5) – all parts carried "No Marking"</t>
  </si>
  <si>
    <t>Family</t>
  </si>
  <si>
    <t>Component spec</t>
  </si>
  <si>
    <t>Note</t>
  </si>
  <si>
    <t>DC-WH-01</t>
  </si>
  <si>
    <t>Connector</t>
  </si>
  <si>
    <t>3 pin male connector</t>
  </si>
  <si>
    <t>DC-WH-02</t>
  </si>
  <si>
    <t>Terminal</t>
  </si>
  <si>
    <t>AV wire terminal 2.3 mm</t>
  </si>
  <si>
    <t>DC-WH-03</t>
  </si>
  <si>
    <t>Seal</t>
  </si>
  <si>
    <t>DC-WH-04</t>
  </si>
  <si>
    <t>Wire</t>
  </si>
  <si>
    <t>Red wire</t>
  </si>
  <si>
    <t>cm</t>
  </si>
  <si>
    <t>Cost BOM lists wire as DC-WH-06..08, 12 AWG GXL, 0.66 m each</t>
  </si>
  <si>
    <t>DC-WH-05</t>
  </si>
  <si>
    <t>Black wire</t>
  </si>
  <si>
    <t>DC-WH-06</t>
  </si>
  <si>
    <t>Yellow wire</t>
  </si>
  <si>
    <t>DC-WH-07</t>
  </si>
  <si>
    <t>Tube</t>
  </si>
  <si>
    <t>Tubing shrink BLK</t>
  </si>
  <si>
    <t>Cost BOM: DC-WH-04, qty 1 EA</t>
  </si>
  <si>
    <t>DC-WH-08</t>
  </si>
  <si>
    <t>Rubber</t>
  </si>
  <si>
    <t>Rubber cable grommet</t>
  </si>
  <si>
    <t>Cost BOM: DC-WH-05</t>
  </si>
  <si>
    <t>Wire harness BOM cost (p28) – EAU 6000</t>
  </si>
  <si>
    <t>Sl</t>
  </si>
  <si>
    <t>Part No.</t>
  </si>
  <si>
    <t>Class</t>
  </si>
  <si>
    <t>Total Qty</t>
  </si>
  <si>
    <t>Cost/pc (USD, net)</t>
  </si>
  <si>
    <t>Cost/pc (INR)</t>
  </si>
  <si>
    <t>Amount (INR)</t>
  </si>
  <si>
    <t>Freight</t>
  </si>
  <si>
    <t>Duty</t>
  </si>
  <si>
    <t>Landed (INR)</t>
  </si>
  <si>
    <t>Reference</t>
  </si>
  <si>
    <t>3 Pin male Connector</t>
  </si>
  <si>
    <t>HOUS</t>
  </si>
  <si>
    <t>https://prd.sws.co.jp/components/en/detail.php?number_s=61873231</t>
  </si>
  <si>
    <t>Av Wire Terminal 2.3 mm</t>
  </si>
  <si>
    <t>TRML</t>
  </si>
  <si>
    <t>https://prd.sws.co.jp/components/en/detail.php?number_s=15000105</t>
  </si>
  <si>
    <t>Wire Seal</t>
  </si>
  <si>
    <t>SEAL</t>
  </si>
  <si>
    <t>自動車用部品:Sumitomo Wiring Systems, Ltd</t>
  </si>
  <si>
    <t>TUBING SHRINK BLK OD-</t>
  </si>
  <si>
    <t>TUBE</t>
  </si>
  <si>
    <t>https://www.mouser.com/ProductDetail/Panduit/TV105-.38D20Y?qs=KwArPi4cUoiZh3Qh202YFQ%3D%3D</t>
  </si>
  <si>
    <t>Rubber Cable Grommet</t>
  </si>
  <si>
    <t>GROM</t>
  </si>
  <si>
    <t>https://www.mouser.com/ProductDetail/Essentra/1342664?qs=sGAEpiMZZMsAepjoiJLcxrBr2lVp79XOMDJP%252BK6iKRzPTiq9wiVAhw%3D%3D</t>
  </si>
  <si>
    <t>12 RED</t>
  </si>
  <si>
    <t>CABL</t>
  </si>
  <si>
    <t>https://www.awcwire.com/product/gxl-12</t>
  </si>
  <si>
    <t>12 YELLOW</t>
  </si>
  <si>
    <t>12 BLACK</t>
  </si>
  <si>
    <t>Total material</t>
  </si>
  <si>
    <t>of which wire</t>
  </si>
  <si>
    <t>of which components</t>
  </si>
  <si>
    <t>Should-costing report – wire harness (p27 / WH Summary Report.xlsx). Annual 6000, batch 500 monthly, India</t>
  </si>
  <si>
    <t>Costing factor</t>
  </si>
  <si>
    <t>INR/unit</t>
  </si>
  <si>
    <t>Material cost</t>
  </si>
  <si>
    <t>Process detail not given in source</t>
  </si>
  <si>
    <t>SG&amp;A (5% of BOM+process)</t>
  </si>
  <si>
    <t>Rejection (1% of BOM+process)</t>
  </si>
  <si>
    <t>Packing (1% of BOM+process)</t>
  </si>
  <si>
    <t>ICC (1.5% of material)</t>
  </si>
  <si>
    <t>Margin (10% of BOM+process)</t>
  </si>
  <si>
    <t>Ex-Works cost</t>
  </si>
  <si>
    <t>Source: ₹87.49</t>
  </si>
  <si>
    <t>DC Convertor Body (DC-ME-00) – HPDC Should-Cost &amp; Tooling</t>
  </si>
  <si>
    <t>Source: DC DC Convertor Final Report (EMUSKI) pp16–18, 31–39. ADC12 aluminium, shot-blasted, 1 cavity.</t>
  </si>
  <si>
    <t>Part &amp; commercial data</t>
  </si>
  <si>
    <t>High Pressure Die Casting</t>
  </si>
  <si>
    <t>Annual volume</t>
  </si>
  <si>
    <t>Lot size</t>
  </si>
  <si>
    <t>Part complexity</t>
  </si>
  <si>
    <t>Low</t>
  </si>
  <si>
    <t>Supply chain model</t>
  </si>
  <si>
    <t>Buy</t>
  </si>
  <si>
    <t>Packaging</t>
  </si>
  <si>
    <t>Reusable</t>
  </si>
  <si>
    <t>Incoterms</t>
  </si>
  <si>
    <t>EX-W</t>
  </si>
  <si>
    <t>Payment terms</t>
  </si>
  <si>
    <t>30 days</t>
  </si>
  <si>
    <t>Manufacturing / delivery country</t>
  </si>
  <si>
    <t>India / India</t>
  </si>
  <si>
    <t>Finish</t>
  </si>
  <si>
    <t>Shot blasting</t>
  </si>
  <si>
    <t>Average wall thickness</t>
  </si>
  <si>
    <t>Functions</t>
  </si>
  <si>
    <t>PCBA support/enclosure; heat dissipation via external fins</t>
  </si>
  <si>
    <t>p17</t>
  </si>
  <si>
    <t>Material information</t>
  </si>
  <si>
    <t>Non Ferrous</t>
  </si>
  <si>
    <t>Aluminum</t>
  </si>
  <si>
    <t>Grade</t>
  </si>
  <si>
    <t>ADC 12</t>
  </si>
  <si>
    <t>Density</t>
  </si>
  <si>
    <t>g/cc</t>
  </si>
  <si>
    <t>Material price</t>
  </si>
  <si>
    <t>₹/kg</t>
  </si>
  <si>
    <t>Scrap price</t>
  </si>
  <si>
    <t>Envelope length</t>
  </si>
  <si>
    <t>Envelope width</t>
  </si>
  <si>
    <t>Envelope height</t>
  </si>
  <si>
    <t>Surface area</t>
  </si>
  <si>
    <t>mm²</t>
  </si>
  <si>
    <t>Part volume</t>
  </si>
  <si>
    <t>mm³</t>
  </si>
  <si>
    <t>Cavities</t>
  </si>
  <si>
    <t>Plunger &amp; gating</t>
  </si>
  <si>
    <t>Cold plunger, tab gating</t>
  </si>
  <si>
    <t>Finish part weight</t>
  </si>
  <si>
    <t>Runner &amp; sprue weight</t>
  </si>
  <si>
    <t>Shot weight</t>
  </si>
  <si>
    <t>Calc. weight from volume</t>
  </si>
  <si>
    <t>check vs 78 g measured</t>
  </si>
  <si>
    <t>Scrap reuse</t>
  </si>
  <si>
    <t>No</t>
  </si>
  <si>
    <t>Scrap weight per shot</t>
  </si>
  <si>
    <t>Scrap recovery %</t>
  </si>
  <si>
    <t>Gross material cost / part</t>
  </si>
  <si>
    <t>₹</t>
  </si>
  <si>
    <t>Scrap recovery / part</t>
  </si>
  <si>
    <t>Net RM cost / part</t>
  </si>
  <si>
    <t>Source ₹19.71</t>
  </si>
  <si>
    <t>Process operations (₹/part)</t>
  </si>
  <si>
    <t>Parameter</t>
  </si>
  <si>
    <t>Op20 Melting</t>
  </si>
  <si>
    <t>Op30 HPDC</t>
  </si>
  <si>
    <t>Op40 Trimming</t>
  </si>
  <si>
    <t>Op50 Shot blast</t>
  </si>
  <si>
    <t>Op60 Final/PDI</t>
  </si>
  <si>
    <t>Machine</t>
  </si>
  <si>
    <t>Generic furnace</t>
  </si>
  <si>
    <t>Generic HPDC machine</t>
  </si>
  <si>
    <t>Generic trim press</t>
  </si>
  <si>
    <t>Dip type</t>
  </si>
  <si>
    <t>Automation</t>
  </si>
  <si>
    <t>Semi auto</t>
  </si>
  <si>
    <t>Recommended force (t)</t>
  </si>
  <si>
    <t>Selected tonnage (t)</t>
  </si>
  <si>
    <t>Cycle / stroke time (s)</t>
  </si>
  <si>
    <t>Part load/unload (s)</t>
  </si>
  <si>
    <t>Setup time (min/piece)</t>
  </si>
  <si>
    <t>Tool loading time (min)</t>
  </si>
  <si>
    <t># direct labour</t>
  </si>
  <si>
    <t># QA inspector</t>
  </si>
  <si>
    <t>Direct labour rate (₹/h)</t>
  </si>
  <si>
    <t>Skilled labour rate (₹/h)</t>
  </si>
  <si>
    <t>QA rate (₹/h)</t>
  </si>
  <si>
    <t>Sampling rate</t>
  </si>
  <si>
    <t>Inspection time (min)</t>
  </si>
  <si>
    <t>Yield</t>
  </si>
  <si>
    <t>Machine hour rate (₹/h)</t>
  </si>
  <si>
    <t>Cost per kg (₹)</t>
  </si>
  <si>
    <t>Machine cost</t>
  </si>
  <si>
    <t>Labour cost</t>
  </si>
  <si>
    <t>Inspection cost</t>
  </si>
  <si>
    <t>Yield cost</t>
  </si>
  <si>
    <t>Net process cost</t>
  </si>
  <si>
    <t>Melting detail</t>
  </si>
  <si>
    <t>Furnace output</t>
  </si>
  <si>
    <t>kg/h</t>
  </si>
  <si>
    <t>Melting wt/batch</t>
  </si>
  <si>
    <t>kg</t>
  </si>
  <si>
    <t>Melting time/batch</t>
  </si>
  <si>
    <t>min</t>
  </si>
  <si>
    <t>Charge into furnace</t>
  </si>
  <si>
    <t>Transfer to holding furnace</t>
  </si>
  <si>
    <t>Cycle w/o efficiency</t>
  </si>
  <si>
    <t>Efficiency</t>
  </si>
  <si>
    <t>Cycle with efficiency</t>
  </si>
  <si>
    <t>Per-part melting time</t>
  </si>
  <si>
    <t>TOTAL PROCESS COST</t>
  </si>
  <si>
    <t>Source ₹45.30</t>
  </si>
  <si>
    <t>Op70 packing &amp; warehousing</t>
  </si>
  <si>
    <t>Packing type</t>
  </si>
  <si>
    <t>SS mesh wire + PP sheet container</t>
  </si>
  <si>
    <t>Part dimension</t>
  </si>
  <si>
    <t>121 x 57 x 35</t>
  </si>
  <si>
    <t>Pallet dimension</t>
  </si>
  <si>
    <t>800 x 600 x 400</t>
  </si>
  <si>
    <t>Pallet volume</t>
  </si>
  <si>
    <t>m³</t>
  </si>
  <si>
    <t>Parts per pallet</t>
  </si>
  <si>
    <t>Pallet + partition cost</t>
  </si>
  <si>
    <t>Pallet life</t>
  </si>
  <si>
    <t>yr</t>
  </si>
  <si>
    <t>Monthly volume</t>
  </si>
  <si>
    <t>Customer stock (3 days)</t>
  </si>
  <si>
    <t>Supplier stock (6 days)</t>
  </si>
  <si>
    <t>Transit stock</t>
  </si>
  <si>
    <t>Qty per cycle</t>
  </si>
  <si>
    <t>5-year volume</t>
  </si>
  <si>
    <t>Packing cost/unit</t>
  </si>
  <si>
    <t>Inventory days</t>
  </si>
  <si>
    <t>Bank interest rate</t>
  </si>
  <si>
    <t>RM + process cost/unit</t>
  </si>
  <si>
    <t>ICC cost/unit</t>
  </si>
  <si>
    <t>Pallet area</t>
  </si>
  <si>
    <t>m²</t>
  </si>
  <si>
    <t>ft²</t>
  </si>
  <si>
    <t>Storage area for 6-day stock</t>
  </si>
  <si>
    <t>Rental cost</t>
  </si>
  <si>
    <t>₹/ft²</t>
  </si>
  <si>
    <t>Rental cost/unit</t>
  </si>
  <si>
    <t>Packing &amp; warehousing total/unit</t>
  </si>
  <si>
    <t>Source ₹2.85</t>
  </si>
  <si>
    <t>Overheads (₹/part)</t>
  </si>
  <si>
    <t>ICC 1.5%</t>
  </si>
  <si>
    <t>Material OH 5% (of RM)</t>
  </si>
  <si>
    <t>Machine OH 3% (of HPDC machine cost)</t>
  </si>
  <si>
    <t>Labour OH 2%</t>
  </si>
  <si>
    <t>Admin OH 3% (of RM+process)</t>
  </si>
  <si>
    <t>Profit 10% (of RM+process)</t>
  </si>
  <si>
    <t>Total OH (excl. ICC line, as in source)</t>
  </si>
  <si>
    <t>Source ₹10.3162 – ICC already in packing ICC/unit</t>
  </si>
  <si>
    <t>Body cost summary</t>
  </si>
  <si>
    <t>Packing &amp; warehousing</t>
  </si>
  <si>
    <t>Other cost (OH+profit)</t>
  </si>
  <si>
    <t>TOTAL PART COST</t>
  </si>
  <si>
    <t>Source ₹78.18</t>
  </si>
  <si>
    <t>Runner volume estimation</t>
  </si>
  <si>
    <t>Sprue length</t>
  </si>
  <si>
    <t>Sprue dia</t>
  </si>
  <si>
    <t>Sprue volume</t>
  </si>
  <si>
    <t>Runner length</t>
  </si>
  <si>
    <t>Runner dia</t>
  </si>
  <si>
    <t>Runner volume</t>
  </si>
  <si>
    <t>Gate length</t>
  </si>
  <si>
    <t>Avg gate dia</t>
  </si>
  <si>
    <t>Number of gates</t>
  </si>
  <si>
    <t>Gate volume</t>
  </si>
  <si>
    <t>Total runner volume</t>
  </si>
  <si>
    <t>Material density</t>
  </si>
  <si>
    <t>kg/m³</t>
  </si>
  <si>
    <t>Runner weight</t>
  </si>
  <si>
    <t>HPDC tonnage recommendation</t>
  </si>
  <si>
    <t>Part projected area</t>
  </si>
  <si>
    <t>Runner projected area</t>
  </si>
  <si>
    <t>Min wall thickness</t>
  </si>
  <si>
    <t>Max flow length</t>
  </si>
  <si>
    <t>Flow path / wall ratio</t>
  </si>
  <si>
    <t>Cavity pressure theoretical</t>
  </si>
  <si>
    <t>bar</t>
  </si>
  <si>
    <t>Viscosity grade (1–1.9)</t>
  </si>
  <si>
    <t>Cavity pressure actual</t>
  </si>
  <si>
    <t>kg/cm²</t>
  </si>
  <si>
    <t>Safety factor</t>
  </si>
  <si>
    <t>Shot projected area</t>
  </si>
  <si>
    <t>Clamping tonnage (calc.)</t>
  </si>
  <si>
    <t>t</t>
  </si>
  <si>
    <t>Selected machine</t>
  </si>
  <si>
    <t>Op30 uses 136 t recommended / 150 t selected – see Data_Issues</t>
  </si>
  <si>
    <t>Trim press tonnage recommendation</t>
  </si>
  <si>
    <t>Trim perimeter</t>
  </si>
  <si>
    <t>mm (source unit mm²)</t>
  </si>
  <si>
    <t>Flash / gate thickness</t>
  </si>
  <si>
    <t>UTS</t>
  </si>
  <si>
    <t>MPa</t>
  </si>
  <si>
    <t>Clamping tonnage</t>
  </si>
  <si>
    <t>HPDC cycle time estimate (s)</t>
  </si>
  <si>
    <t>Pouring into plunger</t>
  </si>
  <si>
    <t>Injection time</t>
  </si>
  <si>
    <t>Cooling time</t>
  </si>
  <si>
    <t>Pressure holding</t>
  </si>
  <si>
    <t>Ejection</t>
  </si>
  <si>
    <t>Mould clean &amp; lube</t>
  </si>
  <si>
    <t>Dry cycle</t>
  </si>
  <si>
    <t>Slide / core action</t>
  </si>
  <si>
    <t>Total cycle time</t>
  </si>
  <si>
    <t>Injection rate</t>
  </si>
  <si>
    <t>ADC12 alloy composition &amp; element rates</t>
  </si>
  <si>
    <t>Element (spec range)</t>
  </si>
  <si>
    <t>Assumed %</t>
  </si>
  <si>
    <t>Rate ₹/kg</t>
  </si>
  <si>
    <t>Weighted ₹/kg</t>
  </si>
  <si>
    <t>Aluminium 77.3–86.5%</t>
  </si>
  <si>
    <t>Copper 3.0–4.5%</t>
  </si>
  <si>
    <t>Iron ≤1.3%</t>
  </si>
  <si>
    <t>Magnesium ≤0.10%</t>
  </si>
  <si>
    <t>Manganese ≤0.5%</t>
  </si>
  <si>
    <t>Nickel ≤0.5%</t>
  </si>
  <si>
    <t>Silicon 9.6–12.0%</t>
  </si>
  <si>
    <t>Basket rate (Σ)</t>
  </si>
  <si>
    <t>Report uses ₹230/kg as material price</t>
  </si>
  <si>
    <t>Mould (die) cost estimation</t>
  </si>
  <si>
    <t>Die base length</t>
  </si>
  <si>
    <t>Die base width</t>
  </si>
  <si>
    <t>Estimated mould size (LxWxH)</t>
  </si>
  <si>
    <t>260.5 x 278.5 x 525</t>
  </si>
  <si>
    <t>Side cores</t>
  </si>
  <si>
    <t>Tool life</t>
  </si>
  <si>
    <t>shots</t>
  </si>
  <si>
    <t>Mould utilisation over 5-yr programme</t>
  </si>
  <si>
    <t>Moulds for project life</t>
  </si>
  <si>
    <t>Mould plate</t>
  </si>
  <si>
    <t>L (mm)</t>
  </si>
  <si>
    <t>W (mm)</t>
  </si>
  <si>
    <t>H (mm)</t>
  </si>
  <si>
    <t>Weight (kg)</t>
  </si>
  <si>
    <t>Core plate</t>
  </si>
  <si>
    <t>Cavity plate</t>
  </si>
  <si>
    <t>Core back plate</t>
  </si>
  <si>
    <t>Top plate</t>
  </si>
  <si>
    <t>Bottom plate</t>
  </si>
  <si>
    <t>Ejector plate</t>
  </si>
  <si>
    <t>Ejector back plate</t>
  </si>
  <si>
    <t>Spacer block</t>
  </si>
  <si>
    <t>Core insert</t>
  </si>
  <si>
    <t>Cavity insert</t>
  </si>
  <si>
    <t>Lifter / slide</t>
  </si>
  <si>
    <t>Mould RM line</t>
  </si>
  <si>
    <t>Rate (₹/kg)</t>
  </si>
  <si>
    <t>Cost (₹)</t>
  </si>
  <si>
    <t>Mould base</t>
  </si>
  <si>
    <t>C45</t>
  </si>
  <si>
    <t>Electrodes</t>
  </si>
  <si>
    <t>Copper</t>
  </si>
  <si>
    <t>Cavity</t>
  </si>
  <si>
    <t>H13</t>
  </si>
  <si>
    <t>Core</t>
  </si>
  <si>
    <t>Sub inserts</t>
  </si>
  <si>
    <t>Standard parts</t>
  </si>
  <si>
    <t>Total RM</t>
  </si>
  <si>
    <t>Mould mfg line</t>
  </si>
  <si>
    <t>MHR (₹/h)</t>
  </si>
  <si>
    <t>Hrs core</t>
  </si>
  <si>
    <t>Hrs cavity</t>
  </si>
  <si>
    <t>Generic machining</t>
  </si>
  <si>
    <t>Core / cavity machining</t>
  </si>
  <si>
    <t>Electrode machining</t>
  </si>
  <si>
    <t>Slide / lift machining</t>
  </si>
  <si>
    <t>Base machining</t>
  </si>
  <si>
    <t>EDM</t>
  </si>
  <si>
    <t>Wire cut</t>
  </si>
  <si>
    <t>Polishing</t>
  </si>
  <si>
    <t>Spotting</t>
  </si>
  <si>
    <t>Assembly</t>
  </si>
  <si>
    <t>Grain / texture</t>
  </si>
  <si>
    <t>Hardening</t>
  </si>
  <si>
    <t>Trial</t>
  </si>
  <si>
    <t>Total mfg</t>
  </si>
  <si>
    <t>OH &amp; profit</t>
  </si>
  <si>
    <t>%</t>
  </si>
  <si>
    <t>OH</t>
  </si>
  <si>
    <t>Profit</t>
  </si>
  <si>
    <t>RM for trial</t>
  </si>
  <si>
    <t>ESTIMATED MOULD COST</t>
  </si>
  <si>
    <t>Source ₹5,10,672</t>
  </si>
  <si>
    <t>DC-00 DC-DC Converter – Final Assembly Cost Estimate (Scenario 2)</t>
  </si>
  <si>
    <t>Source: DC DC Convertor Final Report (EMUSKI) p24. INR, India, annual 6000, lot 500.</t>
  </si>
  <si>
    <t>UoM</t>
  </si>
  <si>
    <t>Part cost/unit (₹)</t>
  </si>
  <si>
    <t>Total (₹)</t>
  </si>
  <si>
    <t>DC-01</t>
  </si>
  <si>
    <t>Potting Compound</t>
  </si>
  <si>
    <t>Total components</t>
  </si>
  <si>
    <t>Operation</t>
  </si>
  <si>
    <t>Cycle (s)</t>
  </si>
  <si>
    <t>Setup (min)</t>
  </si>
  <si>
    <t>LHR (₹/h)</t>
  </si>
  <si>
    <t>Assembly ₹</t>
  </si>
  <si>
    <t>Setup ₹</t>
  </si>
  <si>
    <t>Total ₹</t>
  </si>
  <si>
    <t>Body pick &amp; place</t>
  </si>
  <si>
    <t>PCBA with WH pick &amp; place</t>
  </si>
  <si>
    <t>Potting compound mixing</t>
  </si>
  <si>
    <t>De-air – vacuum chamber</t>
  </si>
  <si>
    <t>Vacuum chamber</t>
  </si>
  <si>
    <t>Pour the mixture</t>
  </si>
  <si>
    <t>Curing</t>
  </si>
  <si>
    <t>Oven</t>
  </si>
  <si>
    <t>Inspection</t>
  </si>
  <si>
    <t>Total process</t>
  </si>
  <si>
    <t>Note: assembly/setup ₹ rebuilt as cycle×(LHR+MHR) and setup×LHR/batch – reproduces source ₹7.66 within rounding.</t>
  </si>
  <si>
    <t>Summary</t>
  </si>
  <si>
    <t>Components cost</t>
  </si>
  <si>
    <t>Assembly cost</t>
  </si>
  <si>
    <t>Assembly scrap</t>
  </si>
  <si>
    <t>Assembly OH</t>
  </si>
  <si>
    <t>Final manufactured cost</t>
  </si>
  <si>
    <t>FINAL EX-WORKS COST</t>
  </si>
  <si>
    <t>Source ₹689.49</t>
  </si>
  <si>
    <t>Tooling: DC-ME-00 body die</t>
  </si>
  <si>
    <t>₹ one-time</t>
  </si>
  <si>
    <t>DC-DC Converter – Manufacturing Process Routings (DFM)</t>
  </si>
  <si>
    <t>Source: DC DC Convertor Final Report (EMUSKI) pp10–13, 15–16, 18</t>
  </si>
  <si>
    <t>PCBA (pp10–12)</t>
  </si>
  <si>
    <t>OP No</t>
  </si>
  <si>
    <t>Spec</t>
  </si>
  <si>
    <t>Control / remarks</t>
  </si>
  <si>
    <t>Child parts inward inspection</t>
  </si>
  <si>
    <t>As per QAP</t>
  </si>
  <si>
    <t>Data sheet verification &amp; visual inspection</t>
  </si>
  <si>
    <t>In loader</t>
  </si>
  <si>
    <t>As per WI</t>
  </si>
  <si>
    <t>SMT assy line</t>
  </si>
  <si>
    <t>Top side</t>
  </si>
  <si>
    <t>Laser marking</t>
  </si>
  <si>
    <t>Bar code reader</t>
  </si>
  <si>
    <t>Solder paste printing</t>
  </si>
  <si>
    <t>Solder paste inspection</t>
  </si>
  <si>
    <t>Pick and place</t>
  </si>
  <si>
    <t>Reflow soldering</t>
  </si>
  <si>
    <t>AOI</t>
  </si>
  <si>
    <t>Unloader</t>
  </si>
  <si>
    <t>Conveyor</t>
  </si>
  <si>
    <t>In loader – bottom side</t>
  </si>
  <si>
    <t>Bottom side</t>
  </si>
  <si>
    <t>Washing</t>
  </si>
  <si>
    <t>Axial component semi-preforming</t>
  </si>
  <si>
    <t>Off-line process</t>
  </si>
  <si>
    <t>For THT line</t>
  </si>
  <si>
    <t>Selective wave soldering</t>
  </si>
  <si>
    <t>Hand soldering</t>
  </si>
  <si>
    <t>For WH assembly</t>
  </si>
  <si>
    <t>Cleaning op</t>
  </si>
  <si>
    <t>ICT</t>
  </si>
  <si>
    <t>Circuit test</t>
  </si>
  <si>
    <t>Depanel (tab routing)</t>
  </si>
  <si>
    <t>Final inspection</t>
  </si>
  <si>
    <t>Testing equipment</t>
  </si>
  <si>
    <t>Visual</t>
  </si>
  <si>
    <t>As per IC</t>
  </si>
  <si>
    <t>Returnable packing</t>
  </si>
  <si>
    <t>Delivery</t>
  </si>
  <si>
    <t>As per Incoterms</t>
  </si>
  <si>
    <t>Road</t>
  </si>
  <si>
    <t>Bare PCB (pp12–13)</t>
  </si>
  <si>
    <t>Data sheet verification &amp; in-house inspection</t>
  </si>
  <si>
    <t>Exposing machine</t>
  </si>
  <si>
    <t>Pressing machine</t>
  </si>
  <si>
    <t>Drilling machine</t>
  </si>
  <si>
    <t>Plating bath</t>
  </si>
  <si>
    <t>Curtain coating</t>
  </si>
  <si>
    <t>Screen printing</t>
  </si>
  <si>
    <t>Milling</t>
  </si>
  <si>
    <t>E-testing</t>
  </si>
  <si>
    <t>HASL line</t>
  </si>
  <si>
    <t>Wire harness (pp15–16)</t>
  </si>
  <si>
    <t>Cavity plug insertion</t>
  </si>
  <si>
    <t>Hand tools</t>
  </si>
  <si>
    <t>Visual inspection</t>
  </si>
  <si>
    <t>Wire cutting</t>
  </si>
  <si>
    <t>Wire cutting machine</t>
  </si>
  <si>
    <t>Wire / cable running</t>
  </si>
  <si>
    <t>Wire threading &amp; wire seal fitting</t>
  </si>
  <si>
    <t>Machine termination / crimping</t>
  </si>
  <si>
    <t>Crimping machine</t>
  </si>
  <si>
    <t>Grommet fitting</t>
  </si>
  <si>
    <t>Connector terminal insertion</t>
  </si>
  <si>
    <t>Dock audit check sheet</t>
  </si>
  <si>
    <t>Connector placement operation</t>
  </si>
  <si>
    <t>PVC tube operations</t>
  </si>
  <si>
    <t>Final inspection &amp; testing</t>
  </si>
  <si>
    <t>Casting body (p18)</t>
  </si>
  <si>
    <t>Raw material inward inspection</t>
  </si>
  <si>
    <t>In-house spectro</t>
  </si>
  <si>
    <t>MTC verification &amp; in-house inspection</t>
  </si>
  <si>
    <t>Melting</t>
  </si>
  <si>
    <t>630 °C to 720 °C</t>
  </si>
  <si>
    <t>Thermometer</t>
  </si>
  <si>
    <t>HPDC</t>
  </si>
  <si>
    <t>As per control plan</t>
  </si>
  <si>
    <t>150 ton</t>
  </si>
  <si>
    <t>Visual / vernier calliper</t>
  </si>
  <si>
    <t>Trimming</t>
  </si>
  <si>
    <t>60 ton</t>
  </si>
  <si>
    <t>General machine</t>
  </si>
  <si>
    <t>Vernier calliper</t>
  </si>
  <si>
    <t>Based on IC</t>
  </si>
  <si>
    <t>Road – 20 ft / Eicher 19 ft</t>
  </si>
  <si>
    <t>DC-DC Converter – Costing Assumptions &amp; Scenarios</t>
  </si>
  <si>
    <t>Source: DC DC Convertor Final Report (EMUSKI) pp19–22</t>
  </si>
  <si>
    <t>Should-costing considerations (§5.1)</t>
  </si>
  <si>
    <t>Attribute</t>
  </si>
  <si>
    <t>Mechanical commodities</t>
  </si>
  <si>
    <t>EE &amp; EC commodities</t>
  </si>
  <si>
    <t>Should-costing location</t>
  </si>
  <si>
    <t>No. of shifts</t>
  </si>
  <si>
    <t>Three</t>
  </si>
  <si>
    <t>Batch volume</t>
  </si>
  <si>
    <t>500 Nos</t>
  </si>
  <si>
    <t>Tooling cost estimation</t>
  </si>
  <si>
    <t>Required</t>
  </si>
  <si>
    <t>Ex Works</t>
  </si>
  <si>
    <t>13% on process cost</t>
  </si>
  <si>
    <t>5% on total cost</t>
  </si>
  <si>
    <t>Margin</t>
  </si>
  <si>
    <t>10% on total cost</t>
  </si>
  <si>
    <t>1.5% on RM cost</t>
  </si>
  <si>
    <t>Rejection</t>
  </si>
  <si>
    <t>1% on overall cost</t>
  </si>
  <si>
    <t>RM rate reference</t>
  </si>
  <si>
    <t>SIAM report</t>
  </si>
  <si>
    <t>Online website</t>
  </si>
  <si>
    <t>Scrap recovery rate</t>
  </si>
  <si>
    <t>40%</t>
  </si>
  <si>
    <t>Bought-out</t>
  </si>
  <si>
    <t>Overall cost breakdown (₹/unit)</t>
  </si>
  <si>
    <t>Element</t>
  </si>
  <si>
    <t>Scenario 1</t>
  </si>
  <si>
    <t>Scenario 2</t>
  </si>
  <si>
    <t>Δ ₹</t>
  </si>
  <si>
    <t>Δ %</t>
  </si>
  <si>
    <t>Assumption – component procurement batch</t>
  </si>
  <si>
    <t>1000 Nos</t>
  </si>
  <si>
    <t>5000 Nos</t>
  </si>
  <si>
    <t>Assumption – PCBA &amp; WH assembly batch</t>
  </si>
  <si>
    <t>Other cost</t>
  </si>
  <si>
    <t>Potting</t>
  </si>
  <si>
    <t>TOTAL</t>
  </si>
  <si>
    <t>Source totals: S1 ₹831.49, S2 ₹689.49</t>
  </si>
  <si>
    <t>Pareto – Scenario 2</t>
  </si>
  <si>
    <t>Share</t>
  </si>
  <si>
    <t>Cumulative</t>
  </si>
  <si>
    <t>Report: PCBA ≈73% of total; top-3 drivers PCBA, Body, WH</t>
  </si>
  <si>
    <t>Cost proposition by sub-assembly – Scenario 2 (₹)</t>
  </si>
  <si>
    <t>Other</t>
  </si>
  <si>
    <t>Total</t>
  </si>
  <si>
    <t>Material %</t>
  </si>
  <si>
    <t>Material is the driver for PCBA &amp; WH; process is the driver for body</t>
  </si>
  <si>
    <t>Scenario 1 vs 2 – material cost (child parts)</t>
  </si>
  <si>
    <t>Part</t>
  </si>
  <si>
    <t>S1 batch</t>
  </si>
  <si>
    <t>S1 material ₹</t>
  </si>
  <si>
    <t>S2 batch</t>
  </si>
  <si>
    <t>S2 material ₹</t>
  </si>
  <si>
    <t>Reduction</t>
  </si>
  <si>
    <t>DC-DC Convertor Assy (total cost)</t>
  </si>
  <si>
    <t>DC-DC Converter – VAVE Ideas, Supplier Negotiation &amp; Take-aways</t>
  </si>
  <si>
    <t>Source: DC DC Convertor Final Report (EMUSKI) pp40–45. YTC = yet to confirm.</t>
  </si>
  <si>
    <t>VAVE idea generation (method V = P→/C↓)</t>
  </si>
  <si>
    <t>Idea</t>
  </si>
  <si>
    <t>Affected part</t>
  </si>
  <si>
    <t>Current cost ₹</t>
  </si>
  <si>
    <t>Expected cost</t>
  </si>
  <si>
    <t>Validation</t>
  </si>
  <si>
    <t>Type of change</t>
  </si>
  <si>
    <t>Surface finish change HASL → OSP</t>
  </si>
  <si>
    <t>DC-PCBA-37 bare PCB</t>
  </si>
  <si>
    <t>YTC</t>
  </si>
  <si>
    <t>Remove the 3 slots in PCB profile, make it rectangular</t>
  </si>
  <si>
    <t>Design</t>
  </si>
  <si>
    <t>Soldering → press-fit / avoid THT components</t>
  </si>
  <si>
    <t>DC-PCBA-2, -27, -31</t>
  </si>
  <si>
    <t>WH soldering → connector assembly</t>
  </si>
  <si>
    <t>Local supplier for ICs</t>
  </si>
  <si>
    <t>Supplier</t>
  </si>
  <si>
    <t>2nd source for class-A components</t>
  </si>
  <si>
    <t>Body material Al → plastic</t>
  </si>
  <si>
    <t>Process change to Al extrusion</t>
  </si>
  <si>
    <t>Process change to sheet metal</t>
  </si>
  <si>
    <t>Casting supplier change to Coimbatore</t>
  </si>
  <si>
    <t>PCBA assembly supplier → local supplier</t>
  </si>
  <si>
    <t>Wire-harness supplier → local supplier</t>
  </si>
  <si>
    <t>Replace potting compound with screws</t>
  </si>
  <si>
    <t>DC-C-011</t>
  </si>
  <si>
    <t>Market: complete DC-DC converter suppliers (tentative selling price ₹)</t>
  </si>
  <si>
    <t>Tentative price ₹</t>
  </si>
  <si>
    <t>vs should-cost</t>
  </si>
  <si>
    <t>Ucal Fuel Systems Ltd.</t>
  </si>
  <si>
    <t>Mind Corporation Ltd</t>
  </si>
  <si>
    <t>Foxconn India Pvt Ltd</t>
  </si>
  <si>
    <t>Supplier negotiations</t>
  </si>
  <si>
    <t>Location</t>
  </si>
  <si>
    <t>Initial quote ₹</t>
  </si>
  <si>
    <t>Negotiated ₹</t>
  </si>
  <si>
    <t>Should-cost ₹</t>
  </si>
  <si>
    <t>Negotiation lever</t>
  </si>
  <si>
    <t>DC-ME-00 body</t>
  </si>
  <si>
    <t>Enkey Engineering Works</t>
  </si>
  <si>
    <t>Coimbatore</t>
  </si>
  <si>
    <t>RM, HPDC, shot blasting, inspection, packing; EXW; dev cost extra</t>
  </si>
  <si>
    <t>Supplier assumed higher input weight &amp; tonnage; should-cost shows 150 t and 90 g shot sufficient</t>
  </si>
  <si>
    <t>DC-PCBA-00 (+final assy, excl. WH &amp; body)</t>
  </si>
  <si>
    <t>OMGVH Electronics Pvt Ltd</t>
  </si>
  <si>
    <t>Bangalore</t>
  </si>
  <si>
    <t>Bare PCB, component procurement, PCBA, inspection, test, final assy</t>
  </si>
  <si>
    <t>Batch 500 → consolidated multi-customer component buys; alternative components</t>
  </si>
  <si>
    <t>DC-WH-00 harness</t>
  </si>
  <si>
    <t>WH Technology Pvt Ltd (S1) / AAYS Solutions Pvt Ltd (S2)</t>
  </si>
  <si>
    <t>Component procurement, assembly, inspection, test, packing</t>
  </si>
  <si>
    <t>Second-source quote</t>
  </si>
  <si>
    <t>Supplier quote total vs should-cost total</t>
  </si>
  <si>
    <t>Take-aways (p45)</t>
  </si>
  <si>
    <t>Major cost driver: electronic components (ICs, capacitors, resistors); pricing depends on purchase volume.</t>
  </si>
  <si>
    <t>Wiring harness &amp; casting: better pricing from local suppliers.</t>
  </si>
  <si>
    <t>Local PCBA makers cannot match OEM component pricing – OEMs consolidate demand across products.</t>
  </si>
  <si>
    <t>Sourcing from China worth exploring; transport + duty add ~20–25%.</t>
  </si>
  <si>
    <t>For moderate-volume, complex PCBA (&gt;6 layers) China is more cost-effective; duties lower on complex parts.</t>
  </si>
  <si>
    <t>Suggestion</t>
  </si>
  <si>
    <t>Source from a supplier buying components in higher volume, or order all 6000 as one batch; implement VAVE</t>
  </si>
  <si>
    <t>Wiring harness assembly</t>
  </si>
  <si>
    <t>Source from local supplier</t>
  </si>
  <si>
    <t>DC Convertor body</t>
  </si>
  <si>
    <t>Source from local supplier (Coimbatore)</t>
  </si>
  <si>
    <t>DC-C-00</t>
  </si>
  <si>
    <t>Add scope to PCBA supplier</t>
  </si>
  <si>
    <t>DC-DC Convertor Assy</t>
  </si>
  <si>
    <t>Local manufacturer with higher batch qty</t>
  </si>
  <si>
    <t>OPT LED-Light PCBAs – BOM (LI15020-W, FL285182-W)</t>
  </si>
  <si>
    <t>Source: PCBA BOM (FL285182 + LI15020).xlsx inside the drawing zip</t>
  </si>
  <si>
    <t>Light Model</t>
  </si>
  <si>
    <t>Component Type</t>
  </si>
  <si>
    <t>OPT Item Code</t>
  </si>
  <si>
    <t>Component Specification</t>
  </si>
  <si>
    <t>Supplier MPN / PCB Reference</t>
  </si>
  <si>
    <t>LED Color</t>
  </si>
  <si>
    <t>Quantity per PCBA Set</t>
  </si>
  <si>
    <t>LI15020-W</t>
  </si>
  <si>
    <t>24030011063</t>
  </si>
  <si>
    <t>Custom PCB, 2 Layers, 2-up Panel, FR-4, 139.8 x 55.6 x 1.6 mm</t>
  </si>
  <si>
    <t>OPT-LI15020-X7-V2.3.2</t>
  </si>
  <si>
    <t>Custom PCB (Gerber Supplied)</t>
  </si>
  <si>
    <t>PCS</t>
  </si>
  <si>
    <t>LED</t>
  </si>
  <si>
    <t>20010000135</t>
  </si>
  <si>
    <t>3mm Through-Hole LED, White, CCT 5800-6800K, Vf 2.75-2.85V at IF 20mA, luminous intensity 7500-9500mcd, lead length 23±2mm, lead width 0.55±0.1mm</t>
  </si>
  <si>
    <t>304WC4P-W5-3PF</t>
  </si>
  <si>
    <t>Shenzhen Chengchuangxi Optoelectronics Co., Ltd.</t>
  </si>
  <si>
    <t>White</t>
  </si>
  <si>
    <t>23020000280</t>
  </si>
  <si>
    <t>SMD Resistor, 1206, 390 Ohm, 1/4W, 1%</t>
  </si>
  <si>
    <t>RC1206FR-07390RL</t>
  </si>
  <si>
    <t>Cable Harness</t>
  </si>
  <si>
    <t>21010000921</t>
  </si>
  <si>
    <t>2-core 24AWG robot cable, 2PIN male connector, L=800mm, with cable stop, sheath φ4.1 black, drag-chain compatible</t>
  </si>
  <si>
    <t>GYX0.8M-2P-R-Y-V1.0N</t>
  </si>
  <si>
    <t>FL285182-W</t>
  </si>
  <si>
    <t>24030000651</t>
  </si>
  <si>
    <t>Custom PCB, FR-4, 273.7 x 170.7 x 1.0 mm</t>
  </si>
  <si>
    <t>OPT-FL285182-X6-V1.0.2</t>
  </si>
  <si>
    <t>20020000021</t>
  </si>
  <si>
    <t>3528 SMD LED, White, CCT 5000-7000K, Vf 3.5V, IF 20mA</t>
  </si>
  <si>
    <t>S3528W8D05-1CY3</t>
  </si>
  <si>
    <t>23020000268</t>
  </si>
  <si>
    <t>SMD Thick Film Resistor, 0805, 200 Ohm, 1/8W, 150V, 1%</t>
  </si>
  <si>
    <t>RC0805FR-07200RL</t>
  </si>
  <si>
    <t>21010000941</t>
  </si>
  <si>
    <t>2-core 24AWG robot cable, 2PIN male connector, L=900mm, no cable stop, sheath φ4.1 black, drag-chain compatible</t>
  </si>
  <si>
    <t>GYX0.9M-2P-R-N-V1.0N</t>
  </si>
  <si>
    <t>Heat Shrink Tube</t>
  </si>
  <si>
    <t>28010000067</t>
  </si>
  <si>
    <t>Heat shrink tube, φ5, RSFR-H, PE, 200m/roll</t>
  </si>
  <si>
    <t>RSFR-H</t>
  </si>
  <si>
    <t>Summary table (from same file)</t>
  </si>
  <si>
    <t>PCB Reference</t>
  </si>
  <si>
    <t>LED MPN</t>
  </si>
  <si>
    <t>LED Manufacturer</t>
  </si>
  <si>
    <t>LED Quantity per PCBA Set</t>
  </si>
  <si>
    <t>Resistor MPN(s)</t>
  </si>
  <si>
    <t>Resistor Quantity per PCBA Set</t>
  </si>
  <si>
    <t>RC1206FR-07390RL (12)</t>
  </si>
  <si>
    <t>RC0805FR-07200RL (89)</t>
  </si>
  <si>
    <t>Pick &amp; Place – Pick Place for OPT-FL285182-X6-V1.0.2.csv</t>
  </si>
  <si>
    <t>Altium Designer export, units mm. Added columns: Type (from designator prefix), Panel copy.</t>
  </si>
  <si>
    <t>Designator</t>
  </si>
  <si>
    <t>Comment</t>
  </si>
  <si>
    <t>Layer</t>
  </si>
  <si>
    <t>Footprint</t>
  </si>
  <si>
    <t>Center-X(mm)</t>
  </si>
  <si>
    <t>Center-Y(mm)</t>
  </si>
  <si>
    <t>Rotation</t>
  </si>
  <si>
    <t>Type</t>
  </si>
  <si>
    <t>Panel copy</t>
  </si>
  <si>
    <t>R89</t>
  </si>
  <si>
    <t>TopLayer</t>
  </si>
  <si>
    <t>OPT-0805</t>
  </si>
  <si>
    <t>R88</t>
  </si>
  <si>
    <t>R87</t>
  </si>
  <si>
    <t>R86</t>
  </si>
  <si>
    <t>R85</t>
  </si>
  <si>
    <t>R84</t>
  </si>
  <si>
    <t>R83</t>
  </si>
  <si>
    <t>R82</t>
  </si>
  <si>
    <t>R81</t>
  </si>
  <si>
    <t>R80</t>
  </si>
  <si>
    <t>R79</t>
  </si>
  <si>
    <t>R78</t>
  </si>
  <si>
    <t>R77</t>
  </si>
  <si>
    <t>R76</t>
  </si>
  <si>
    <t>R75</t>
  </si>
  <si>
    <t>R74</t>
  </si>
  <si>
    <t>R73</t>
  </si>
  <si>
    <t>R72</t>
  </si>
  <si>
    <t>R71</t>
  </si>
  <si>
    <t>R70</t>
  </si>
  <si>
    <t>R69</t>
  </si>
  <si>
    <t>R68</t>
  </si>
  <si>
    <t>R67</t>
  </si>
  <si>
    <t>R66</t>
  </si>
  <si>
    <t>R65</t>
  </si>
  <si>
    <t>R64</t>
  </si>
  <si>
    <t>R63</t>
  </si>
  <si>
    <t>R62</t>
  </si>
  <si>
    <t>R61</t>
  </si>
  <si>
    <t>R60</t>
  </si>
  <si>
    <t>R59</t>
  </si>
  <si>
    <t>R58</t>
  </si>
  <si>
    <t>R57</t>
  </si>
  <si>
    <t>R56</t>
  </si>
  <si>
    <t>R55</t>
  </si>
  <si>
    <t>R54</t>
  </si>
  <si>
    <t>R53</t>
  </si>
  <si>
    <t>R52</t>
  </si>
  <si>
    <t>R51</t>
  </si>
  <si>
    <t>R50</t>
  </si>
  <si>
    <t>R49</t>
  </si>
  <si>
    <t>R48</t>
  </si>
  <si>
    <t>R47</t>
  </si>
  <si>
    <t>R46</t>
  </si>
  <si>
    <t>R45</t>
  </si>
  <si>
    <t>R44</t>
  </si>
  <si>
    <t>R43</t>
  </si>
  <si>
    <t>R42</t>
  </si>
  <si>
    <t>R41</t>
  </si>
  <si>
    <t>R40</t>
  </si>
  <si>
    <t>R39</t>
  </si>
  <si>
    <t>R38</t>
  </si>
  <si>
    <t>R37</t>
  </si>
  <si>
    <t>R36</t>
  </si>
  <si>
    <t>R35</t>
  </si>
  <si>
    <t>R34</t>
  </si>
  <si>
    <t>R33</t>
  </si>
  <si>
    <t>R32</t>
  </si>
  <si>
    <t>R31</t>
  </si>
  <si>
    <t>R30</t>
  </si>
  <si>
    <t>R29</t>
  </si>
  <si>
    <t>R28</t>
  </si>
  <si>
    <t>R27</t>
  </si>
  <si>
    <t>R26</t>
  </si>
  <si>
    <t>R25</t>
  </si>
  <si>
    <t>R24</t>
  </si>
  <si>
    <t>R23</t>
  </si>
  <si>
    <t>R22</t>
  </si>
  <si>
    <t>R21</t>
  </si>
  <si>
    <t>R20</t>
  </si>
  <si>
    <t>R19</t>
  </si>
  <si>
    <t>R18</t>
  </si>
  <si>
    <t>R17</t>
  </si>
  <si>
    <t>R16</t>
  </si>
  <si>
    <t>R15</t>
  </si>
  <si>
    <t>R14</t>
  </si>
  <si>
    <t>R13</t>
  </si>
  <si>
    <t>R12</t>
  </si>
  <si>
    <t>R11</t>
  </si>
  <si>
    <t>R10</t>
  </si>
  <si>
    <t>R9</t>
  </si>
  <si>
    <t>R8</t>
  </si>
  <si>
    <t>R7</t>
  </si>
  <si>
    <t>R6</t>
  </si>
  <si>
    <t>R5</t>
  </si>
  <si>
    <t>R4</t>
  </si>
  <si>
    <t>R3</t>
  </si>
  <si>
    <t>R2</t>
  </si>
  <si>
    <t>R1</t>
  </si>
  <si>
    <t>D534</t>
  </si>
  <si>
    <t>OPT_3528</t>
  </si>
  <si>
    <t>D533</t>
  </si>
  <si>
    <t>D532</t>
  </si>
  <si>
    <t>D531</t>
  </si>
  <si>
    <t>D530</t>
  </si>
  <si>
    <t>D529</t>
  </si>
  <si>
    <t>D528</t>
  </si>
  <si>
    <t>D527</t>
  </si>
  <si>
    <t>D526</t>
  </si>
  <si>
    <t>D525</t>
  </si>
  <si>
    <t>D524</t>
  </si>
  <si>
    <t>D523</t>
  </si>
  <si>
    <t>D522</t>
  </si>
  <si>
    <t>D521</t>
  </si>
  <si>
    <t>D520</t>
  </si>
  <si>
    <t>D519</t>
  </si>
  <si>
    <t>D518</t>
  </si>
  <si>
    <t>D517</t>
  </si>
  <si>
    <t>D516</t>
  </si>
  <si>
    <t>D515</t>
  </si>
  <si>
    <t>D514</t>
  </si>
  <si>
    <t>D513</t>
  </si>
  <si>
    <t>D512</t>
  </si>
  <si>
    <t>D511</t>
  </si>
  <si>
    <t>D510</t>
  </si>
  <si>
    <t>D509</t>
  </si>
  <si>
    <t>D508</t>
  </si>
  <si>
    <t>D507</t>
  </si>
  <si>
    <t>D506</t>
  </si>
  <si>
    <t>D505</t>
  </si>
  <si>
    <t>D504</t>
  </si>
  <si>
    <t>D503</t>
  </si>
  <si>
    <t>D502</t>
  </si>
  <si>
    <t>D501</t>
  </si>
  <si>
    <t>D500</t>
  </si>
  <si>
    <t>D499</t>
  </si>
  <si>
    <t>D498</t>
  </si>
  <si>
    <t>D497</t>
  </si>
  <si>
    <t>D496</t>
  </si>
  <si>
    <t>D495</t>
  </si>
  <si>
    <t>D494</t>
  </si>
  <si>
    <t>D493</t>
  </si>
  <si>
    <t>D492</t>
  </si>
  <si>
    <t>D491</t>
  </si>
  <si>
    <t>D490</t>
  </si>
  <si>
    <t>D489</t>
  </si>
  <si>
    <t>D488</t>
  </si>
  <si>
    <t>D487</t>
  </si>
  <si>
    <t>D486</t>
  </si>
  <si>
    <t>D485</t>
  </si>
  <si>
    <t>D484</t>
  </si>
  <si>
    <t>D483</t>
  </si>
  <si>
    <t>D482</t>
  </si>
  <si>
    <t>D481</t>
  </si>
  <si>
    <t>D480</t>
  </si>
  <si>
    <t>D479</t>
  </si>
  <si>
    <t>D478</t>
  </si>
  <si>
    <t>D477</t>
  </si>
  <si>
    <t>D476</t>
  </si>
  <si>
    <t>D475</t>
  </si>
  <si>
    <t>D474</t>
  </si>
  <si>
    <t>D473</t>
  </si>
  <si>
    <t>D472</t>
  </si>
  <si>
    <t>D471</t>
  </si>
  <si>
    <t>D470</t>
  </si>
  <si>
    <t>D469</t>
  </si>
  <si>
    <t>D468</t>
  </si>
  <si>
    <t>D467</t>
  </si>
  <si>
    <t>D466</t>
  </si>
  <si>
    <t>D465</t>
  </si>
  <si>
    <t>D464</t>
  </si>
  <si>
    <t>D463</t>
  </si>
  <si>
    <t>D462</t>
  </si>
  <si>
    <t>D461</t>
  </si>
  <si>
    <t>D460</t>
  </si>
  <si>
    <t>D459</t>
  </si>
  <si>
    <t>D458</t>
  </si>
  <si>
    <t>D457</t>
  </si>
  <si>
    <t>D456</t>
  </si>
  <si>
    <t>D455</t>
  </si>
  <si>
    <t>D454</t>
  </si>
  <si>
    <t>D453</t>
  </si>
  <si>
    <t>D452</t>
  </si>
  <si>
    <t>D451</t>
  </si>
  <si>
    <t>D450</t>
  </si>
  <si>
    <t>D449</t>
  </si>
  <si>
    <t>D448</t>
  </si>
  <si>
    <t>D447</t>
  </si>
  <si>
    <t>D446</t>
  </si>
  <si>
    <t>D445</t>
  </si>
  <si>
    <t>D444</t>
  </si>
  <si>
    <t>D443</t>
  </si>
  <si>
    <t>D442</t>
  </si>
  <si>
    <t>D441</t>
  </si>
  <si>
    <t>D440</t>
  </si>
  <si>
    <t>D439</t>
  </si>
  <si>
    <t>D438</t>
  </si>
  <si>
    <t>D437</t>
  </si>
  <si>
    <t>D436</t>
  </si>
  <si>
    <t>D435</t>
  </si>
  <si>
    <t>D434</t>
  </si>
  <si>
    <t>D433</t>
  </si>
  <si>
    <t>D432</t>
  </si>
  <si>
    <t>D431</t>
  </si>
  <si>
    <t>D430</t>
  </si>
  <si>
    <t>D429</t>
  </si>
  <si>
    <t>D428</t>
  </si>
  <si>
    <t>D427</t>
  </si>
  <si>
    <t>D426</t>
  </si>
  <si>
    <t>D425</t>
  </si>
  <si>
    <t>D424</t>
  </si>
  <si>
    <t>D423</t>
  </si>
  <si>
    <t>D422</t>
  </si>
  <si>
    <t>D421</t>
  </si>
  <si>
    <t>D420</t>
  </si>
  <si>
    <t>D419</t>
  </si>
  <si>
    <t>D418</t>
  </si>
  <si>
    <t>D417</t>
  </si>
  <si>
    <t>D416</t>
  </si>
  <si>
    <t>D415</t>
  </si>
  <si>
    <t>D414</t>
  </si>
  <si>
    <t>D413</t>
  </si>
  <si>
    <t>D412</t>
  </si>
  <si>
    <t>D411</t>
  </si>
  <si>
    <t>D410</t>
  </si>
  <si>
    <t>D409</t>
  </si>
  <si>
    <t>D408</t>
  </si>
  <si>
    <t>D407</t>
  </si>
  <si>
    <t>D406</t>
  </si>
  <si>
    <t>D405</t>
  </si>
  <si>
    <t>D404</t>
  </si>
  <si>
    <t>D403</t>
  </si>
  <si>
    <t>D402</t>
  </si>
  <si>
    <t>D401</t>
  </si>
  <si>
    <t>D400</t>
  </si>
  <si>
    <t>D399</t>
  </si>
  <si>
    <t>D398</t>
  </si>
  <si>
    <t>D397</t>
  </si>
  <si>
    <t>D396</t>
  </si>
  <si>
    <t>D395</t>
  </si>
  <si>
    <t>D394</t>
  </si>
  <si>
    <t>D393</t>
  </si>
  <si>
    <t>D392</t>
  </si>
  <si>
    <t>D391</t>
  </si>
  <si>
    <t>D390</t>
  </si>
  <si>
    <t>D389</t>
  </si>
  <si>
    <t>D388</t>
  </si>
  <si>
    <t>D387</t>
  </si>
  <si>
    <t>D386</t>
  </si>
  <si>
    <t>D385</t>
  </si>
  <si>
    <t>D384</t>
  </si>
  <si>
    <t>D383</t>
  </si>
  <si>
    <t>D382</t>
  </si>
  <si>
    <t>D381</t>
  </si>
  <si>
    <t>D380</t>
  </si>
  <si>
    <t>D379</t>
  </si>
  <si>
    <t>D378</t>
  </si>
  <si>
    <t>D377</t>
  </si>
  <si>
    <t>D376</t>
  </si>
  <si>
    <t>D375</t>
  </si>
  <si>
    <t>D374</t>
  </si>
  <si>
    <t>D373</t>
  </si>
  <si>
    <t>D372</t>
  </si>
  <si>
    <t>D371</t>
  </si>
  <si>
    <t>D370</t>
  </si>
  <si>
    <t>D369</t>
  </si>
  <si>
    <t>D368</t>
  </si>
  <si>
    <t>D367</t>
  </si>
  <si>
    <t>D366</t>
  </si>
  <si>
    <t>D365</t>
  </si>
  <si>
    <t>D364</t>
  </si>
  <si>
    <t>D363</t>
  </si>
  <si>
    <t>D362</t>
  </si>
  <si>
    <t>D361</t>
  </si>
  <si>
    <t>D360</t>
  </si>
  <si>
    <t>D359</t>
  </si>
  <si>
    <t>D358</t>
  </si>
  <si>
    <t>D357</t>
  </si>
  <si>
    <t>D356</t>
  </si>
  <si>
    <t>D355</t>
  </si>
  <si>
    <t>D354</t>
  </si>
  <si>
    <t>D353</t>
  </si>
  <si>
    <t>D352</t>
  </si>
  <si>
    <t>D351</t>
  </si>
  <si>
    <t>D350</t>
  </si>
  <si>
    <t>D349</t>
  </si>
  <si>
    <t>D348</t>
  </si>
  <si>
    <t>D347</t>
  </si>
  <si>
    <t>D346</t>
  </si>
  <si>
    <t>D345</t>
  </si>
  <si>
    <t>D344</t>
  </si>
  <si>
    <t>D343</t>
  </si>
  <si>
    <t>D342</t>
  </si>
  <si>
    <t>D341</t>
  </si>
  <si>
    <t>D340</t>
  </si>
  <si>
    <t>D339</t>
  </si>
  <si>
    <t>D338</t>
  </si>
  <si>
    <t>D337</t>
  </si>
  <si>
    <t>D336</t>
  </si>
  <si>
    <t>D335</t>
  </si>
  <si>
    <t>D334</t>
  </si>
  <si>
    <t>D333</t>
  </si>
  <si>
    <t>D332</t>
  </si>
  <si>
    <t>D331</t>
  </si>
  <si>
    <t>D330</t>
  </si>
  <si>
    <t>D329</t>
  </si>
  <si>
    <t>D328</t>
  </si>
  <si>
    <t>D327</t>
  </si>
  <si>
    <t>D326</t>
  </si>
  <si>
    <t>D325</t>
  </si>
  <si>
    <t>D324</t>
  </si>
  <si>
    <t>D323</t>
  </si>
  <si>
    <t>D322</t>
  </si>
  <si>
    <t>D321</t>
  </si>
  <si>
    <t>D320</t>
  </si>
  <si>
    <t>D319</t>
  </si>
  <si>
    <t>D318</t>
  </si>
  <si>
    <t>D317</t>
  </si>
  <si>
    <t>D316</t>
  </si>
  <si>
    <t>D315</t>
  </si>
  <si>
    <t>D314</t>
  </si>
  <si>
    <t>D313</t>
  </si>
  <si>
    <t>D312</t>
  </si>
  <si>
    <t>D311</t>
  </si>
  <si>
    <t>D310</t>
  </si>
  <si>
    <t>D309</t>
  </si>
  <si>
    <t>D308</t>
  </si>
  <si>
    <t>D307</t>
  </si>
  <si>
    <t>D306</t>
  </si>
  <si>
    <t>D305</t>
  </si>
  <si>
    <t>D304</t>
  </si>
  <si>
    <t>D303</t>
  </si>
  <si>
    <t>D302</t>
  </si>
  <si>
    <t>D301</t>
  </si>
  <si>
    <t>D300</t>
  </si>
  <si>
    <t>D299</t>
  </si>
  <si>
    <t>D298</t>
  </si>
  <si>
    <t>D297</t>
  </si>
  <si>
    <t>D296</t>
  </si>
  <si>
    <t>D295</t>
  </si>
  <si>
    <t>D294</t>
  </si>
  <si>
    <t>D293</t>
  </si>
  <si>
    <t>D292</t>
  </si>
  <si>
    <t>D291</t>
  </si>
  <si>
    <t>D290</t>
  </si>
  <si>
    <t>D289</t>
  </si>
  <si>
    <t>D288</t>
  </si>
  <si>
    <t>D287</t>
  </si>
  <si>
    <t>D286</t>
  </si>
  <si>
    <t>D285</t>
  </si>
  <si>
    <t>D284</t>
  </si>
  <si>
    <t>D283</t>
  </si>
  <si>
    <t>D282</t>
  </si>
  <si>
    <t>D281</t>
  </si>
  <si>
    <t>D280</t>
  </si>
  <si>
    <t>D279</t>
  </si>
  <si>
    <t>D278</t>
  </si>
  <si>
    <t>D277</t>
  </si>
  <si>
    <t>D276</t>
  </si>
  <si>
    <t>D275</t>
  </si>
  <si>
    <t>D274</t>
  </si>
  <si>
    <t>D273</t>
  </si>
  <si>
    <t>D272</t>
  </si>
  <si>
    <t>D271</t>
  </si>
  <si>
    <t>D270</t>
  </si>
  <si>
    <t>D269</t>
  </si>
  <si>
    <t>D268</t>
  </si>
  <si>
    <t>D267</t>
  </si>
  <si>
    <t>D266</t>
  </si>
  <si>
    <t>D265</t>
  </si>
  <si>
    <t>D264</t>
  </si>
  <si>
    <t>D263</t>
  </si>
  <si>
    <t>D262</t>
  </si>
  <si>
    <t>D261</t>
  </si>
  <si>
    <t>D260</t>
  </si>
  <si>
    <t>D259</t>
  </si>
  <si>
    <t>D258</t>
  </si>
  <si>
    <t>D257</t>
  </si>
  <si>
    <t>D256</t>
  </si>
  <si>
    <t>D255</t>
  </si>
  <si>
    <t>D254</t>
  </si>
  <si>
    <t>D253</t>
  </si>
  <si>
    <t>D252</t>
  </si>
  <si>
    <t>D251</t>
  </si>
  <si>
    <t>D250</t>
  </si>
  <si>
    <t>D249</t>
  </si>
  <si>
    <t>D248</t>
  </si>
  <si>
    <t>D247</t>
  </si>
  <si>
    <t>D246</t>
  </si>
  <si>
    <t>D245</t>
  </si>
  <si>
    <t>D244</t>
  </si>
  <si>
    <t>D243</t>
  </si>
  <si>
    <t>D242</t>
  </si>
  <si>
    <t>D241</t>
  </si>
  <si>
    <t>D240</t>
  </si>
  <si>
    <t>D239</t>
  </si>
  <si>
    <t>D238</t>
  </si>
  <si>
    <t>D237</t>
  </si>
  <si>
    <t>D236</t>
  </si>
  <si>
    <t>D235</t>
  </si>
  <si>
    <t>D234</t>
  </si>
  <si>
    <t>D233</t>
  </si>
  <si>
    <t>D232</t>
  </si>
  <si>
    <t>D231</t>
  </si>
  <si>
    <t>D230</t>
  </si>
  <si>
    <t>D229</t>
  </si>
  <si>
    <t>D228</t>
  </si>
  <si>
    <t>D227</t>
  </si>
  <si>
    <t>D226</t>
  </si>
  <si>
    <t>D225</t>
  </si>
  <si>
    <t>D224</t>
  </si>
  <si>
    <t>D223</t>
  </si>
  <si>
    <t>D222</t>
  </si>
  <si>
    <t>D221</t>
  </si>
  <si>
    <t>D220</t>
  </si>
  <si>
    <t>D219</t>
  </si>
  <si>
    <t>D218</t>
  </si>
  <si>
    <t>D217</t>
  </si>
  <si>
    <t>D216</t>
  </si>
  <si>
    <t>D215</t>
  </si>
  <si>
    <t>D214</t>
  </si>
  <si>
    <t>D213</t>
  </si>
  <si>
    <t>D212</t>
  </si>
  <si>
    <t>D211</t>
  </si>
  <si>
    <t>D210</t>
  </si>
  <si>
    <t>D209</t>
  </si>
  <si>
    <t>D208</t>
  </si>
  <si>
    <t>D207</t>
  </si>
  <si>
    <t>D206</t>
  </si>
  <si>
    <t>D205</t>
  </si>
  <si>
    <t>D204</t>
  </si>
  <si>
    <t>D203</t>
  </si>
  <si>
    <t>D202</t>
  </si>
  <si>
    <t>D201</t>
  </si>
  <si>
    <t>D200</t>
  </si>
  <si>
    <t>D199</t>
  </si>
  <si>
    <t>D198</t>
  </si>
  <si>
    <t>D197</t>
  </si>
  <si>
    <t>D196</t>
  </si>
  <si>
    <t>D195</t>
  </si>
  <si>
    <t>D194</t>
  </si>
  <si>
    <t>D193</t>
  </si>
  <si>
    <t>D192</t>
  </si>
  <si>
    <t>D191</t>
  </si>
  <si>
    <t>D190</t>
  </si>
  <si>
    <t>D189</t>
  </si>
  <si>
    <t>D188</t>
  </si>
  <si>
    <t>D187</t>
  </si>
  <si>
    <t>D186</t>
  </si>
  <si>
    <t>D185</t>
  </si>
  <si>
    <t>D184</t>
  </si>
  <si>
    <t>D183</t>
  </si>
  <si>
    <t>D182</t>
  </si>
  <si>
    <t>D181</t>
  </si>
  <si>
    <t>D180</t>
  </si>
  <si>
    <t>D179</t>
  </si>
  <si>
    <t>D178</t>
  </si>
  <si>
    <t>D177</t>
  </si>
  <si>
    <t>D176</t>
  </si>
  <si>
    <t>D175</t>
  </si>
  <si>
    <t>D174</t>
  </si>
  <si>
    <t>D173</t>
  </si>
  <si>
    <t>D172</t>
  </si>
  <si>
    <t>D171</t>
  </si>
  <si>
    <t>D170</t>
  </si>
  <si>
    <t>D169</t>
  </si>
  <si>
    <t>D168</t>
  </si>
  <si>
    <t>D167</t>
  </si>
  <si>
    <t>D166</t>
  </si>
  <si>
    <t>D165</t>
  </si>
  <si>
    <t>D164</t>
  </si>
  <si>
    <t>D163</t>
  </si>
  <si>
    <t>D162</t>
  </si>
  <si>
    <t>D161</t>
  </si>
  <si>
    <t>D160</t>
  </si>
  <si>
    <t>D159</t>
  </si>
  <si>
    <t>D158</t>
  </si>
  <si>
    <t>D157</t>
  </si>
  <si>
    <t>D156</t>
  </si>
  <si>
    <t>D155</t>
  </si>
  <si>
    <t>D154</t>
  </si>
  <si>
    <t>D153</t>
  </si>
  <si>
    <t>D152</t>
  </si>
  <si>
    <t>D151</t>
  </si>
  <si>
    <t>D150</t>
  </si>
  <si>
    <t>D149</t>
  </si>
  <si>
    <t>D148</t>
  </si>
  <si>
    <t>D147</t>
  </si>
  <si>
    <t>D146</t>
  </si>
  <si>
    <t>D145</t>
  </si>
  <si>
    <t>D144</t>
  </si>
  <si>
    <t>D143</t>
  </si>
  <si>
    <t>D142</t>
  </si>
  <si>
    <t>D141</t>
  </si>
  <si>
    <t>D140</t>
  </si>
  <si>
    <t>D139</t>
  </si>
  <si>
    <t>D138</t>
  </si>
  <si>
    <t>D137</t>
  </si>
  <si>
    <t>D136</t>
  </si>
  <si>
    <t>D135</t>
  </si>
  <si>
    <t>D134</t>
  </si>
  <si>
    <t>D133</t>
  </si>
  <si>
    <t>D132</t>
  </si>
  <si>
    <t>D131</t>
  </si>
  <si>
    <t>D130</t>
  </si>
  <si>
    <t>D129</t>
  </si>
  <si>
    <t>D128</t>
  </si>
  <si>
    <t>D127</t>
  </si>
  <si>
    <t>D126</t>
  </si>
  <si>
    <t>D125</t>
  </si>
  <si>
    <t>D124</t>
  </si>
  <si>
    <t>D123</t>
  </si>
  <si>
    <t>D122</t>
  </si>
  <si>
    <t>D121</t>
  </si>
  <si>
    <t>D120</t>
  </si>
  <si>
    <t>D119</t>
  </si>
  <si>
    <t>D118</t>
  </si>
  <si>
    <t>D117</t>
  </si>
  <si>
    <t>D116</t>
  </si>
  <si>
    <t>D115</t>
  </si>
  <si>
    <t>D114</t>
  </si>
  <si>
    <t>D113</t>
  </si>
  <si>
    <t>D112</t>
  </si>
  <si>
    <t>D111</t>
  </si>
  <si>
    <t>D110</t>
  </si>
  <si>
    <t>D109</t>
  </si>
  <si>
    <t>D108</t>
  </si>
  <si>
    <t>D107</t>
  </si>
  <si>
    <t>D106</t>
  </si>
  <si>
    <t>D105</t>
  </si>
  <si>
    <t>D104</t>
  </si>
  <si>
    <t>D103</t>
  </si>
  <si>
    <t>D102</t>
  </si>
  <si>
    <t>D101</t>
  </si>
  <si>
    <t>D100</t>
  </si>
  <si>
    <t>D99</t>
  </si>
  <si>
    <t>D98</t>
  </si>
  <si>
    <t>D97</t>
  </si>
  <si>
    <t>D96</t>
  </si>
  <si>
    <t>D95</t>
  </si>
  <si>
    <t>D94</t>
  </si>
  <si>
    <t>D93</t>
  </si>
  <si>
    <t>D92</t>
  </si>
  <si>
    <t>D91</t>
  </si>
  <si>
    <t>D90</t>
  </si>
  <si>
    <t>D89</t>
  </si>
  <si>
    <t>D88</t>
  </si>
  <si>
    <t>D87</t>
  </si>
  <si>
    <t>D86</t>
  </si>
  <si>
    <t>D85</t>
  </si>
  <si>
    <t>D84</t>
  </si>
  <si>
    <t>D83</t>
  </si>
  <si>
    <t>D82</t>
  </si>
  <si>
    <t>D81</t>
  </si>
  <si>
    <t>D80</t>
  </si>
  <si>
    <t>D79</t>
  </si>
  <si>
    <t>D78</t>
  </si>
  <si>
    <t>D77</t>
  </si>
  <si>
    <t>D76</t>
  </si>
  <si>
    <t>D75</t>
  </si>
  <si>
    <t>D74</t>
  </si>
  <si>
    <t>D73</t>
  </si>
  <si>
    <t>D72</t>
  </si>
  <si>
    <t>D71</t>
  </si>
  <si>
    <t>D70</t>
  </si>
  <si>
    <t>D69</t>
  </si>
  <si>
    <t>D68</t>
  </si>
  <si>
    <t>D67</t>
  </si>
  <si>
    <t>D66</t>
  </si>
  <si>
    <t>D65</t>
  </si>
  <si>
    <t>D64</t>
  </si>
  <si>
    <t>D63</t>
  </si>
  <si>
    <t>D62</t>
  </si>
  <si>
    <t>D61</t>
  </si>
  <si>
    <t>D60</t>
  </si>
  <si>
    <t>D59</t>
  </si>
  <si>
    <t>D58</t>
  </si>
  <si>
    <t>D57</t>
  </si>
  <si>
    <t>D56</t>
  </si>
  <si>
    <t>D55</t>
  </si>
  <si>
    <t>D54</t>
  </si>
  <si>
    <t>D53</t>
  </si>
  <si>
    <t>D52</t>
  </si>
  <si>
    <t>D51</t>
  </si>
  <si>
    <t>D50</t>
  </si>
  <si>
    <t>D49</t>
  </si>
  <si>
    <t>D48</t>
  </si>
  <si>
    <t>D47</t>
  </si>
  <si>
    <t>D46</t>
  </si>
  <si>
    <t>D45</t>
  </si>
  <si>
    <t>D44</t>
  </si>
  <si>
    <t>D43</t>
  </si>
  <si>
    <t>D42</t>
  </si>
  <si>
    <t>D41</t>
  </si>
  <si>
    <t>D40</t>
  </si>
  <si>
    <t>D39</t>
  </si>
  <si>
    <t>D38</t>
  </si>
  <si>
    <t>D37</t>
  </si>
  <si>
    <t>D36</t>
  </si>
  <si>
    <t>D35</t>
  </si>
  <si>
    <t>D34</t>
  </si>
  <si>
    <t>D33</t>
  </si>
  <si>
    <t>D32</t>
  </si>
  <si>
    <t>D31</t>
  </si>
  <si>
    <t>D30</t>
  </si>
  <si>
    <t>D29</t>
  </si>
  <si>
    <t>D28</t>
  </si>
  <si>
    <t>D27</t>
  </si>
  <si>
    <t>D26</t>
  </si>
  <si>
    <t>D25</t>
  </si>
  <si>
    <t>D24</t>
  </si>
  <si>
    <t>D23</t>
  </si>
  <si>
    <t>D22</t>
  </si>
  <si>
    <t>D21</t>
  </si>
  <si>
    <t>D20</t>
  </si>
  <si>
    <t>D19</t>
  </si>
  <si>
    <t>D18</t>
  </si>
  <si>
    <t>D17</t>
  </si>
  <si>
    <t>D16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</si>
  <si>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</si>
  <si>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</si>
  <si>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</si>
  <si>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</si>
  <si>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</si>
  <si>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</si>
  <si>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</si>
  <si>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</si>
  <si>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</si>
  <si>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</si>
  <si>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</si>
  <si>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</si>
  <si>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</si>
  <si>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</si>
  <si>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</si>
  <si>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S1</t>
  </si>
  <si>
    <t>OPT-MARK</t>
  </si>
  <si>
    <t>Fiducial</t>
  </si>
  <si>
    <t>S2</t>
  </si>
  <si>
    <t>S3</t>
  </si>
  <si>
    <t>Pick &amp; Place – Pick Place for OPT-LI15020-X7-V2.3.2.csv</t>
  </si>
  <si>
    <t>D1_1</t>
  </si>
  <si>
    <t>2001-/-F03-1</t>
  </si>
  <si>
    <t>D2_1</t>
  </si>
  <si>
    <t>D3_1</t>
  </si>
  <si>
    <t>D4_1</t>
  </si>
  <si>
    <t>D5_1</t>
  </si>
  <si>
    <t>D6_1</t>
  </si>
  <si>
    <t>D7_1</t>
  </si>
  <si>
    <t>D8_1</t>
  </si>
  <si>
    <t>D9_1</t>
  </si>
  <si>
    <t>D10_1</t>
  </si>
  <si>
    <t>D11_1</t>
  </si>
  <si>
    <t>D12_1</t>
  </si>
  <si>
    <t>D13_1</t>
  </si>
  <si>
    <t>D14_1</t>
  </si>
  <si>
    <t>D15_1</t>
  </si>
  <si>
    <t>D16_1</t>
  </si>
  <si>
    <t>D17_1</t>
  </si>
  <si>
    <t>D18_1</t>
  </si>
  <si>
    <t>D19_1</t>
  </si>
  <si>
    <t>D20_1</t>
  </si>
  <si>
    <t>D21_1</t>
  </si>
  <si>
    <t>D22_1</t>
  </si>
  <si>
    <t>D23_1</t>
  </si>
  <si>
    <t>D24_1</t>
  </si>
  <si>
    <t>D25_1</t>
  </si>
  <si>
    <t>D26_1</t>
  </si>
  <si>
    <t>D27_1</t>
  </si>
  <si>
    <t>D28_1</t>
  </si>
  <si>
    <t>D29_1</t>
  </si>
  <si>
    <t>D30_1</t>
  </si>
  <si>
    <t>D31_1</t>
  </si>
  <si>
    <t>D32_1</t>
  </si>
  <si>
    <t>D33_1</t>
  </si>
  <si>
    <t>D34_1</t>
  </si>
  <si>
    <t>D35_1</t>
  </si>
  <si>
    <t>D36_1</t>
  </si>
  <si>
    <t>D37_1</t>
  </si>
  <si>
    <t>D38_1</t>
  </si>
  <si>
    <t>D39_1</t>
  </si>
  <si>
    <t>D40_1</t>
  </si>
  <si>
    <t>D41_1</t>
  </si>
  <si>
    <t>D42_1</t>
  </si>
  <si>
    <t>D43_1</t>
  </si>
  <si>
    <t>D44_1</t>
  </si>
  <si>
    <t>D45_1</t>
  </si>
  <si>
    <t>D46_1</t>
  </si>
  <si>
    <t>D47_1</t>
  </si>
  <si>
    <t>D48_1</t>
  </si>
  <si>
    <t>D49_1</t>
  </si>
  <si>
    <t>D50_1</t>
  </si>
  <si>
    <t>D51_1</t>
  </si>
  <si>
    <t>D52_1</t>
  </si>
  <si>
    <t>D53_1</t>
  </si>
  <si>
    <t>D54_1</t>
  </si>
  <si>
    <t>D55_1</t>
  </si>
  <si>
    <t>D56_1</t>
  </si>
  <si>
    <t>D57_1</t>
  </si>
  <si>
    <t>D58_1</t>
  </si>
  <si>
    <t>D59_1</t>
  </si>
  <si>
    <t>D60_1</t>
  </si>
  <si>
    <t>D61_1</t>
  </si>
  <si>
    <t>D62_1</t>
  </si>
  <si>
    <t>D63_1</t>
  </si>
  <si>
    <t>D64_1</t>
  </si>
  <si>
    <t>D65_1</t>
  </si>
  <si>
    <t>D66_1</t>
  </si>
  <si>
    <t>D67_1</t>
  </si>
  <si>
    <t>D68_1</t>
  </si>
  <si>
    <t>D69_1</t>
  </si>
  <si>
    <t>D70_1</t>
  </si>
  <si>
    <t>D71_1</t>
  </si>
  <si>
    <t>D72_1</t>
  </si>
  <si>
    <t>D73_1</t>
  </si>
  <si>
    <t>D74_1</t>
  </si>
  <si>
    <t>D75_1</t>
  </si>
  <si>
    <t>D76_1</t>
  </si>
  <si>
    <t>D77_1</t>
  </si>
  <si>
    <t>D78_1</t>
  </si>
  <si>
    <t>D79_1</t>
  </si>
  <si>
    <t>D80_1</t>
  </si>
  <si>
    <t>D81_1</t>
  </si>
  <si>
    <t>D82_1</t>
  </si>
  <si>
    <t>D83_1</t>
  </si>
  <si>
    <t>D84_1</t>
  </si>
  <si>
    <t>R1_1</t>
  </si>
  <si>
    <t>RES1</t>
  </si>
  <si>
    <t>BottomLayer</t>
  </si>
  <si>
    <t>OPT-1206</t>
  </si>
  <si>
    <t>R2_1</t>
  </si>
  <si>
    <t>R3_1</t>
  </si>
  <si>
    <t>R4_1</t>
  </si>
  <si>
    <t>R5_1</t>
  </si>
  <si>
    <t>R6_1</t>
  </si>
  <si>
    <t>R7_1</t>
  </si>
  <si>
    <t>R8_1</t>
  </si>
  <si>
    <t>R9_1</t>
  </si>
  <si>
    <t>R10_1</t>
  </si>
  <si>
    <t>R11_1</t>
  </si>
  <si>
    <t>R12_1</t>
  </si>
  <si>
    <t>OPT LED-Light PCBs – Fabrication Requirements, Drawings, Drill &amp; Gerber Data</t>
  </si>
  <si>
    <t>Sources: PCB Processing Requirements.docx, PCB drawing PDFs (FL285182 / LI15020), *.DRR NC-drill reports, Gerber set</t>
  </si>
  <si>
    <t>PCB processing requirements (docx) – 4 light models</t>
  </si>
  <si>
    <t>LI15020-W-V2.3.2-MC</t>
  </si>
  <si>
    <t>FL285182-W-V1.0.3-MC</t>
  </si>
  <si>
    <t>CO14060L-B7-V1.0.8-L-MC</t>
  </si>
  <si>
    <t>LIG6010-W6-V1.2.5-MC / LIG6010-B6-V1.2.3-MC</t>
  </si>
  <si>
    <t>PCB model</t>
  </si>
  <si>
    <t>LI15020-X7-V2.3.2</t>
  </si>
  <si>
    <t>FL285182-X6-V1.0.2</t>
  </si>
  <si>
    <t>CO14060-X7-V1.0</t>
  </si>
  <si>
    <t>LIG6010-IR6-V1.0.1 (shared)</t>
  </si>
  <si>
    <t>Base material</t>
  </si>
  <si>
    <t>FR-4</t>
  </si>
  <si>
    <t>A5052 aluminium substrate</t>
  </si>
  <si>
    <t>Structure / thickness</t>
  </si>
  <si>
    <t>Double-sided, 1.6 mm</t>
  </si>
  <si>
    <t>Double-sided, 1.0 mm</t>
  </si>
  <si>
    <t>White mask both sides, 1.60 mm</t>
  </si>
  <si>
    <t>2.0 mm</t>
  </si>
  <si>
    <t>Outline</t>
  </si>
  <si>
    <t>139.8 (+0/−0.20) × 17.8 (+0/−0.20) mm</t>
  </si>
  <si>
    <t>≈273.7 × 170.7 mm ±0.1, L-shaped/stepped; local 73.2 ±0.1</t>
  </si>
  <si>
    <t>141.60 ±0.15 × 62.70 ±0.15 mm; LED pitch span ≈133.92 mm, 28 LEDs across width</t>
  </si>
  <si>
    <t>49.60 × 8.00 mm; ±0.10 for L≤150</t>
  </si>
  <si>
    <t>Holes</t>
  </si>
  <si>
    <t>per PCB data</t>
  </si>
  <si>
    <t>per drawing</t>
  </si>
  <si>
    <t>2 × Ø1.50 through + centre Ø3 through</t>
  </si>
  <si>
    <t>LED qty</t>
  </si>
  <si>
    <t>LED spec</t>
  </si>
  <si>
    <t>2001/-F03-1 (3 mm THT)</t>
  </si>
  <si>
    <t>3528 SMD LED</t>
  </si>
  <si>
    <t>package code 1</t>
  </si>
  <si>
    <t>OSRAM SMD LED</t>
  </si>
  <si>
    <t>LEDs per string</t>
  </si>
  <si>
    <t>1206, 1 per string</t>
  </si>
  <si>
    <t>0805 SMD, 1 per string</t>
  </si>
  <si>
    <t>1206 SMD, 1 per string</t>
  </si>
  <si>
    <t>2010 SMD</t>
  </si>
  <si>
    <t>Solder mask / legend</t>
  </si>
  <si>
    <t>White both sides; back legend LI15020-X7-V2.3.2</t>
  </si>
  <si>
    <t>White both sides; back legend FL285182-X6-V1.0.2</t>
  </si>
  <si>
    <t>White both sides; back legend CO14060-X7-V1.0</t>
  </si>
  <si>
    <t>White front; front legend LIG6010-IR6-V1.0.1 (drop "OPT-")</t>
  </si>
  <si>
    <t>Edge clearance</t>
  </si>
  <si>
    <t>Long 1.5 mm, short 1.5 mm</t>
  </si>
  <si>
    <t>Front side 0.8 mm</t>
  </si>
  <si>
    <t>Top/bottom 0.3 mm; left/right 1.5 mm</t>
  </si>
  <si>
    <t>—</t>
  </si>
  <si>
    <t>Pads / layout</t>
  </si>
  <si>
    <t>Resistors &amp; power pads on back</t>
  </si>
  <si>
    <t>Resistors &amp; power pads on front</t>
  </si>
  <si>
    <t>Pads on back</t>
  </si>
  <si>
    <t>Power pads on back; end features per data</t>
  </si>
  <si>
    <t>General tolerance</t>
  </si>
  <si>
    <t>GB/T 1804-F</t>
  </si>
  <si>
    <t>Thickness: T&lt;1 ±0.10; 1≤T≤1.6 ±0.13; 1.6&lt;T≤2.5 ±0.18</t>
  </si>
  <si>
    <t>Protruding pads/connecting features at ends; side-view ≈1.6 mm</t>
  </si>
  <si>
    <t>PCB drawing title-block &amp; dimension data</t>
  </si>
  <si>
    <t>Field</t>
  </si>
  <si>
    <t>OPT-FL285182-X6-V1.0.2 PCB</t>
  </si>
  <si>
    <t>OPT-LI15020-X7-V2.3.2 PCB requirements</t>
  </si>
  <si>
    <t>Drawing no.</t>
  </si>
  <si>
    <t>SJFB20251029A11901</t>
  </si>
  <si>
    <t>SJFB2025-11-01A10701</t>
  </si>
  <si>
    <t>Company</t>
  </si>
  <si>
    <t>OPT Machine Vision Tech Co., Ltd.</t>
  </si>
  <si>
    <t>Item code</t>
  </si>
  <si>
    <t>Scale / sheet</t>
  </si>
  <si>
    <t>1:2, A4</t>
  </si>
  <si>
    <t>1:1, A4</t>
  </si>
  <si>
    <t>Drawing date</t>
  </si>
  <si>
    <t>2025-10-29</t>
  </si>
  <si>
    <t>2025-11-01 (generated 2020-11-19)</t>
  </si>
  <si>
    <t>Revisions</t>
  </si>
  <si>
    <t>A01 first issue; A02 legend text update</t>
  </si>
  <si>
    <t>Overall outline</t>
  </si>
  <si>
    <t>273.7 ±0.1 (L) × 170.7 (H, ±0.1) mm L-shape</t>
  </si>
  <si>
    <t>139.8 (0/−0.20) × 17.8 (0/−0.20) mm</t>
  </si>
  <si>
    <t>Feature dims</t>
  </si>
  <si>
    <t>Vertical leg 73.2 ±0.1 wide; horizontal leg 53.2 high; inner corner R0.5; LED pitch 6.5 × 6.5; first LED 3.55 / 3.85 from edge</t>
  </si>
  <si>
    <t>LED pitch 4.9, 28 equally spaced over 132.3; first LED 3.75 from edge; 3 rows at 5.1 pitch (10.2 total), 3.8 from edge</t>
  </si>
  <si>
    <t>Thickness (side view)</t>
  </si>
  <si>
    <t>1.0 mm</t>
  </si>
  <si>
    <t>1.6 mm</t>
  </si>
  <si>
    <t>Power pads</t>
  </si>
  <si>
    <t>Front side, marked on vertical leg</t>
  </si>
  <si>
    <t>Back side, near LED col 3–4</t>
  </si>
  <si>
    <t>Untoleranced dims</t>
  </si>
  <si>
    <t>NC drill reports (.DRR)</t>
  </si>
  <si>
    <t>Board</t>
  </si>
  <si>
    <t>Tool</t>
  </si>
  <si>
    <t>Hole Ø (mm)</t>
  </si>
  <si>
    <t>Count</t>
  </si>
  <si>
    <t>Generated</t>
  </si>
  <si>
    <t>FL285182</t>
  </si>
  <si>
    <t>T1</t>
  </si>
  <si>
    <t>PTH</t>
  </si>
  <si>
    <t>2025/10/30 08:28 (Altium 19.0.14)</t>
  </si>
  <si>
    <t>T2</t>
  </si>
  <si>
    <t>NPTH</t>
  </si>
  <si>
    <t>LI15020</t>
  </si>
  <si>
    <t>2025-10-28 13:45 (Altium 19.0.14)</t>
  </si>
  <si>
    <t>T3</t>
  </si>
  <si>
    <t>Gerber file inventory</t>
  </si>
  <si>
    <t>File</t>
  </si>
  <si>
    <t>Layer meaning</t>
  </si>
  <si>
    <t>Size (bytes)</t>
  </si>
  <si>
    <t>OPT-FL285182-X6-V1.0.2.DRR</t>
  </si>
  <si>
    <t>NC drill report</t>
  </si>
  <si>
    <t>OPT-FL285182-X6-V1.0.2.GBL</t>
  </si>
  <si>
    <t>Bottom copper</t>
  </si>
  <si>
    <t>OPT-FL285182-X6-V1.0.2.GBO</t>
  </si>
  <si>
    <t>Bottom silkscreen</t>
  </si>
  <si>
    <t>OPT-FL285182-X6-V1.0.2.GBS</t>
  </si>
  <si>
    <t>Bottom solder mask</t>
  </si>
  <si>
    <t>OPT-FL285182-X6-V1.0.2.GD1</t>
  </si>
  <si>
    <t>Drill drawing</t>
  </si>
  <si>
    <t>OPT-FL285182-X6-V1.0.2.GG1</t>
  </si>
  <si>
    <t>Drill guide</t>
  </si>
  <si>
    <t>OPT-FL285182-X6-V1.0.2.GKO</t>
  </si>
  <si>
    <t>Keep-out / board outline</t>
  </si>
  <si>
    <t>OPT-FL285182-X6-V1.0.2.GPB</t>
  </si>
  <si>
    <t>Bottom pad master</t>
  </si>
  <si>
    <t>OPT-FL285182-X6-V1.0.2.GPT</t>
  </si>
  <si>
    <t>Top pad master</t>
  </si>
  <si>
    <t>OPT-FL285182-X6-V1.0.2.GTL</t>
  </si>
  <si>
    <t>Top copper</t>
  </si>
  <si>
    <t>OPT-FL285182-X6-V1.0.2.GTO</t>
  </si>
  <si>
    <t>Top silkscreen</t>
  </si>
  <si>
    <t>OPT-FL285182-X6-V1.0.2.GTP</t>
  </si>
  <si>
    <t>Top paste</t>
  </si>
  <si>
    <t>OPT-FL285182-X6-V1.0.2.GTS</t>
  </si>
  <si>
    <t>Top solder mask</t>
  </si>
  <si>
    <t>OPT-FL285182-X6-V1.0.2.TXT</t>
  </si>
  <si>
    <t>NC drill (Excellon)</t>
  </si>
  <si>
    <t>Pick Place for OPT-FL285182-X6-V1.0.2.csv</t>
  </si>
  <si>
    <t>Pick &amp; place</t>
  </si>
  <si>
    <t>OPT-LI15020-X7-V2.3.2.DRR</t>
  </si>
  <si>
    <t>OPT-LI15020-X7-V2.3.2.GBL</t>
  </si>
  <si>
    <t>OPT-LI15020-X7-V2.3.2.GBO</t>
  </si>
  <si>
    <t>OPT-LI15020-X7-V2.3.2.GBP</t>
  </si>
  <si>
    <t>Bottom paste</t>
  </si>
  <si>
    <t>OPT-LI15020-X7-V2.3.2.GBS</t>
  </si>
  <si>
    <t>OPT-LI15020-X7-V2.3.2.GD1</t>
  </si>
  <si>
    <t>OPT-LI15020-X7-V2.3.2.GG1</t>
  </si>
  <si>
    <t>OPT-LI15020-X7-V2.3.2.GKO</t>
  </si>
  <si>
    <t>OPT-LI15020-X7-V2.3.2.GPB</t>
  </si>
  <si>
    <t>OPT-LI15020-X7-V2.3.2.GPT</t>
  </si>
  <si>
    <t>OPT-LI15020-X7-V2.3.2.GTL</t>
  </si>
  <si>
    <t>OPT-LI15020-X7-V2.3.2.GTO</t>
  </si>
  <si>
    <t>OPT-LI15020-X7-V2.3.2.GTS</t>
  </si>
  <si>
    <t>OPT-LI15020-X7-V2.3.2.TXT</t>
  </si>
  <si>
    <t>Pick Place for OPT-LI15020-X7-V2.3.2.csv</t>
  </si>
  <si>
    <t>OPT LED-Light PCBs – Extracted ECAD Features</t>
  </si>
  <si>
    <t>Derived from Gerber outline (GKO), NC-drill (TXT/DRR) and pick&amp;place. Counts are live formulas on the PnP sheets.</t>
  </si>
  <si>
    <t>Method</t>
  </si>
  <si>
    <t>Gerber outline bounding X</t>
  </si>
  <si>
    <t>GKO extents</t>
  </si>
  <si>
    <t>Gerber outline bounding Y</t>
  </si>
  <si>
    <t>GKO extents (LI = 2-up panel incl. 10 mm rails)</t>
  </si>
  <si>
    <t>Single-board outline</t>
  </si>
  <si>
    <t>L-shape 273.7 × 170.7</t>
  </si>
  <si>
    <t>139.8 × 17.8</t>
  </si>
  <si>
    <t>Drawing</t>
  </si>
  <si>
    <t>Board net area (single)</t>
  </si>
  <si>
    <t>FL: 273.7×53.2 + 73.2×117.5 (L-shape from GKO)</t>
  </si>
  <si>
    <t>Bounding-box area (single)</t>
  </si>
  <si>
    <t>Shape utilisation (net / bounding)</t>
  </si>
  <si>
    <t>Low value ⇒ panel waste, routing cost</t>
  </si>
  <si>
    <t>Panelisation</t>
  </si>
  <si>
    <t>Single</t>
  </si>
  <si>
    <t>2-up (139.8 × 55.6 panel, 2 × 10 mm rails)</t>
  </si>
  <si>
    <t>GKO + BOM text</t>
  </si>
  <si>
    <t>Copper layers</t>
  </si>
  <si>
    <t>GTL + GBL present</t>
  </si>
  <si>
    <t>Board thickness</t>
  </si>
  <si>
    <t>Drawing / docx</t>
  </si>
  <si>
    <t>Bottom paste layer present (bottom SMT)</t>
  </si>
  <si>
    <t>Yes</t>
  </si>
  <si>
    <t>GBP file present?</t>
  </si>
  <si>
    <t>Placements in PnP file</t>
  </si>
  <si>
    <t>per PnP file (LI = per panel)</t>
  </si>
  <si>
    <t>LED placements</t>
  </si>
  <si>
    <t>Fiducials</t>
  </si>
  <si>
    <t>LEDs per board (BOM)</t>
  </si>
  <si>
    <t>Resistors per board (BOM)</t>
  </si>
  <si>
    <t>Strings (= resistors)</t>
  </si>
  <si>
    <t>check: = resistor count</t>
  </si>
  <si>
    <t>Top-layer placements</t>
  </si>
  <si>
    <t>Bottom-layer placements</t>
  </si>
  <si>
    <t>Unique footprints</t>
  </si>
  <si>
    <t>FL: OPT-0805, 3528 LED, OPT-MARK; LI: 2001-/-F03-1, 1206</t>
  </si>
  <si>
    <t>LED mounting</t>
  </si>
  <si>
    <t>SMD (3528)</t>
  </si>
  <si>
    <t>THT (3 mm radial)</t>
  </si>
  <si>
    <t>Component density (single board)</t>
  </si>
  <si>
    <t>pcs/cm²</t>
  </si>
  <si>
    <t>Plated holes (PTH)</t>
  </si>
  <si>
    <t>holes</t>
  </si>
  <si>
    <t>DRR (LI per 2-up panel)</t>
  </si>
  <si>
    <t>Non-plated holes (NPTH)</t>
  </si>
  <si>
    <t>Distinct drill sizes</t>
  </si>
  <si>
    <t>Min drill Ø</t>
  </si>
  <si>
    <t>THT solder joints per board</t>
  </si>
  <si>
    <t>LI: 2 leads per LED (wave/selective)</t>
  </si>
  <si>
    <t>SMD solder joints per board</t>
  </si>
  <si>
    <t>2 pads each</t>
  </si>
  <si>
    <t>White both sides / back</t>
  </si>
  <si>
    <t>Harness used</t>
  </si>
  <si>
    <t>GYX0.9M-2P-R-N-V1.0N (900 mm, no stop)</t>
  </si>
  <si>
    <t>GYX0.8M-2P-R-Y-V1.0N (800 mm, with stop)</t>
  </si>
  <si>
    <t>BOM</t>
  </si>
  <si>
    <t>OPT Robot-Cable Light-Source Harnesses – GYXL-2P-R-N / GYXL-2P-R-Y</t>
  </si>
  <si>
    <t>Source: GYXL-2P-R-N-V1.0N / GYXL-2P-R-Y-V1.0N Cable Harness.pdf (OPT Machine Vision, A4, 1:1, GB/T 1804-F)</t>
  </si>
  <si>
    <t>Variant table</t>
  </si>
  <si>
    <t>No.</t>
  </si>
  <si>
    <t>Spec / part name</t>
  </si>
  <si>
    <t>Length L (mm)</t>
  </si>
  <si>
    <t>Tol ± (mm)</t>
  </si>
  <si>
    <t>Cable stop</t>
  </si>
  <si>
    <t>Raw cable part no.</t>
  </si>
  <si>
    <t>R-N</t>
  </si>
  <si>
    <t>21010000940</t>
  </si>
  <si>
    <t>GYX0.4M-2P-R-N-V1.0N, 2PIN male, robot cable, no OPT marking</t>
  </si>
  <si>
    <t>21010000918 (core brown/white)</t>
  </si>
  <si>
    <t>21010000978</t>
  </si>
  <si>
    <t>GYX0.6M-2P-R-N-V1.0N, 2PIN male, robot cable, no OPT marking</t>
  </si>
  <si>
    <t>GYX0.9M-2P-R-N-V1.0N, 2PIN male, robot cable, no OPT marking</t>
  </si>
  <si>
    <t>21010000942</t>
  </si>
  <si>
    <t>GYX2.1M-2P-R-N-V1.0N, 2PIN male, robot cable, no OPT marking</t>
  </si>
  <si>
    <t>21010000943</t>
  </si>
  <si>
    <t>GYX3.1M-2P-R-N-V1.0N, 2PIN male, robot cable, no OPT marking</t>
  </si>
  <si>
    <t>21010000944</t>
  </si>
  <si>
    <t>GYX5.1M-2P-R-N-V1.0N, 2PIN male, robot cable, no OPT marking</t>
  </si>
  <si>
    <t>R-Y</t>
  </si>
  <si>
    <t>21010000910</t>
  </si>
  <si>
    <t>GYX0.3M-2P-R-Y-V1.0N, 2PIN male, robot cable, no OPT marking</t>
  </si>
  <si>
    <t>21010000979</t>
  </si>
  <si>
    <t>GYX0.5M-2P-R-Y-V1.0N, 2PIN male, robot cable, no OPT marking</t>
  </si>
  <si>
    <t>GYX0.8M-2P-R-Y-V1.0N, 2PIN male, robot cable, no OPT marking</t>
  </si>
  <si>
    <t>21010000911</t>
  </si>
  <si>
    <t>GYX2M-2P-R-Y-V1.0N, 2PIN male, robot cable, no OPT marking</t>
  </si>
  <si>
    <t>21010000912</t>
  </si>
  <si>
    <t>GYX3M-2P-R-Y-V1.0N, 2PIN male, robot cable, no OPT marking</t>
  </si>
  <si>
    <t>21010000913</t>
  </si>
  <si>
    <t>GYX5M-2P-R-Y-V1.0N, 2PIN male, robot cable, no OPT marking</t>
  </si>
  <si>
    <t>Common construction &amp; dimensions</t>
  </si>
  <si>
    <t>GYXL-2P-R-N (no stop)</t>
  </si>
  <si>
    <t>GYXL-2P-R-Y (with stop)</t>
  </si>
  <si>
    <t>2-core male JST SMR-02V-B</t>
  </si>
  <si>
    <t>Pinout</t>
  </si>
  <si>
    <t>White = Negative, Brown = Positive</t>
  </si>
  <si>
    <t>Cable</t>
  </si>
  <si>
    <t>2-core robot (drag-chain) cable, Ø4.1, black sheath</t>
  </si>
  <si>
    <t>same</t>
  </si>
  <si>
    <t>Cable OD</t>
  </si>
  <si>
    <t>Connector overall length</t>
  </si>
  <si>
    <t>Connector body to latch</t>
  </si>
  <si>
    <t>Latch length</t>
  </si>
  <si>
    <t>Connector height</t>
  </si>
  <si>
    <t>Strain relief</t>
  </si>
  <si>
    <t>Flexible strain relief + 4.1 mm flexible strain relief</t>
  </si>
  <si>
    <t>Free-end jacket &amp; yarn strip</t>
  </si>
  <si>
    <t>30 ± 10</t>
  </si>
  <si>
    <t>80 ± 5</t>
  </si>
  <si>
    <t>None</t>
  </si>
  <si>
    <t>OD 4.1 mm cable stop, pull-out &gt; 50 N; stop height 5.8; 2 ± 1 from strip</t>
  </si>
  <si>
    <t>OPT marking</t>
  </si>
  <si>
    <t>AWG (from OPT BOM)</t>
  </si>
  <si>
    <t>24 AWG</t>
  </si>
  <si>
    <t>Drawing generated / revised</t>
  </si>
  <si>
    <t>2017-04-12 / 2019-08-24</t>
  </si>
  <si>
    <t>2017-04-12 / 2024-03-26</t>
  </si>
  <si>
    <t>Revision history</t>
  </si>
  <si>
    <t>A01 first issue; A02 add item codes, update spec, replace light-cable drawing</t>
  </si>
  <si>
    <t>A03 add item codes/spec; A04 longer strip length; A05 remove iron ring</t>
  </si>
  <si>
    <t>Technical requirements (both drawings)</t>
  </si>
  <si>
    <t>1. Refer to the 3D drawing for all unspecified dimensions</t>
  </si>
  <si>
    <t>2. All draft angles 1°</t>
  </si>
  <si>
    <t>3. Cable retainer pull-out force &gt; 50 N</t>
  </si>
  <si>
    <t>4. Appearance per OPT IQC "Cable Harness Inspection Specification"</t>
  </si>
  <si>
    <t>5. Cable-stop compound: 105 °C heat-resistant PVC, hardness 60P</t>
  </si>
  <si>
    <t>6. All materials RoHS compliant</t>
  </si>
  <si>
    <t>7. No sink marks, flash or other surface defects</t>
  </si>
  <si>
    <t>Source-Data Inconsistencies (verify before using as ground truth)</t>
  </si>
  <si>
    <t>#</t>
  </si>
  <si>
    <t>Where</t>
  </si>
  <si>
    <t>Issue</t>
  </si>
  <si>
    <t>How handled</t>
  </si>
  <si>
    <t>DC PCBA BOM p9 vs cost BOM p29</t>
  </si>
  <si>
    <t>Board side differs: p9 lists items 1–26 on Bottom, 27–37 on Top; cost BOM lists 1–27 Top, 28–37 Bot.</t>
  </si>
  <si>
    <t>Both kept (cols L, M). Features use p9.</t>
  </si>
  <si>
    <t>DC PCBA BOM p9</t>
  </si>
  <si>
    <t>"PIN" column for items 20–26 reads 3,4,5…9 – looks like an Excel fill-series error (all are 2-terminal resistors).</t>
  </si>
  <si>
    <t>Kept raw in col P; features use cost-BOM pin count (col O).</t>
  </si>
  <si>
    <t>Sr. No. column repeats "28" for items 29–36.</t>
  </si>
  <si>
    <t>Part ref used as key.</t>
  </si>
  <si>
    <t>DC PCBA BOM cost</t>
  </si>
  <si>
    <t>"Supplier code" column holds unrelated text (laminate brands, capacitor specs, LED MPNs) – template carry-over.</t>
  </si>
  <si>
    <t>Kept as "raw" column T; do not use.</t>
  </si>
  <si>
    <t>DC-PCBA-15 (LM5116 IC) categorised Passive; DC-PCBA-37 bare PCB categorised SMD/Passive.</t>
  </si>
  <si>
    <t>Kept; features filter PCB via p9 mount = "PCB".</t>
  </si>
  <si>
    <t>Lines 44–47 (label, support, light guides – Electrolux EDW7200 parts) are unrelated to the DC-DC converter.</t>
  </si>
  <si>
    <t>Listed separately, zero cost.</t>
  </si>
  <si>
    <t>BOM text: 1.6 mm thick; p9 marking: 64 × 50 × 1.5 mm.</t>
  </si>
  <si>
    <t>Both shown.</t>
  </si>
  <si>
    <t>PCBA cost</t>
  </si>
  <si>
    <t>p25 PCBA ex-works ₹471.14 vs ₹505.93 used in p24 assembly &amp; cost-proposition (366.81+66.33+72.79).</t>
  </si>
  <si>
    <t>Both kept; p24 value used in assembly roll-up.</t>
  </si>
  <si>
    <t>Scenario table p22</t>
  </si>
  <si>
    <t>DC-00 Scenario-2 batch printed as 50000.</t>
  </si>
  <si>
    <t>Comment added; read as 5000.</t>
  </si>
  <si>
    <t>Supplier p42–44</t>
  </si>
  <si>
    <t>PCBA negotiated cost ₹1050 in text vs ₹1040 in reduction chart (28%).</t>
  </si>
  <si>
    <t>Text value used.</t>
  </si>
  <si>
    <t>WH BOM</t>
  </si>
  <si>
    <t>p14 component list numbering/qty (wires 20 cm each, tube 13 cm) differs from p28 cost BOM (wires 0.66 m 12 AWG, tube 1 EA).</t>
  </si>
  <si>
    <t>Both sheets kept side-by-side.</t>
  </si>
  <si>
    <t>Body casting</t>
  </si>
  <si>
    <t>Op30 says recommended 136 t / selected 150 t, but tonnage calc page gives 43 t clamping.</t>
  </si>
  <si>
    <t>Both kept.</t>
  </si>
  <si>
    <t>Body dims p16</t>
  </si>
  <si>
    <t>Part identification number shown as DC-PCBA-38 for the body (should be DC-ME-00).</t>
  </si>
  <si>
    <t>Ignored.</t>
  </si>
  <si>
    <t>Body overheads p35</t>
  </si>
  <si>
    <t>ICC 1.5% printed with the same value as Material OH 5% (₹0.9853).</t>
  </si>
  <si>
    <t>Values kept as printed; total ₹10.32 reconciles.</t>
  </si>
  <si>
    <t>OPT harness R-Y</t>
  </si>
  <si>
    <t>Revision A03 lists item 12010000913 (typo for 21010000913).</t>
  </si>
  <si>
    <t>Variant table uses 21010000913.</t>
  </si>
  <si>
    <t>Bare PCB p26</t>
  </si>
  <si>
    <t>Cost-distribution lines sum to ₹33.123 but printed TOTAL / SC ex-works is ₹34.785 (Δ ₹1.66).</t>
  </si>
  <si>
    <t>Sheet uses live SUM (33.12); source total noted.</t>
  </si>
  <si>
    <t>PCBA p25</t>
  </si>
  <si>
    <t>Process cycle times sum to 59.44 s but printed total is 58.78 s.</t>
  </si>
  <si>
    <t>Live SUM used.</t>
  </si>
  <si>
    <t>Body p34–35</t>
  </si>
  <si>
    <t>Ops print ₹4.37+37.08+1.72+1.17+0.96 = 45.30 (rounded); detail rows here sum to 45.33. Total OH ₹10.32 excludes the ICC 1.5% line.</t>
  </si>
  <si>
    <t>Rounding accepted; OH total mirrors source.</t>
  </si>
  <si>
    <t>Pin count 19 on a 1206 resistor (DC-PCBA-25) and 2 on the 20-pin LM5116.</t>
  </si>
  <si>
    <t>Clean pin col AC added.</t>
  </si>
  <si>
    <t>OPT LI15020</t>
  </si>
  <si>
    <t>PnP &amp; drill files are for a 2-up panel (168 LEDs, 24 R, 336 PTH) vs 84 LEDs / 12 R per board.</t>
  </si>
  <si>
    <t>Features note per-panel vs per-board.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</si>
</sst>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%"/>
    <numFmt numFmtId="167" formatCode="0.000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9"/>
      <color rgb="FF595959"/>
      <name val="Arial"/>
    </font>
    <font>
      <i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2" fontId="6" fillId="4" borderId="1" xfId="0" applyNumberFormat="1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9" fontId="6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4" fontId="5" fillId="0" borderId="1" xfId="0" applyNumberFormat="1" applyFont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vertical="top" wrapText="1"/>
    </xf>
    <xf numFmtId="4" fontId="7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167" fontId="6" fillId="0" borderId="1" xfId="0" applyNumberFormat="1" applyFont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167" fontId="5" fillId="0" borderId="1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10" fontId="6" fillId="0" borderId="1" xfId="0" applyNumberFormat="1" applyFont="1" applyBorder="1" applyAlignment="1">
      <alignment vertical="top" wrapText="1"/>
    </xf>
    <xf numFmtId="4" fontId="6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showGridLines="0" tabSelected="1" workbookViewId="0"/>
  </sheetViews>
  <sheetFormatPr defaultRowHeight="14.4" x14ac:dyDescent="0.3"/>
  <cols>
    <col min="1" max="1" width="38" customWidth="1"/>
    <col min="2" max="2" width="70" customWidth="1"/>
    <col min="3" max="3" width="34" customWidth="1"/>
    <col min="4" max="4" width="60" customWidth="1"/>
  </cols>
  <sheetData>
    <row r="1" spans="1:4" ht="17.399999999999999" x14ac:dyDescent="0.3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  <c r="B4" s="4"/>
      <c r="C4" s="4"/>
      <c r="D4" s="4"/>
    </row>
    <row r="5" spans="1:4" x14ac:dyDescent="0.3">
      <c r="A5" s="5" t="s">
        <v>3</v>
      </c>
      <c r="B5" s="5" t="s">
        <v>4</v>
      </c>
      <c r="C5" s="5" t="s">
        <v>5</v>
      </c>
    </row>
    <row r="6" spans="1:4" ht="26.4" x14ac:dyDescent="0.3">
      <c r="A6" s="6" t="s">
        <v>6</v>
      </c>
      <c r="B6" s="6" t="s">
        <v>7</v>
      </c>
      <c r="C6" s="6" t="s">
        <v>8</v>
      </c>
    </row>
    <row r="7" spans="1:4" x14ac:dyDescent="0.3">
      <c r="A7" s="6" t="s">
        <v>9</v>
      </c>
      <c r="B7" s="6" t="s">
        <v>10</v>
      </c>
      <c r="C7" s="6" t="s">
        <v>11</v>
      </c>
    </row>
    <row r="8" spans="1:4" x14ac:dyDescent="0.3">
      <c r="A8" s="6" t="s">
        <v>12</v>
      </c>
      <c r="B8" s="6" t="s">
        <v>13</v>
      </c>
      <c r="C8" s="6" t="s">
        <v>14</v>
      </c>
    </row>
    <row r="9" spans="1:4" ht="26.4" x14ac:dyDescent="0.3">
      <c r="A9" s="6" t="s">
        <v>15</v>
      </c>
      <c r="B9" s="6" t="s">
        <v>16</v>
      </c>
      <c r="C9" s="6" t="s">
        <v>17</v>
      </c>
    </row>
    <row r="11" spans="1:4" x14ac:dyDescent="0.3">
      <c r="A11" s="3" t="s">
        <v>18</v>
      </c>
      <c r="B11" s="4"/>
      <c r="C11" s="4"/>
      <c r="D11" s="4"/>
    </row>
    <row r="12" spans="1:4" x14ac:dyDescent="0.3">
      <c r="A12" s="5" t="s">
        <v>19</v>
      </c>
      <c r="B12" s="5" t="s">
        <v>20</v>
      </c>
    </row>
    <row r="13" spans="1:4" x14ac:dyDescent="0.3">
      <c r="A13" s="6" t="s">
        <v>21</v>
      </c>
      <c r="B13" s="6" t="s">
        <v>22</v>
      </c>
    </row>
    <row r="14" spans="1:4" x14ac:dyDescent="0.3">
      <c r="A14" s="6" t="s">
        <v>23</v>
      </c>
      <c r="B14" s="6" t="s">
        <v>24</v>
      </c>
    </row>
    <row r="15" spans="1:4" ht="26.4" x14ac:dyDescent="0.3">
      <c r="A15" s="6" t="s">
        <v>25</v>
      </c>
      <c r="B15" s="6" t="s">
        <v>26</v>
      </c>
    </row>
    <row r="16" spans="1:4" ht="26.4" x14ac:dyDescent="0.3">
      <c r="A16" s="6" t="s">
        <v>27</v>
      </c>
      <c r="B16" s="6" t="s">
        <v>28</v>
      </c>
    </row>
    <row r="17" spans="1:4" x14ac:dyDescent="0.3">
      <c r="A17" s="6" t="s">
        <v>29</v>
      </c>
      <c r="B17" s="6" t="s">
        <v>30</v>
      </c>
    </row>
    <row r="18" spans="1:4" ht="26.4" x14ac:dyDescent="0.3">
      <c r="A18" s="6" t="s">
        <v>14</v>
      </c>
      <c r="B18" s="6" t="s">
        <v>31</v>
      </c>
    </row>
    <row r="19" spans="1:4" ht="26.4" x14ac:dyDescent="0.3">
      <c r="A19" s="6" t="s">
        <v>32</v>
      </c>
      <c r="B19" s="6" t="s">
        <v>33</v>
      </c>
    </row>
    <row r="20" spans="1:4" x14ac:dyDescent="0.3">
      <c r="A20" s="6" t="s">
        <v>34</v>
      </c>
      <c r="B20" s="6" t="s">
        <v>35</v>
      </c>
    </row>
    <row r="21" spans="1:4" x14ac:dyDescent="0.3">
      <c r="A21" s="6" t="s">
        <v>36</v>
      </c>
      <c r="B21" s="6" t="s">
        <v>37</v>
      </c>
    </row>
    <row r="22" spans="1:4" x14ac:dyDescent="0.3">
      <c r="A22" s="6" t="s">
        <v>38</v>
      </c>
      <c r="B22" s="6" t="s">
        <v>39</v>
      </c>
    </row>
    <row r="23" spans="1:4" x14ac:dyDescent="0.3">
      <c r="A23" s="6" t="s">
        <v>40</v>
      </c>
      <c r="B23" s="6" t="s">
        <v>41</v>
      </c>
    </row>
    <row r="24" spans="1:4" x14ac:dyDescent="0.3">
      <c r="A24" s="6" t="s">
        <v>42</v>
      </c>
      <c r="B24" s="6" t="s">
        <v>43</v>
      </c>
    </row>
    <row r="25" spans="1:4" ht="26.4" x14ac:dyDescent="0.3">
      <c r="A25" s="6" t="s">
        <v>44</v>
      </c>
      <c r="B25" s="6" t="s">
        <v>45</v>
      </c>
    </row>
    <row r="26" spans="1:4" ht="26.4" x14ac:dyDescent="0.3">
      <c r="A26" s="6" t="s">
        <v>46</v>
      </c>
      <c r="B26" s="6" t="s">
        <v>47</v>
      </c>
    </row>
    <row r="27" spans="1:4" x14ac:dyDescent="0.3">
      <c r="A27" s="6" t="s">
        <v>48</v>
      </c>
      <c r="B27" s="6" t="s">
        <v>49</v>
      </c>
    </row>
    <row r="28" spans="1:4" x14ac:dyDescent="0.3">
      <c r="A28" s="6" t="s">
        <v>50</v>
      </c>
      <c r="B28" s="6" t="s">
        <v>51</v>
      </c>
    </row>
    <row r="29" spans="1:4" ht="26.4" x14ac:dyDescent="0.3">
      <c r="A29" s="6" t="s">
        <v>52</v>
      </c>
      <c r="B29" s="6" t="s">
        <v>53</v>
      </c>
    </row>
    <row r="30" spans="1:4" ht="26.4" x14ac:dyDescent="0.3">
      <c r="A30" s="6" t="s">
        <v>54</v>
      </c>
      <c r="B30" s="6" t="s">
        <v>55</v>
      </c>
    </row>
    <row r="32" spans="1:4" x14ac:dyDescent="0.3">
      <c r="A32" s="3" t="s">
        <v>56</v>
      </c>
      <c r="B32" s="4"/>
      <c r="C32" s="4"/>
      <c r="D32" s="4"/>
    </row>
    <row r="33" spans="1:4" ht="26.4" x14ac:dyDescent="0.3">
      <c r="A33" s="7" t="s">
        <v>57</v>
      </c>
    </row>
    <row r="34" spans="1:4" ht="26.4" x14ac:dyDescent="0.3">
      <c r="A34" s="6" t="s">
        <v>58</v>
      </c>
    </row>
    <row r="35" spans="1:4" x14ac:dyDescent="0.3">
      <c r="A35" s="8" t="s">
        <v>59</v>
      </c>
    </row>
    <row r="36" spans="1:4" ht="26.4" x14ac:dyDescent="0.3">
      <c r="A36" s="9" t="s">
        <v>60</v>
      </c>
    </row>
    <row r="38" spans="1:4" x14ac:dyDescent="0.3">
      <c r="A38" s="3" t="s">
        <v>61</v>
      </c>
      <c r="B38" s="4"/>
      <c r="C38" s="4"/>
      <c r="D38" s="4"/>
    </row>
    <row r="39" spans="1:4" ht="22.8" x14ac:dyDescent="0.3">
      <c r="A39" s="10" t="s">
        <v>62</v>
      </c>
      <c r="B39" s="11">
        <v>86</v>
      </c>
      <c r="C39" s="6" t="s">
        <v>63</v>
      </c>
      <c r="D39" s="12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showGridLines="0" workbookViewId="0"/>
  </sheetViews>
  <sheetFormatPr defaultRowHeight="14.4" x14ac:dyDescent="0.3"/>
  <cols>
    <col min="1" max="1" width="34" customWidth="1"/>
    <col min="2" max="2" width="48" customWidth="1"/>
    <col min="3" max="3" width="14" customWidth="1"/>
    <col min="4" max="4" width="40" customWidth="1"/>
    <col min="5" max="6" width="14" customWidth="1"/>
    <col min="7" max="7" width="10" customWidth="1"/>
    <col min="8" max="8" width="8" customWidth="1"/>
  </cols>
  <sheetData>
    <row r="1" spans="1:6" ht="17.399999999999999" x14ac:dyDescent="0.3">
      <c r="A1" s="1" t="s">
        <v>65</v>
      </c>
    </row>
    <row r="2" spans="1:6" x14ac:dyDescent="0.3">
      <c r="A2" s="2" t="s">
        <v>66</v>
      </c>
    </row>
    <row r="4" spans="1:6" x14ac:dyDescent="0.3">
      <c r="A4" s="3" t="s">
        <v>67</v>
      </c>
      <c r="B4" s="4"/>
      <c r="C4" s="4"/>
      <c r="D4" s="4"/>
      <c r="E4" s="4"/>
      <c r="F4" s="4"/>
    </row>
    <row r="5" spans="1:6" x14ac:dyDescent="0.3">
      <c r="A5" s="6" t="s">
        <v>68</v>
      </c>
      <c r="B5" s="6" t="s">
        <v>69</v>
      </c>
      <c r="C5" s="6"/>
      <c r="D5" s="12" t="s">
        <v>70</v>
      </c>
    </row>
    <row r="6" spans="1:6" x14ac:dyDescent="0.3">
      <c r="A6" s="6" t="s">
        <v>71</v>
      </c>
      <c r="B6" s="6" t="s">
        <v>72</v>
      </c>
      <c r="C6" s="6"/>
      <c r="D6" s="12" t="s">
        <v>73</v>
      </c>
    </row>
    <row r="7" spans="1:6" ht="26.4" x14ac:dyDescent="0.3">
      <c r="A7" s="6" t="s">
        <v>74</v>
      </c>
      <c r="B7" s="6" t="s">
        <v>75</v>
      </c>
      <c r="C7" s="6"/>
      <c r="D7" s="12" t="s">
        <v>76</v>
      </c>
    </row>
    <row r="8" spans="1:6" x14ac:dyDescent="0.3">
      <c r="A8" s="6" t="s">
        <v>77</v>
      </c>
      <c r="B8" s="13">
        <v>6000</v>
      </c>
      <c r="C8" s="6" t="s">
        <v>78</v>
      </c>
      <c r="D8" s="12" t="s">
        <v>79</v>
      </c>
    </row>
    <row r="9" spans="1:6" x14ac:dyDescent="0.3">
      <c r="A9" s="6" t="s">
        <v>80</v>
      </c>
      <c r="B9" s="6" t="s">
        <v>81</v>
      </c>
      <c r="C9" s="6"/>
      <c r="D9" s="12" t="s">
        <v>82</v>
      </c>
    </row>
    <row r="10" spans="1:6" x14ac:dyDescent="0.3">
      <c r="A10" s="6" t="s">
        <v>83</v>
      </c>
      <c r="B10" s="6" t="s">
        <v>84</v>
      </c>
      <c r="C10" s="6"/>
      <c r="D10" s="12" t="s">
        <v>85</v>
      </c>
    </row>
    <row r="12" spans="1:6" x14ac:dyDescent="0.3">
      <c r="A12" s="3" t="s">
        <v>86</v>
      </c>
      <c r="B12" s="4"/>
      <c r="C12" s="4"/>
      <c r="D12" s="4"/>
      <c r="E12" s="4"/>
      <c r="F12" s="4"/>
    </row>
    <row r="13" spans="1:6" x14ac:dyDescent="0.3">
      <c r="A13" s="6" t="s">
        <v>87</v>
      </c>
      <c r="B13" s="6" t="s">
        <v>88</v>
      </c>
      <c r="C13" s="6"/>
      <c r="D13" s="12" t="s">
        <v>89</v>
      </c>
    </row>
    <row r="14" spans="1:6" x14ac:dyDescent="0.3">
      <c r="A14" s="6" t="s">
        <v>90</v>
      </c>
      <c r="B14" s="6" t="s">
        <v>91</v>
      </c>
      <c r="C14" s="6"/>
      <c r="D14" s="12" t="s">
        <v>92</v>
      </c>
    </row>
    <row r="15" spans="1:6" x14ac:dyDescent="0.3">
      <c r="A15" s="6" t="s">
        <v>93</v>
      </c>
      <c r="B15" s="6" t="s">
        <v>94</v>
      </c>
      <c r="C15" s="6"/>
      <c r="D15" s="12" t="s">
        <v>92</v>
      </c>
    </row>
    <row r="16" spans="1:6" ht="26.4" x14ac:dyDescent="0.3">
      <c r="A16" s="6" t="s">
        <v>95</v>
      </c>
      <c r="B16" s="6" t="s">
        <v>96</v>
      </c>
      <c r="C16" s="6"/>
      <c r="D16" s="12" t="s">
        <v>97</v>
      </c>
    </row>
    <row r="17" spans="1:8" x14ac:dyDescent="0.3">
      <c r="A17" s="6" t="s">
        <v>98</v>
      </c>
      <c r="B17" s="6" t="s">
        <v>99</v>
      </c>
      <c r="C17" s="6"/>
      <c r="D17" s="12" t="s">
        <v>92</v>
      </c>
    </row>
    <row r="18" spans="1:8" x14ac:dyDescent="0.3">
      <c r="A18" s="6" t="s">
        <v>100</v>
      </c>
      <c r="B18" s="7">
        <v>252</v>
      </c>
      <c r="C18" s="6" t="s">
        <v>101</v>
      </c>
      <c r="D18" s="12" t="s">
        <v>92</v>
      </c>
    </row>
    <row r="19" spans="1:8" x14ac:dyDescent="0.3">
      <c r="A19" s="6" t="s">
        <v>102</v>
      </c>
      <c r="B19" s="7">
        <v>52</v>
      </c>
      <c r="C19" s="6" t="s">
        <v>103</v>
      </c>
      <c r="D19" s="12" t="s">
        <v>92</v>
      </c>
    </row>
    <row r="20" spans="1:8" x14ac:dyDescent="0.3">
      <c r="A20" s="6" t="s">
        <v>104</v>
      </c>
      <c r="B20" s="7">
        <v>310</v>
      </c>
      <c r="C20" s="6" t="s">
        <v>103</v>
      </c>
      <c r="D20" s="12" t="s">
        <v>92</v>
      </c>
    </row>
    <row r="22" spans="1:8" x14ac:dyDescent="0.3">
      <c r="A22" s="3" t="s">
        <v>105</v>
      </c>
      <c r="B22" s="4"/>
      <c r="C22" s="4"/>
      <c r="D22" s="4"/>
      <c r="E22" s="4"/>
      <c r="F22" s="4"/>
    </row>
    <row r="23" spans="1:8" x14ac:dyDescent="0.3">
      <c r="A23" s="6" t="s">
        <v>106</v>
      </c>
      <c r="B23" s="7">
        <v>80</v>
      </c>
      <c r="C23" s="6" t="s">
        <v>103</v>
      </c>
      <c r="D23" s="12" t="s">
        <v>107</v>
      </c>
    </row>
    <row r="24" spans="1:8" x14ac:dyDescent="0.3">
      <c r="A24" s="6" t="s">
        <v>108</v>
      </c>
      <c r="B24" s="7">
        <v>54</v>
      </c>
      <c r="C24" s="6" t="s">
        <v>103</v>
      </c>
      <c r="D24" s="12" t="s">
        <v>107</v>
      </c>
    </row>
    <row r="25" spans="1:8" x14ac:dyDescent="0.3">
      <c r="A25" s="6" t="s">
        <v>109</v>
      </c>
      <c r="B25" s="7">
        <v>25</v>
      </c>
      <c r="C25" s="6" t="s">
        <v>103</v>
      </c>
      <c r="D25" s="12" t="s">
        <v>107</v>
      </c>
    </row>
    <row r="26" spans="1:8" x14ac:dyDescent="0.3">
      <c r="A26" s="6" t="s">
        <v>110</v>
      </c>
      <c r="B26" s="14">
        <f>B23*B24*B25/1000</f>
        <v>108</v>
      </c>
      <c r="C26" s="6" t="s">
        <v>111</v>
      </c>
      <c r="D26" s="6" t="s">
        <v>112</v>
      </c>
    </row>
    <row r="27" spans="1:8" x14ac:dyDescent="0.3">
      <c r="A27" s="6" t="s">
        <v>113</v>
      </c>
      <c r="B27" s="7">
        <v>1.1000000000000001</v>
      </c>
      <c r="C27" s="6" t="s">
        <v>114</v>
      </c>
    </row>
    <row r="28" spans="1:8" x14ac:dyDescent="0.3">
      <c r="A28" s="6" t="s">
        <v>115</v>
      </c>
      <c r="B28" s="14">
        <f>B26*B27</f>
        <v>118.80000000000001</v>
      </c>
      <c r="C28" s="6" t="s">
        <v>101</v>
      </c>
      <c r="D28" s="6" t="s">
        <v>116</v>
      </c>
    </row>
    <row r="29" spans="1:8" x14ac:dyDescent="0.3">
      <c r="A29" s="6" t="s">
        <v>117</v>
      </c>
      <c r="B29" s="6" t="s">
        <v>118</v>
      </c>
    </row>
    <row r="31" spans="1:8" x14ac:dyDescent="0.3">
      <c r="A31" s="3" t="s">
        <v>119</v>
      </c>
      <c r="B31" s="4"/>
      <c r="C31" s="4"/>
      <c r="D31" s="4"/>
      <c r="E31" s="4"/>
      <c r="F31" s="4"/>
      <c r="G31" s="4"/>
      <c r="H31" s="4"/>
    </row>
    <row r="32" spans="1:8" x14ac:dyDescent="0.3">
      <c r="A32" s="5" t="s">
        <v>120</v>
      </c>
      <c r="B32" s="5" t="s">
        <v>121</v>
      </c>
      <c r="C32" s="5" t="s">
        <v>122</v>
      </c>
      <c r="D32" s="5" t="s">
        <v>123</v>
      </c>
      <c r="E32" s="5" t="s">
        <v>124</v>
      </c>
      <c r="F32" s="5" t="s">
        <v>125</v>
      </c>
      <c r="G32" s="5" t="s">
        <v>126</v>
      </c>
      <c r="H32" s="5" t="s">
        <v>127</v>
      </c>
    </row>
    <row r="33" spans="1:8" x14ac:dyDescent="0.3">
      <c r="A33" s="7">
        <v>1</v>
      </c>
      <c r="B33" s="6" t="s">
        <v>128</v>
      </c>
      <c r="C33" s="6" t="s">
        <v>129</v>
      </c>
      <c r="D33" s="6" t="s">
        <v>130</v>
      </c>
      <c r="E33" s="6" t="s">
        <v>131</v>
      </c>
      <c r="F33" s="6" t="s">
        <v>132</v>
      </c>
      <c r="G33" s="7">
        <v>1</v>
      </c>
      <c r="H33" s="6" t="s">
        <v>133</v>
      </c>
    </row>
    <row r="34" spans="1:8" x14ac:dyDescent="0.3">
      <c r="A34" s="7">
        <v>2</v>
      </c>
      <c r="B34" s="6" t="s">
        <v>134</v>
      </c>
      <c r="C34" s="6" t="s">
        <v>135</v>
      </c>
      <c r="D34" s="6" t="s">
        <v>136</v>
      </c>
      <c r="E34" s="6" t="s">
        <v>131</v>
      </c>
      <c r="F34" s="6" t="s">
        <v>137</v>
      </c>
      <c r="G34" s="7">
        <v>1</v>
      </c>
      <c r="H34" s="6" t="s">
        <v>133</v>
      </c>
    </row>
    <row r="35" spans="1:8" x14ac:dyDescent="0.3">
      <c r="A35" s="7">
        <v>3</v>
      </c>
      <c r="B35" s="6" t="s">
        <v>134</v>
      </c>
      <c r="C35" s="6" t="s">
        <v>138</v>
      </c>
      <c r="D35" s="6" t="s">
        <v>139</v>
      </c>
      <c r="E35" s="6" t="s">
        <v>131</v>
      </c>
      <c r="F35" s="6" t="s">
        <v>140</v>
      </c>
      <c r="G35" s="7">
        <v>1</v>
      </c>
      <c r="H35" s="6" t="s">
        <v>133</v>
      </c>
    </row>
    <row r="36" spans="1:8" x14ac:dyDescent="0.3">
      <c r="A36" s="7">
        <v>4</v>
      </c>
      <c r="B36" s="6" t="s">
        <v>134</v>
      </c>
      <c r="C36" s="6" t="s">
        <v>141</v>
      </c>
      <c r="D36" s="6" t="s">
        <v>142</v>
      </c>
      <c r="E36" s="6" t="s">
        <v>143</v>
      </c>
      <c r="F36" s="6" t="s">
        <v>144</v>
      </c>
      <c r="G36" s="7">
        <v>1</v>
      </c>
      <c r="H36" s="6" t="s">
        <v>133</v>
      </c>
    </row>
    <row r="37" spans="1:8" ht="26.4" x14ac:dyDescent="0.3">
      <c r="A37" s="7">
        <v>5</v>
      </c>
      <c r="B37" s="6" t="s">
        <v>134</v>
      </c>
      <c r="C37" s="6" t="s">
        <v>145</v>
      </c>
      <c r="D37" s="6" t="s">
        <v>146</v>
      </c>
      <c r="E37" s="6" t="s">
        <v>131</v>
      </c>
      <c r="F37" s="6" t="s">
        <v>147</v>
      </c>
      <c r="G37" s="7">
        <v>108</v>
      </c>
      <c r="H37" s="6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showGridLines="0" workbookViewId="0"/>
  </sheetViews>
  <sheetFormatPr defaultRowHeight="14.4" x14ac:dyDescent="0.3"/>
  <cols>
    <col min="1" max="1" width="14" customWidth="1"/>
    <col min="2" max="2" width="30" customWidth="1"/>
    <col min="3" max="3" width="34" customWidth="1"/>
    <col min="4" max="4" width="26" customWidth="1"/>
  </cols>
  <sheetData>
    <row r="1" spans="1:3" ht="17.399999999999999" x14ac:dyDescent="0.3">
      <c r="A1" s="1" t="s">
        <v>148</v>
      </c>
    </row>
    <row r="2" spans="1:3" x14ac:dyDescent="0.3">
      <c r="A2" s="2" t="s">
        <v>149</v>
      </c>
    </row>
    <row r="4" spans="1:3" x14ac:dyDescent="0.3">
      <c r="A4" s="3" t="s">
        <v>150</v>
      </c>
      <c r="B4" s="4"/>
      <c r="C4" s="4"/>
    </row>
    <row r="5" spans="1:3" x14ac:dyDescent="0.3">
      <c r="A5" s="5" t="s">
        <v>151</v>
      </c>
      <c r="B5" s="5" t="s">
        <v>152</v>
      </c>
      <c r="C5" s="5" t="s">
        <v>153</v>
      </c>
    </row>
    <row r="6" spans="1:3" x14ac:dyDescent="0.3">
      <c r="A6" s="7">
        <v>1</v>
      </c>
      <c r="B6" s="6" t="s">
        <v>142</v>
      </c>
      <c r="C6" s="6" t="s">
        <v>154</v>
      </c>
    </row>
    <row r="7" spans="1:3" x14ac:dyDescent="0.3">
      <c r="A7" s="7">
        <v>2</v>
      </c>
      <c r="B7" s="6" t="s">
        <v>136</v>
      </c>
      <c r="C7" s="6" t="s">
        <v>155</v>
      </c>
    </row>
    <row r="8" spans="1:3" x14ac:dyDescent="0.3">
      <c r="A8" s="7">
        <v>3</v>
      </c>
      <c r="B8" s="6" t="s">
        <v>156</v>
      </c>
      <c r="C8" s="6" t="s">
        <v>157</v>
      </c>
    </row>
    <row r="9" spans="1:3" x14ac:dyDescent="0.3">
      <c r="A9" s="6" t="s">
        <v>158</v>
      </c>
      <c r="B9" s="6" t="s">
        <v>159</v>
      </c>
      <c r="C9" s="6" t="s">
        <v>157</v>
      </c>
    </row>
    <row r="10" spans="1:3" x14ac:dyDescent="0.3">
      <c r="A10" s="7">
        <v>7</v>
      </c>
      <c r="B10" s="6" t="s">
        <v>160</v>
      </c>
      <c r="C10" s="6" t="s">
        <v>157</v>
      </c>
    </row>
    <row r="11" spans="1:3" x14ac:dyDescent="0.3">
      <c r="A11" s="7">
        <v>8</v>
      </c>
      <c r="B11" s="6" t="s">
        <v>161</v>
      </c>
      <c r="C11" s="6" t="s">
        <v>157</v>
      </c>
    </row>
    <row r="12" spans="1:3" x14ac:dyDescent="0.3">
      <c r="A12" s="7">
        <v>9</v>
      </c>
      <c r="B12" s="6" t="s">
        <v>162</v>
      </c>
      <c r="C12" s="6" t="s">
        <v>157</v>
      </c>
    </row>
    <row r="13" spans="1:3" x14ac:dyDescent="0.3">
      <c r="A13" s="7">
        <v>10</v>
      </c>
      <c r="B13" s="6" t="s">
        <v>163</v>
      </c>
      <c r="C13" s="6" t="s">
        <v>157</v>
      </c>
    </row>
    <row r="14" spans="1:3" x14ac:dyDescent="0.3">
      <c r="A14" s="7">
        <v>11</v>
      </c>
      <c r="B14" s="6" t="s">
        <v>164</v>
      </c>
      <c r="C14" s="6" t="s">
        <v>157</v>
      </c>
    </row>
    <row r="15" spans="1:3" x14ac:dyDescent="0.3">
      <c r="A15" s="7">
        <v>12</v>
      </c>
      <c r="B15" s="6" t="s">
        <v>165</v>
      </c>
      <c r="C15" s="6" t="s">
        <v>147</v>
      </c>
    </row>
    <row r="17" spans="1:4" x14ac:dyDescent="0.3">
      <c r="A17" s="3" t="s">
        <v>166</v>
      </c>
      <c r="B17" s="4"/>
      <c r="C17" s="4"/>
      <c r="D17" s="4"/>
    </row>
    <row r="18" spans="1:4" x14ac:dyDescent="0.3">
      <c r="A18" s="5" t="s">
        <v>167</v>
      </c>
      <c r="B18" s="5" t="s">
        <v>168</v>
      </c>
      <c r="C18" s="5" t="s">
        <v>169</v>
      </c>
      <c r="D18" s="5" t="s">
        <v>170</v>
      </c>
    </row>
    <row r="19" spans="1:4" x14ac:dyDescent="0.3">
      <c r="A19" s="6" t="s">
        <v>171</v>
      </c>
      <c r="B19" s="6" t="s">
        <v>172</v>
      </c>
      <c r="C19" s="6" t="s">
        <v>173</v>
      </c>
      <c r="D19" s="6" t="s">
        <v>174</v>
      </c>
    </row>
    <row r="20" spans="1:4" x14ac:dyDescent="0.3">
      <c r="A20" s="6" t="s">
        <v>175</v>
      </c>
      <c r="B20" s="6" t="s">
        <v>176</v>
      </c>
      <c r="C20" s="6" t="s">
        <v>177</v>
      </c>
      <c r="D20" s="6" t="s">
        <v>178</v>
      </c>
    </row>
    <row r="21" spans="1:4" x14ac:dyDescent="0.3">
      <c r="A21" s="6" t="s">
        <v>179</v>
      </c>
      <c r="B21" s="6" t="s">
        <v>180</v>
      </c>
      <c r="C21" s="6" t="s">
        <v>181</v>
      </c>
      <c r="D21" s="6" t="s">
        <v>178</v>
      </c>
    </row>
    <row r="22" spans="1:4" x14ac:dyDescent="0.3">
      <c r="A22" s="6" t="s">
        <v>182</v>
      </c>
      <c r="B22" s="6" t="s">
        <v>183</v>
      </c>
      <c r="C22" s="6" t="s">
        <v>184</v>
      </c>
      <c r="D22" s="6" t="s">
        <v>185</v>
      </c>
    </row>
    <row r="23" spans="1:4" x14ac:dyDescent="0.3">
      <c r="A23" s="6" t="s">
        <v>186</v>
      </c>
      <c r="B23" s="6" t="s">
        <v>187</v>
      </c>
      <c r="C23" s="6" t="s">
        <v>188</v>
      </c>
      <c r="D23" s="6" t="s">
        <v>178</v>
      </c>
    </row>
    <row r="24" spans="1:4" x14ac:dyDescent="0.3">
      <c r="A24" s="6" t="s">
        <v>189</v>
      </c>
      <c r="B24" s="6" t="s">
        <v>190</v>
      </c>
      <c r="C24" s="6" t="s">
        <v>181</v>
      </c>
      <c r="D24" s="6" t="s">
        <v>178</v>
      </c>
    </row>
    <row r="25" spans="1:4" x14ac:dyDescent="0.3">
      <c r="A25" s="6" t="s">
        <v>191</v>
      </c>
      <c r="B25" s="6" t="s">
        <v>192</v>
      </c>
      <c r="C25" s="6" t="s">
        <v>181</v>
      </c>
      <c r="D25" s="6" t="s">
        <v>193</v>
      </c>
    </row>
    <row r="26" spans="1:4" x14ac:dyDescent="0.3">
      <c r="A26" s="6" t="s">
        <v>194</v>
      </c>
      <c r="B26" s="6" t="s">
        <v>195</v>
      </c>
      <c r="C26" s="6" t="s">
        <v>177</v>
      </c>
      <c r="D26" s="6" t="s">
        <v>178</v>
      </c>
    </row>
    <row r="27" spans="1:4" x14ac:dyDescent="0.3">
      <c r="A27" s="6" t="s">
        <v>196</v>
      </c>
      <c r="B27" s="6" t="s">
        <v>197</v>
      </c>
      <c r="C27" s="6" t="s">
        <v>188</v>
      </c>
      <c r="D27" s="6" t="s">
        <v>178</v>
      </c>
    </row>
    <row r="28" spans="1:4" x14ac:dyDescent="0.3">
      <c r="A28" s="6" t="s">
        <v>198</v>
      </c>
      <c r="B28" s="6" t="s">
        <v>199</v>
      </c>
      <c r="C28" s="6" t="s">
        <v>200</v>
      </c>
      <c r="D28" s="6" t="s">
        <v>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2" customWidth="1"/>
    <col min="3" max="3" width="7" customWidth="1"/>
    <col min="4" max="4" width="42" customWidth="1"/>
    <col min="5" max="5" width="16" customWidth="1"/>
    <col min="6" max="6" width="22" customWidth="1"/>
    <col min="7" max="7" width="20" customWidth="1"/>
    <col min="8" max="8" width="22" customWidth="1"/>
    <col min="9" max="9" width="18" customWidth="1"/>
    <col min="10" max="13" width="8" customWidth="1"/>
    <col min="14" max="14" width="9" customWidth="1"/>
    <col min="15" max="15" width="8" customWidth="1"/>
    <col min="16" max="17" width="7" customWidth="1"/>
    <col min="18" max="18" width="14" customWidth="1"/>
    <col min="19" max="19" width="16" customWidth="1"/>
    <col min="20" max="20" width="30" customWidth="1"/>
    <col min="21" max="21" width="7" customWidth="1"/>
    <col min="22" max="22" width="9" customWidth="1"/>
    <col min="23" max="23" width="10" customWidth="1"/>
    <col min="24" max="24" width="8" customWidth="1"/>
    <col min="25" max="27" width="10" customWidth="1"/>
    <col min="28" max="28" width="50" customWidth="1"/>
    <col min="29" max="29" width="9" customWidth="1"/>
  </cols>
  <sheetData>
    <row r="1" spans="1:29" ht="17.399999999999999" x14ac:dyDescent="0.3">
      <c r="A1" s="1" t="s">
        <v>202</v>
      </c>
    </row>
    <row r="2" spans="1:29" x14ac:dyDescent="0.3">
      <c r="A2" s="2" t="s">
        <v>203</v>
      </c>
    </row>
    <row r="4" spans="1:29" ht="52.8" x14ac:dyDescent="0.3">
      <c r="A4" s="5" t="s">
        <v>204</v>
      </c>
      <c r="B4" s="5" t="s">
        <v>205</v>
      </c>
      <c r="C4" s="5" t="s">
        <v>126</v>
      </c>
      <c r="D4" s="5" t="s">
        <v>206</v>
      </c>
      <c r="E4" s="5" t="s">
        <v>207</v>
      </c>
      <c r="F4" s="5" t="s">
        <v>208</v>
      </c>
      <c r="G4" s="5" t="s">
        <v>209</v>
      </c>
      <c r="H4" s="5" t="s">
        <v>210</v>
      </c>
      <c r="I4" s="5" t="s">
        <v>211</v>
      </c>
      <c r="J4" s="5" t="s">
        <v>212</v>
      </c>
      <c r="K4" s="5" t="s">
        <v>213</v>
      </c>
      <c r="L4" s="5" t="s">
        <v>214</v>
      </c>
      <c r="M4" s="5" t="s">
        <v>215</v>
      </c>
      <c r="N4" s="5" t="s">
        <v>216</v>
      </c>
      <c r="O4" s="5" t="s">
        <v>217</v>
      </c>
      <c r="P4" s="5" t="s">
        <v>218</v>
      </c>
      <c r="Q4" s="5" t="s">
        <v>219</v>
      </c>
      <c r="R4" s="5" t="s">
        <v>220</v>
      </c>
      <c r="S4" s="5" t="s">
        <v>221</v>
      </c>
      <c r="T4" s="5" t="s">
        <v>222</v>
      </c>
      <c r="U4" s="5" t="s">
        <v>223</v>
      </c>
      <c r="V4" s="5" t="s">
        <v>224</v>
      </c>
      <c r="W4" s="5" t="s">
        <v>225</v>
      </c>
      <c r="X4" s="5" t="s">
        <v>226</v>
      </c>
      <c r="Y4" s="5" t="s">
        <v>227</v>
      </c>
      <c r="Z4" s="5" t="s">
        <v>228</v>
      </c>
      <c r="AA4" s="5" t="s">
        <v>229</v>
      </c>
      <c r="AB4" s="5" t="s">
        <v>230</v>
      </c>
      <c r="AC4" s="5" t="s">
        <v>231</v>
      </c>
    </row>
    <row r="5" spans="1:29" ht="52.8" x14ac:dyDescent="0.3">
      <c r="A5" s="7">
        <v>1</v>
      </c>
      <c r="B5" s="6" t="s">
        <v>232</v>
      </c>
      <c r="C5" s="7">
        <v>1</v>
      </c>
      <c r="D5" s="6" t="s">
        <v>233</v>
      </c>
      <c r="E5" s="6" t="s">
        <v>234</v>
      </c>
      <c r="F5" s="6" t="s">
        <v>235</v>
      </c>
      <c r="G5" s="6" t="s">
        <v>236</v>
      </c>
      <c r="H5" s="6" t="s">
        <v>237</v>
      </c>
      <c r="I5" s="6" t="s">
        <v>238</v>
      </c>
      <c r="J5" s="6" t="s">
        <v>239</v>
      </c>
      <c r="K5" s="6" t="s">
        <v>239</v>
      </c>
      <c r="L5" s="6" t="s">
        <v>240</v>
      </c>
      <c r="M5" s="6" t="s">
        <v>241</v>
      </c>
      <c r="N5" s="6" t="s">
        <v>242</v>
      </c>
      <c r="O5" s="6" t="s">
        <v>243</v>
      </c>
      <c r="P5" s="7">
        <v>3</v>
      </c>
      <c r="Q5" s="6" t="s">
        <v>244</v>
      </c>
      <c r="R5" s="6"/>
      <c r="S5" s="6" t="s">
        <v>245</v>
      </c>
      <c r="T5" s="6" t="s">
        <v>246</v>
      </c>
      <c r="U5" s="7">
        <v>6000</v>
      </c>
      <c r="V5" s="15">
        <f t="shared" ref="V5:V41" si="0">C5*U5</f>
        <v>6000</v>
      </c>
      <c r="W5" s="16">
        <v>1.8952500000000001</v>
      </c>
      <c r="X5" s="17">
        <v>0.75</v>
      </c>
      <c r="Y5" s="18">
        <f t="shared" ref="Y5:Y41" si="1">W5*(1-X5)</f>
        <v>0.47381250000000003</v>
      </c>
      <c r="Z5" s="18">
        <f t="shared" ref="Z5:Z41" si="2">Y5*C5</f>
        <v>0.47381250000000003</v>
      </c>
      <c r="AA5" s="19">
        <f t="shared" ref="AA5:AA41" si="3">Z5*USD_INR</f>
        <v>40.747875000000001</v>
      </c>
      <c r="AB5" s="6" t="s">
        <v>247</v>
      </c>
      <c r="AC5" s="7">
        <v>3</v>
      </c>
    </row>
    <row r="6" spans="1:29" ht="39.6" x14ac:dyDescent="0.3">
      <c r="A6" s="7">
        <v>2</v>
      </c>
      <c r="B6" s="6" t="s">
        <v>248</v>
      </c>
      <c r="C6" s="7">
        <v>5</v>
      </c>
      <c r="D6" s="6" t="s">
        <v>249</v>
      </c>
      <c r="E6" s="6" t="s">
        <v>250</v>
      </c>
      <c r="F6" s="6" t="s">
        <v>251</v>
      </c>
      <c r="G6" s="6" t="s">
        <v>252</v>
      </c>
      <c r="H6" s="6" t="s">
        <v>253</v>
      </c>
      <c r="I6" s="6" t="s">
        <v>254</v>
      </c>
      <c r="J6" s="6" t="s">
        <v>239</v>
      </c>
      <c r="K6" s="6" t="s">
        <v>239</v>
      </c>
      <c r="L6" s="6" t="s">
        <v>240</v>
      </c>
      <c r="M6" s="6" t="s">
        <v>241</v>
      </c>
      <c r="N6" s="6" t="s">
        <v>255</v>
      </c>
      <c r="O6" s="7">
        <v>2</v>
      </c>
      <c r="P6" s="7">
        <v>2</v>
      </c>
      <c r="Q6" s="6" t="s">
        <v>256</v>
      </c>
      <c r="R6" s="6" t="s">
        <v>257</v>
      </c>
      <c r="S6" s="6" t="s">
        <v>258</v>
      </c>
      <c r="T6" s="6" t="s">
        <v>259</v>
      </c>
      <c r="U6" s="7">
        <v>6000</v>
      </c>
      <c r="V6" s="15">
        <f t="shared" si="0"/>
        <v>30000</v>
      </c>
      <c r="W6" s="16">
        <v>6.8000000000000005E-2</v>
      </c>
      <c r="X6" s="17">
        <v>0.75</v>
      </c>
      <c r="Y6" s="18">
        <f t="shared" si="1"/>
        <v>1.7000000000000001E-2</v>
      </c>
      <c r="Z6" s="18">
        <f t="shared" si="2"/>
        <v>8.5000000000000006E-2</v>
      </c>
      <c r="AA6" s="19">
        <f t="shared" si="3"/>
        <v>7.3100000000000005</v>
      </c>
      <c r="AB6" s="6" t="s">
        <v>260</v>
      </c>
      <c r="AC6" s="7">
        <v>2</v>
      </c>
    </row>
    <row r="7" spans="1:29" ht="52.8" x14ac:dyDescent="0.3">
      <c r="A7" s="7">
        <v>3</v>
      </c>
      <c r="B7" s="6" t="s">
        <v>261</v>
      </c>
      <c r="C7" s="7">
        <v>1</v>
      </c>
      <c r="D7" s="6" t="s">
        <v>262</v>
      </c>
      <c r="E7" s="6" t="s">
        <v>263</v>
      </c>
      <c r="F7" s="6" t="s">
        <v>264</v>
      </c>
      <c r="G7" s="6" t="s">
        <v>265</v>
      </c>
      <c r="H7" s="6" t="s">
        <v>266</v>
      </c>
      <c r="I7" s="6" t="s">
        <v>267</v>
      </c>
      <c r="J7" s="6" t="s">
        <v>239</v>
      </c>
      <c r="K7" s="6" t="s">
        <v>239</v>
      </c>
      <c r="L7" s="6" t="s">
        <v>240</v>
      </c>
      <c r="M7" s="6" t="s">
        <v>241</v>
      </c>
      <c r="N7" s="6" t="s">
        <v>255</v>
      </c>
      <c r="O7" s="7">
        <v>2</v>
      </c>
      <c r="P7" s="7">
        <v>2</v>
      </c>
      <c r="Q7" s="6" t="s">
        <v>256</v>
      </c>
      <c r="R7" s="6" t="s">
        <v>257</v>
      </c>
      <c r="S7" s="6" t="s">
        <v>268</v>
      </c>
      <c r="T7" s="6" t="s">
        <v>269</v>
      </c>
      <c r="U7" s="7">
        <v>6000</v>
      </c>
      <c r="V7" s="15">
        <f t="shared" si="0"/>
        <v>6000</v>
      </c>
      <c r="W7" s="16">
        <v>0.14135</v>
      </c>
      <c r="X7" s="17">
        <v>0.75</v>
      </c>
      <c r="Y7" s="18">
        <f t="shared" si="1"/>
        <v>3.5337500000000001E-2</v>
      </c>
      <c r="Z7" s="18">
        <f t="shared" si="2"/>
        <v>3.5337500000000001E-2</v>
      </c>
      <c r="AA7" s="19">
        <f t="shared" si="3"/>
        <v>3.0390250000000001</v>
      </c>
      <c r="AB7" s="6" t="s">
        <v>270</v>
      </c>
      <c r="AC7" s="7">
        <v>2</v>
      </c>
    </row>
    <row r="8" spans="1:29" ht="52.8" x14ac:dyDescent="0.3">
      <c r="A8" s="7">
        <v>4</v>
      </c>
      <c r="B8" s="6" t="s">
        <v>271</v>
      </c>
      <c r="C8" s="7">
        <v>1</v>
      </c>
      <c r="D8" s="6" t="s">
        <v>272</v>
      </c>
      <c r="E8" s="6" t="s">
        <v>273</v>
      </c>
      <c r="F8" s="6" t="s">
        <v>274</v>
      </c>
      <c r="G8" s="6" t="s">
        <v>275</v>
      </c>
      <c r="H8" s="6" t="s">
        <v>266</v>
      </c>
      <c r="I8" s="6" t="s">
        <v>276</v>
      </c>
      <c r="J8" s="6" t="s">
        <v>239</v>
      </c>
      <c r="K8" s="6" t="s">
        <v>239</v>
      </c>
      <c r="L8" s="6" t="s">
        <v>240</v>
      </c>
      <c r="M8" s="6" t="s">
        <v>241</v>
      </c>
      <c r="N8" s="6" t="s">
        <v>255</v>
      </c>
      <c r="O8" s="7">
        <v>2</v>
      </c>
      <c r="P8" s="7">
        <v>2</v>
      </c>
      <c r="Q8" s="6" t="s">
        <v>256</v>
      </c>
      <c r="R8" s="6" t="s">
        <v>277</v>
      </c>
      <c r="S8" s="6" t="s">
        <v>278</v>
      </c>
      <c r="T8" s="6" t="s">
        <v>279</v>
      </c>
      <c r="U8" s="7">
        <v>6000</v>
      </c>
      <c r="V8" s="15">
        <f t="shared" si="0"/>
        <v>6000</v>
      </c>
      <c r="W8" s="16">
        <v>0.30399999999999999</v>
      </c>
      <c r="X8" s="17">
        <v>0.75</v>
      </c>
      <c r="Y8" s="18">
        <f t="shared" si="1"/>
        <v>7.5999999999999998E-2</v>
      </c>
      <c r="Z8" s="18">
        <f t="shared" si="2"/>
        <v>7.5999999999999998E-2</v>
      </c>
      <c r="AA8" s="19">
        <f t="shared" si="3"/>
        <v>6.5359999999999996</v>
      </c>
      <c r="AB8" s="6" t="s">
        <v>280</v>
      </c>
      <c r="AC8" s="7">
        <v>2</v>
      </c>
    </row>
    <row r="9" spans="1:29" ht="39.6" x14ac:dyDescent="0.3">
      <c r="A9" s="7">
        <v>5</v>
      </c>
      <c r="B9" s="6" t="s">
        <v>281</v>
      </c>
      <c r="C9" s="7">
        <v>5</v>
      </c>
      <c r="D9" s="6" t="s">
        <v>282</v>
      </c>
      <c r="E9" s="6" t="s">
        <v>283</v>
      </c>
      <c r="F9" s="6" t="s">
        <v>284</v>
      </c>
      <c r="G9" s="6" t="s">
        <v>252</v>
      </c>
      <c r="H9" s="6" t="s">
        <v>285</v>
      </c>
      <c r="I9" s="6" t="s">
        <v>286</v>
      </c>
      <c r="J9" s="6" t="s">
        <v>239</v>
      </c>
      <c r="K9" s="6" t="s">
        <v>239</v>
      </c>
      <c r="L9" s="6" t="s">
        <v>240</v>
      </c>
      <c r="M9" s="6" t="s">
        <v>241</v>
      </c>
      <c r="N9" s="6" t="s">
        <v>255</v>
      </c>
      <c r="O9" s="7">
        <v>2</v>
      </c>
      <c r="P9" s="7">
        <v>2</v>
      </c>
      <c r="Q9" s="6" t="s">
        <v>256</v>
      </c>
      <c r="R9" s="6" t="s">
        <v>287</v>
      </c>
      <c r="S9" s="6" t="s">
        <v>288</v>
      </c>
      <c r="T9" s="6" t="s">
        <v>259</v>
      </c>
      <c r="U9" s="7">
        <v>6000</v>
      </c>
      <c r="V9" s="15">
        <f t="shared" si="0"/>
        <v>30000</v>
      </c>
      <c r="W9" s="16">
        <v>0.191</v>
      </c>
      <c r="X9" s="17">
        <v>0.75</v>
      </c>
      <c r="Y9" s="18">
        <f t="shared" si="1"/>
        <v>4.7750000000000001E-2</v>
      </c>
      <c r="Z9" s="18">
        <f t="shared" si="2"/>
        <v>0.23875000000000002</v>
      </c>
      <c r="AA9" s="19">
        <f t="shared" si="3"/>
        <v>20.532500000000002</v>
      </c>
      <c r="AB9" s="6" t="s">
        <v>289</v>
      </c>
      <c r="AC9" s="7">
        <v>2</v>
      </c>
    </row>
    <row r="10" spans="1:29" ht="39.6" x14ac:dyDescent="0.3">
      <c r="A10" s="7">
        <v>6</v>
      </c>
      <c r="B10" s="6" t="s">
        <v>290</v>
      </c>
      <c r="C10" s="7">
        <v>2</v>
      </c>
      <c r="D10" s="6" t="s">
        <v>291</v>
      </c>
      <c r="E10" s="6" t="s">
        <v>292</v>
      </c>
      <c r="F10" s="6" t="s">
        <v>293</v>
      </c>
      <c r="G10" s="6" t="s">
        <v>294</v>
      </c>
      <c r="H10" s="6" t="s">
        <v>237</v>
      </c>
      <c r="I10" s="6" t="s">
        <v>295</v>
      </c>
      <c r="J10" s="6" t="s">
        <v>239</v>
      </c>
      <c r="K10" s="6" t="s">
        <v>239</v>
      </c>
      <c r="L10" s="6" t="s">
        <v>240</v>
      </c>
      <c r="M10" s="6" t="s">
        <v>241</v>
      </c>
      <c r="N10" s="6" t="s">
        <v>242</v>
      </c>
      <c r="O10" s="7">
        <v>2</v>
      </c>
      <c r="P10" s="7">
        <v>2</v>
      </c>
      <c r="Q10" s="6" t="s">
        <v>256</v>
      </c>
      <c r="R10" s="6" t="s">
        <v>287</v>
      </c>
      <c r="S10" s="6" t="s">
        <v>296</v>
      </c>
      <c r="T10" s="6" t="s">
        <v>297</v>
      </c>
      <c r="U10" s="7">
        <v>6000</v>
      </c>
      <c r="V10" s="15">
        <f t="shared" si="0"/>
        <v>12000</v>
      </c>
      <c r="W10" s="16">
        <v>0.51200000000000001</v>
      </c>
      <c r="X10" s="17">
        <v>0.75</v>
      </c>
      <c r="Y10" s="18">
        <f t="shared" si="1"/>
        <v>0.128</v>
      </c>
      <c r="Z10" s="18">
        <f t="shared" si="2"/>
        <v>0.25600000000000001</v>
      </c>
      <c r="AA10" s="19">
        <f t="shared" si="3"/>
        <v>22.016000000000002</v>
      </c>
      <c r="AB10" s="6" t="s">
        <v>298</v>
      </c>
      <c r="AC10" s="7">
        <v>2</v>
      </c>
    </row>
    <row r="11" spans="1:29" ht="52.8" x14ac:dyDescent="0.3">
      <c r="A11" s="7">
        <v>7</v>
      </c>
      <c r="B11" s="6" t="s">
        <v>299</v>
      </c>
      <c r="C11" s="7">
        <v>1</v>
      </c>
      <c r="D11" s="6" t="s">
        <v>300</v>
      </c>
      <c r="E11" s="6" t="s">
        <v>301</v>
      </c>
      <c r="F11" s="6"/>
      <c r="G11" s="6" t="s">
        <v>265</v>
      </c>
      <c r="H11" s="6" t="s">
        <v>266</v>
      </c>
      <c r="I11" s="6" t="s">
        <v>302</v>
      </c>
      <c r="J11" s="6" t="s">
        <v>239</v>
      </c>
      <c r="K11" s="6" t="s">
        <v>239</v>
      </c>
      <c r="L11" s="6" t="s">
        <v>240</v>
      </c>
      <c r="M11" s="6" t="s">
        <v>241</v>
      </c>
      <c r="N11" s="6" t="s">
        <v>255</v>
      </c>
      <c r="O11" s="7">
        <v>2</v>
      </c>
      <c r="P11" s="7">
        <v>2</v>
      </c>
      <c r="Q11" s="6" t="s">
        <v>256</v>
      </c>
      <c r="R11" s="6" t="s">
        <v>303</v>
      </c>
      <c r="S11" s="6" t="s">
        <v>304</v>
      </c>
      <c r="T11" s="6" t="s">
        <v>279</v>
      </c>
      <c r="U11" s="7">
        <v>6000</v>
      </c>
      <c r="V11" s="15">
        <f t="shared" si="0"/>
        <v>6000</v>
      </c>
      <c r="W11" s="16">
        <v>0.14602000000000001</v>
      </c>
      <c r="X11" s="17">
        <v>0.75</v>
      </c>
      <c r="Y11" s="18">
        <f t="shared" si="1"/>
        <v>3.6505000000000003E-2</v>
      </c>
      <c r="Z11" s="18">
        <f t="shared" si="2"/>
        <v>3.6505000000000003E-2</v>
      </c>
      <c r="AA11" s="19">
        <f t="shared" si="3"/>
        <v>3.1394300000000004</v>
      </c>
      <c r="AB11" s="6" t="s">
        <v>305</v>
      </c>
      <c r="AC11" s="7">
        <v>2</v>
      </c>
    </row>
    <row r="12" spans="1:29" ht="26.4" x14ac:dyDescent="0.3">
      <c r="A12" s="7">
        <v>8</v>
      </c>
      <c r="B12" s="6" t="s">
        <v>306</v>
      </c>
      <c r="C12" s="7">
        <v>2</v>
      </c>
      <c r="D12" s="6" t="s">
        <v>307</v>
      </c>
      <c r="E12" s="6" t="s">
        <v>301</v>
      </c>
      <c r="F12" s="6" t="s">
        <v>308</v>
      </c>
      <c r="G12" s="6" t="s">
        <v>309</v>
      </c>
      <c r="H12" s="6" t="s">
        <v>266</v>
      </c>
      <c r="I12" s="6" t="s">
        <v>310</v>
      </c>
      <c r="J12" s="6" t="s">
        <v>239</v>
      </c>
      <c r="K12" s="6" t="s">
        <v>239</v>
      </c>
      <c r="L12" s="6" t="s">
        <v>240</v>
      </c>
      <c r="M12" s="6" t="s">
        <v>241</v>
      </c>
      <c r="N12" s="6" t="s">
        <v>255</v>
      </c>
      <c r="O12" s="7">
        <v>2</v>
      </c>
      <c r="P12" s="7">
        <v>2</v>
      </c>
      <c r="Q12" s="6" t="s">
        <v>256</v>
      </c>
      <c r="R12" s="6" t="s">
        <v>311</v>
      </c>
      <c r="S12" s="6" t="s">
        <v>312</v>
      </c>
      <c r="T12" s="6" t="s">
        <v>259</v>
      </c>
      <c r="U12" s="7">
        <v>6000</v>
      </c>
      <c r="V12" s="15">
        <f t="shared" si="0"/>
        <v>12000</v>
      </c>
      <c r="W12" s="16">
        <v>1.7999999999999999E-2</v>
      </c>
      <c r="X12" s="17">
        <v>0.75</v>
      </c>
      <c r="Y12" s="18">
        <f t="shared" si="1"/>
        <v>4.4999999999999997E-3</v>
      </c>
      <c r="Z12" s="18">
        <f t="shared" si="2"/>
        <v>8.9999999999999993E-3</v>
      </c>
      <c r="AA12" s="19">
        <f t="shared" si="3"/>
        <v>0.77399999999999991</v>
      </c>
      <c r="AB12" s="6" t="s">
        <v>313</v>
      </c>
      <c r="AC12" s="7">
        <v>2</v>
      </c>
    </row>
    <row r="13" spans="1:29" ht="39.6" x14ac:dyDescent="0.3">
      <c r="A13" s="7">
        <v>9</v>
      </c>
      <c r="B13" s="6" t="s">
        <v>314</v>
      </c>
      <c r="C13" s="7">
        <v>5</v>
      </c>
      <c r="D13" s="6" t="s">
        <v>315</v>
      </c>
      <c r="E13" s="6" t="s">
        <v>316</v>
      </c>
      <c r="F13" s="6" t="s">
        <v>317</v>
      </c>
      <c r="G13" s="6" t="s">
        <v>252</v>
      </c>
      <c r="H13" s="6" t="s">
        <v>318</v>
      </c>
      <c r="I13" s="6" t="s">
        <v>319</v>
      </c>
      <c r="J13" s="6" t="s">
        <v>239</v>
      </c>
      <c r="K13" s="6" t="s">
        <v>239</v>
      </c>
      <c r="L13" s="6" t="s">
        <v>240</v>
      </c>
      <c r="M13" s="6" t="s">
        <v>241</v>
      </c>
      <c r="N13" s="6" t="s">
        <v>255</v>
      </c>
      <c r="O13" s="7">
        <v>2</v>
      </c>
      <c r="P13" s="7">
        <v>2</v>
      </c>
      <c r="Q13" s="6" t="s">
        <v>256</v>
      </c>
      <c r="R13" s="6" t="s">
        <v>320</v>
      </c>
      <c r="S13" s="6" t="s">
        <v>321</v>
      </c>
      <c r="T13" s="6" t="s">
        <v>279</v>
      </c>
      <c r="U13" s="7">
        <v>6000</v>
      </c>
      <c r="V13" s="15">
        <f t="shared" si="0"/>
        <v>30000</v>
      </c>
      <c r="W13" s="16">
        <v>3.6999999999999998E-2</v>
      </c>
      <c r="X13" s="17">
        <v>0.75</v>
      </c>
      <c r="Y13" s="18">
        <f t="shared" si="1"/>
        <v>9.2499999999999995E-3</v>
      </c>
      <c r="Z13" s="18">
        <f t="shared" si="2"/>
        <v>4.6249999999999999E-2</v>
      </c>
      <c r="AA13" s="19">
        <f t="shared" si="3"/>
        <v>3.9775</v>
      </c>
      <c r="AB13" s="6" t="s">
        <v>322</v>
      </c>
      <c r="AC13" s="7">
        <v>2</v>
      </c>
    </row>
    <row r="14" spans="1:29" ht="39.6" x14ac:dyDescent="0.3">
      <c r="A14" s="7">
        <v>10</v>
      </c>
      <c r="B14" s="6" t="s">
        <v>323</v>
      </c>
      <c r="C14" s="7">
        <v>1</v>
      </c>
      <c r="D14" s="6" t="s">
        <v>324</v>
      </c>
      <c r="E14" s="6" t="s">
        <v>325</v>
      </c>
      <c r="F14" s="6" t="s">
        <v>326</v>
      </c>
      <c r="G14" s="6" t="s">
        <v>327</v>
      </c>
      <c r="H14" s="6" t="s">
        <v>266</v>
      </c>
      <c r="I14" s="6" t="s">
        <v>328</v>
      </c>
      <c r="J14" s="6" t="s">
        <v>239</v>
      </c>
      <c r="K14" s="6" t="s">
        <v>239</v>
      </c>
      <c r="L14" s="6" t="s">
        <v>240</v>
      </c>
      <c r="M14" s="6" t="s">
        <v>241</v>
      </c>
      <c r="N14" s="6" t="s">
        <v>255</v>
      </c>
      <c r="O14" s="7">
        <v>2</v>
      </c>
      <c r="P14" s="7">
        <v>2</v>
      </c>
      <c r="Q14" s="6" t="s">
        <v>256</v>
      </c>
      <c r="R14" s="6" t="s">
        <v>320</v>
      </c>
      <c r="S14" s="6" t="s">
        <v>329</v>
      </c>
      <c r="T14" s="6" t="s">
        <v>330</v>
      </c>
      <c r="U14" s="7">
        <v>6000</v>
      </c>
      <c r="V14" s="15">
        <f t="shared" si="0"/>
        <v>6000</v>
      </c>
      <c r="W14" s="16">
        <v>0.17699999999999999</v>
      </c>
      <c r="X14" s="17">
        <v>0.75</v>
      </c>
      <c r="Y14" s="18">
        <f t="shared" si="1"/>
        <v>4.4249999999999998E-2</v>
      </c>
      <c r="Z14" s="18">
        <f t="shared" si="2"/>
        <v>4.4249999999999998E-2</v>
      </c>
      <c r="AA14" s="19">
        <f t="shared" si="3"/>
        <v>3.8054999999999999</v>
      </c>
      <c r="AB14" s="6" t="s">
        <v>331</v>
      </c>
      <c r="AC14" s="7">
        <v>2</v>
      </c>
    </row>
    <row r="15" spans="1:29" ht="39.6" x14ac:dyDescent="0.3">
      <c r="A15" s="7">
        <v>11</v>
      </c>
      <c r="B15" s="6" t="s">
        <v>332</v>
      </c>
      <c r="C15" s="7">
        <v>1</v>
      </c>
      <c r="D15" s="6" t="s">
        <v>333</v>
      </c>
      <c r="E15" s="6" t="s">
        <v>325</v>
      </c>
      <c r="F15" s="6" t="s">
        <v>326</v>
      </c>
      <c r="G15" s="6" t="s">
        <v>327</v>
      </c>
      <c r="H15" s="6" t="s">
        <v>266</v>
      </c>
      <c r="I15" s="6" t="s">
        <v>328</v>
      </c>
      <c r="J15" s="6" t="s">
        <v>239</v>
      </c>
      <c r="K15" s="6" t="s">
        <v>239</v>
      </c>
      <c r="L15" s="6" t="s">
        <v>240</v>
      </c>
      <c r="M15" s="6" t="s">
        <v>241</v>
      </c>
      <c r="N15" s="6" t="s">
        <v>255</v>
      </c>
      <c r="O15" s="7">
        <v>2</v>
      </c>
      <c r="P15" s="7">
        <v>2</v>
      </c>
      <c r="Q15" s="6" t="s">
        <v>256</v>
      </c>
      <c r="R15" s="6" t="s">
        <v>311</v>
      </c>
      <c r="S15" s="6" t="s">
        <v>334</v>
      </c>
      <c r="T15" s="6" t="s">
        <v>269</v>
      </c>
      <c r="U15" s="7">
        <v>6000</v>
      </c>
      <c r="V15" s="15">
        <f t="shared" si="0"/>
        <v>6000</v>
      </c>
      <c r="W15" s="16">
        <v>0.17699999999999999</v>
      </c>
      <c r="X15" s="17">
        <v>0.75</v>
      </c>
      <c r="Y15" s="18">
        <f t="shared" si="1"/>
        <v>4.4249999999999998E-2</v>
      </c>
      <c r="Z15" s="18">
        <f t="shared" si="2"/>
        <v>4.4249999999999998E-2</v>
      </c>
      <c r="AA15" s="19">
        <f t="shared" si="3"/>
        <v>3.8054999999999999</v>
      </c>
      <c r="AB15" s="6" t="s">
        <v>331</v>
      </c>
      <c r="AC15" s="7">
        <v>2</v>
      </c>
    </row>
    <row r="16" spans="1:29" ht="39.6" x14ac:dyDescent="0.3">
      <c r="A16" s="7">
        <v>12</v>
      </c>
      <c r="B16" s="6" t="s">
        <v>335</v>
      </c>
      <c r="C16" s="7">
        <v>1</v>
      </c>
      <c r="D16" s="6" t="s">
        <v>336</v>
      </c>
      <c r="E16" s="6" t="s">
        <v>337</v>
      </c>
      <c r="F16" s="6" t="s">
        <v>338</v>
      </c>
      <c r="G16" s="6" t="s">
        <v>339</v>
      </c>
      <c r="H16" s="6" t="s">
        <v>340</v>
      </c>
      <c r="I16" s="6" t="s">
        <v>341</v>
      </c>
      <c r="J16" s="6" t="s">
        <v>239</v>
      </c>
      <c r="K16" s="6" t="s">
        <v>239</v>
      </c>
      <c r="L16" s="6" t="s">
        <v>240</v>
      </c>
      <c r="M16" s="6" t="s">
        <v>241</v>
      </c>
      <c r="N16" s="6" t="s">
        <v>242</v>
      </c>
      <c r="O16" s="7">
        <v>2</v>
      </c>
      <c r="P16" s="7">
        <v>2</v>
      </c>
      <c r="Q16" s="6" t="s">
        <v>256</v>
      </c>
      <c r="R16" s="6" t="s">
        <v>311</v>
      </c>
      <c r="S16" s="6" t="s">
        <v>342</v>
      </c>
      <c r="T16" s="6" t="s">
        <v>343</v>
      </c>
      <c r="U16" s="7">
        <v>6000</v>
      </c>
      <c r="V16" s="15">
        <f t="shared" si="0"/>
        <v>6000</v>
      </c>
      <c r="W16" s="16">
        <v>9.8000000000000004E-2</v>
      </c>
      <c r="X16" s="17">
        <v>0.75</v>
      </c>
      <c r="Y16" s="18">
        <f t="shared" si="1"/>
        <v>2.4500000000000001E-2</v>
      </c>
      <c r="Z16" s="18">
        <f t="shared" si="2"/>
        <v>2.4500000000000001E-2</v>
      </c>
      <c r="AA16" s="19">
        <f t="shared" si="3"/>
        <v>2.1070000000000002</v>
      </c>
      <c r="AB16" s="6" t="s">
        <v>344</v>
      </c>
      <c r="AC16" s="7">
        <v>2</v>
      </c>
    </row>
    <row r="17" spans="1:29" ht="39.6" x14ac:dyDescent="0.3">
      <c r="A17" s="7">
        <v>13</v>
      </c>
      <c r="B17" s="6" t="s">
        <v>345</v>
      </c>
      <c r="C17" s="7">
        <v>2</v>
      </c>
      <c r="D17" s="6" t="s">
        <v>346</v>
      </c>
      <c r="E17" s="6" t="s">
        <v>347</v>
      </c>
      <c r="F17" s="6" t="s">
        <v>348</v>
      </c>
      <c r="G17" s="6" t="s">
        <v>309</v>
      </c>
      <c r="H17" s="6" t="s">
        <v>266</v>
      </c>
      <c r="I17" s="6" t="s">
        <v>349</v>
      </c>
      <c r="J17" s="6" t="s">
        <v>239</v>
      </c>
      <c r="K17" s="6" t="s">
        <v>239</v>
      </c>
      <c r="L17" s="6" t="s">
        <v>240</v>
      </c>
      <c r="M17" s="6" t="s">
        <v>241</v>
      </c>
      <c r="N17" s="6" t="s">
        <v>255</v>
      </c>
      <c r="O17" s="7">
        <v>2</v>
      </c>
      <c r="P17" s="7">
        <v>2</v>
      </c>
      <c r="Q17" s="6" t="s">
        <v>256</v>
      </c>
      <c r="R17" s="6" t="s">
        <v>350</v>
      </c>
      <c r="S17" s="6" t="s">
        <v>351</v>
      </c>
      <c r="T17" s="6" t="s">
        <v>279</v>
      </c>
      <c r="U17" s="7">
        <v>6000</v>
      </c>
      <c r="V17" s="15">
        <f t="shared" si="0"/>
        <v>12000</v>
      </c>
      <c r="W17" s="16">
        <v>0.17799999999999999</v>
      </c>
      <c r="X17" s="17">
        <v>0.75</v>
      </c>
      <c r="Y17" s="18">
        <f t="shared" si="1"/>
        <v>4.4499999999999998E-2</v>
      </c>
      <c r="Z17" s="18">
        <f t="shared" si="2"/>
        <v>8.8999999999999996E-2</v>
      </c>
      <c r="AA17" s="19">
        <f t="shared" si="3"/>
        <v>7.6539999999999999</v>
      </c>
      <c r="AB17" s="6" t="s">
        <v>352</v>
      </c>
      <c r="AC17" s="7">
        <v>2</v>
      </c>
    </row>
    <row r="18" spans="1:29" ht="39.6" x14ac:dyDescent="0.3">
      <c r="A18" s="7">
        <v>14</v>
      </c>
      <c r="B18" s="6" t="s">
        <v>353</v>
      </c>
      <c r="C18" s="7">
        <v>2</v>
      </c>
      <c r="D18" s="6" t="s">
        <v>354</v>
      </c>
      <c r="E18" s="6" t="s">
        <v>250</v>
      </c>
      <c r="F18" s="6" t="s">
        <v>251</v>
      </c>
      <c r="G18" s="6" t="s">
        <v>252</v>
      </c>
      <c r="H18" s="6" t="s">
        <v>318</v>
      </c>
      <c r="I18" s="6" t="s">
        <v>254</v>
      </c>
      <c r="J18" s="6" t="s">
        <v>239</v>
      </c>
      <c r="K18" s="6" t="s">
        <v>239</v>
      </c>
      <c r="L18" s="6" t="s">
        <v>240</v>
      </c>
      <c r="M18" s="6" t="s">
        <v>241</v>
      </c>
      <c r="N18" s="6" t="s">
        <v>255</v>
      </c>
      <c r="O18" s="7">
        <v>2</v>
      </c>
      <c r="P18" s="7">
        <v>2</v>
      </c>
      <c r="Q18" s="6" t="s">
        <v>256</v>
      </c>
      <c r="R18" s="6" t="s">
        <v>350</v>
      </c>
      <c r="S18" s="6" t="s">
        <v>355</v>
      </c>
      <c r="T18" s="6" t="s">
        <v>259</v>
      </c>
      <c r="U18" s="7">
        <v>6000</v>
      </c>
      <c r="V18" s="15">
        <f t="shared" si="0"/>
        <v>12000</v>
      </c>
      <c r="W18" s="16">
        <v>6.8000000000000005E-2</v>
      </c>
      <c r="X18" s="17">
        <v>0.75</v>
      </c>
      <c r="Y18" s="18">
        <f t="shared" si="1"/>
        <v>1.7000000000000001E-2</v>
      </c>
      <c r="Z18" s="18">
        <f t="shared" si="2"/>
        <v>3.4000000000000002E-2</v>
      </c>
      <c r="AA18" s="19">
        <f t="shared" si="3"/>
        <v>2.9240000000000004</v>
      </c>
      <c r="AB18" s="6" t="s">
        <v>260</v>
      </c>
      <c r="AC18" s="7">
        <v>2</v>
      </c>
    </row>
    <row r="19" spans="1:29" ht="39.6" x14ac:dyDescent="0.3">
      <c r="A19" s="7">
        <v>15</v>
      </c>
      <c r="B19" s="6" t="s">
        <v>356</v>
      </c>
      <c r="C19" s="7">
        <v>1</v>
      </c>
      <c r="D19" s="6" t="s">
        <v>357</v>
      </c>
      <c r="E19" s="6" t="s">
        <v>358</v>
      </c>
      <c r="F19" s="6" t="s">
        <v>359</v>
      </c>
      <c r="G19" s="6" t="s">
        <v>360</v>
      </c>
      <c r="H19" s="6" t="s">
        <v>361</v>
      </c>
      <c r="I19" s="6" t="s">
        <v>362</v>
      </c>
      <c r="J19" s="6" t="s">
        <v>239</v>
      </c>
      <c r="K19" s="6" t="s">
        <v>239</v>
      </c>
      <c r="L19" s="6" t="s">
        <v>240</v>
      </c>
      <c r="M19" s="6" t="s">
        <v>241</v>
      </c>
      <c r="N19" s="6" t="s">
        <v>255</v>
      </c>
      <c r="O19" s="7">
        <v>2</v>
      </c>
      <c r="P19" s="7">
        <v>20</v>
      </c>
      <c r="Q19" s="6" t="s">
        <v>256</v>
      </c>
      <c r="R19" s="6" t="s">
        <v>311</v>
      </c>
      <c r="S19" s="6" t="s">
        <v>363</v>
      </c>
      <c r="T19" s="6" t="s">
        <v>269</v>
      </c>
      <c r="U19" s="7">
        <v>6000</v>
      </c>
      <c r="V19" s="15">
        <f t="shared" si="0"/>
        <v>6000</v>
      </c>
      <c r="W19" s="16">
        <v>3.15</v>
      </c>
      <c r="X19" s="17">
        <v>0.75</v>
      </c>
      <c r="Y19" s="18">
        <f t="shared" si="1"/>
        <v>0.78749999999999998</v>
      </c>
      <c r="Z19" s="18">
        <f t="shared" si="2"/>
        <v>0.78749999999999998</v>
      </c>
      <c r="AA19" s="19">
        <f t="shared" si="3"/>
        <v>67.724999999999994</v>
      </c>
      <c r="AB19" s="6" t="s">
        <v>364</v>
      </c>
      <c r="AC19" s="7">
        <v>20</v>
      </c>
    </row>
    <row r="20" spans="1:29" ht="39.6" x14ac:dyDescent="0.3">
      <c r="A20" s="7">
        <v>16</v>
      </c>
      <c r="B20" s="6" t="s">
        <v>365</v>
      </c>
      <c r="C20" s="7">
        <v>1</v>
      </c>
      <c r="D20" s="6" t="s">
        <v>366</v>
      </c>
      <c r="E20" s="6" t="s">
        <v>367</v>
      </c>
      <c r="F20" s="6" t="s">
        <v>368</v>
      </c>
      <c r="G20" s="6" t="s">
        <v>252</v>
      </c>
      <c r="H20" s="6" t="s">
        <v>369</v>
      </c>
      <c r="I20" s="6" t="s">
        <v>370</v>
      </c>
      <c r="J20" s="6" t="s">
        <v>239</v>
      </c>
      <c r="K20" s="6" t="s">
        <v>239</v>
      </c>
      <c r="L20" s="6" t="s">
        <v>240</v>
      </c>
      <c r="M20" s="6" t="s">
        <v>241</v>
      </c>
      <c r="N20" s="6" t="s">
        <v>255</v>
      </c>
      <c r="O20" s="7">
        <v>2</v>
      </c>
      <c r="P20" s="7">
        <v>2</v>
      </c>
      <c r="Q20" s="6" t="s">
        <v>256</v>
      </c>
      <c r="R20" s="6" t="s">
        <v>371</v>
      </c>
      <c r="S20" s="6" t="s">
        <v>372</v>
      </c>
      <c r="T20" s="6"/>
      <c r="U20" s="7">
        <v>6000</v>
      </c>
      <c r="V20" s="15">
        <f t="shared" si="0"/>
        <v>6000</v>
      </c>
      <c r="W20" s="16">
        <v>0.13300000000000001</v>
      </c>
      <c r="X20" s="17">
        <v>0.75</v>
      </c>
      <c r="Y20" s="18">
        <f t="shared" si="1"/>
        <v>3.3250000000000002E-2</v>
      </c>
      <c r="Z20" s="18">
        <f t="shared" si="2"/>
        <v>3.3250000000000002E-2</v>
      </c>
      <c r="AA20" s="19">
        <f t="shared" si="3"/>
        <v>2.8595000000000002</v>
      </c>
      <c r="AB20" s="6" t="s">
        <v>373</v>
      </c>
      <c r="AC20" s="7">
        <v>2</v>
      </c>
    </row>
    <row r="21" spans="1:29" ht="39.6" x14ac:dyDescent="0.3">
      <c r="A21" s="7">
        <v>17</v>
      </c>
      <c r="B21" s="6" t="s">
        <v>374</v>
      </c>
      <c r="C21" s="7">
        <v>1</v>
      </c>
      <c r="D21" s="6" t="s">
        <v>375</v>
      </c>
      <c r="E21" s="6" t="s">
        <v>301</v>
      </c>
      <c r="F21" s="6" t="s">
        <v>376</v>
      </c>
      <c r="G21" s="6" t="s">
        <v>377</v>
      </c>
      <c r="H21" s="6" t="s">
        <v>266</v>
      </c>
      <c r="I21" s="6" t="s">
        <v>378</v>
      </c>
      <c r="J21" s="6" t="s">
        <v>239</v>
      </c>
      <c r="K21" s="6" t="s">
        <v>239</v>
      </c>
      <c r="L21" s="6" t="s">
        <v>240</v>
      </c>
      <c r="M21" s="6" t="s">
        <v>241</v>
      </c>
      <c r="N21" s="6" t="s">
        <v>255</v>
      </c>
      <c r="O21" s="7">
        <v>2</v>
      </c>
      <c r="P21" s="7">
        <v>2</v>
      </c>
      <c r="Q21" s="6" t="s">
        <v>256</v>
      </c>
      <c r="R21" s="6" t="s">
        <v>379</v>
      </c>
      <c r="S21" s="6" t="s">
        <v>380</v>
      </c>
      <c r="T21" s="6" t="s">
        <v>381</v>
      </c>
      <c r="U21" s="7">
        <v>6000</v>
      </c>
      <c r="V21" s="15">
        <f t="shared" si="0"/>
        <v>6000</v>
      </c>
      <c r="W21" s="16">
        <v>6.0999999999999999E-2</v>
      </c>
      <c r="X21" s="17">
        <v>0.75</v>
      </c>
      <c r="Y21" s="18">
        <f t="shared" si="1"/>
        <v>1.525E-2</v>
      </c>
      <c r="Z21" s="18">
        <f t="shared" si="2"/>
        <v>1.525E-2</v>
      </c>
      <c r="AA21" s="19">
        <f t="shared" si="3"/>
        <v>1.3114999999999999</v>
      </c>
      <c r="AB21" s="6" t="s">
        <v>382</v>
      </c>
      <c r="AC21" s="7">
        <v>2</v>
      </c>
    </row>
    <row r="22" spans="1:29" ht="26.4" x14ac:dyDescent="0.3">
      <c r="A22" s="7">
        <v>18</v>
      </c>
      <c r="B22" s="6" t="s">
        <v>383</v>
      </c>
      <c r="C22" s="7">
        <v>1</v>
      </c>
      <c r="D22" s="6" t="s">
        <v>384</v>
      </c>
      <c r="E22" s="6" t="s">
        <v>385</v>
      </c>
      <c r="F22" s="6"/>
      <c r="G22" s="6" t="s">
        <v>386</v>
      </c>
      <c r="H22" s="6" t="s">
        <v>266</v>
      </c>
      <c r="I22" s="6" t="s">
        <v>387</v>
      </c>
      <c r="J22" s="6" t="s">
        <v>239</v>
      </c>
      <c r="K22" s="6" t="s">
        <v>239</v>
      </c>
      <c r="L22" s="6" t="s">
        <v>240</v>
      </c>
      <c r="M22" s="6" t="s">
        <v>241</v>
      </c>
      <c r="N22" s="6" t="s">
        <v>255</v>
      </c>
      <c r="O22" s="7">
        <v>2</v>
      </c>
      <c r="P22" s="7">
        <v>2</v>
      </c>
      <c r="Q22" s="6" t="s">
        <v>256</v>
      </c>
      <c r="R22" s="6" t="s">
        <v>303</v>
      </c>
      <c r="S22" s="6" t="s">
        <v>388</v>
      </c>
      <c r="T22" s="6"/>
      <c r="U22" s="7">
        <v>6000</v>
      </c>
      <c r="V22" s="15">
        <f t="shared" si="0"/>
        <v>6000</v>
      </c>
      <c r="W22" s="16">
        <v>0.03</v>
      </c>
      <c r="X22" s="17">
        <v>0.75</v>
      </c>
      <c r="Y22" s="18">
        <f t="shared" si="1"/>
        <v>7.4999999999999997E-3</v>
      </c>
      <c r="Z22" s="18">
        <f t="shared" si="2"/>
        <v>7.4999999999999997E-3</v>
      </c>
      <c r="AA22" s="19">
        <f t="shared" si="3"/>
        <v>0.64500000000000002</v>
      </c>
      <c r="AB22" s="6" t="s">
        <v>389</v>
      </c>
      <c r="AC22" s="7">
        <v>2</v>
      </c>
    </row>
    <row r="23" spans="1:29" ht="26.4" x14ac:dyDescent="0.3">
      <c r="A23" s="7">
        <v>19</v>
      </c>
      <c r="B23" s="6" t="s">
        <v>390</v>
      </c>
      <c r="C23" s="7">
        <v>1</v>
      </c>
      <c r="D23" s="6" t="s">
        <v>391</v>
      </c>
      <c r="E23" s="6" t="s">
        <v>301</v>
      </c>
      <c r="F23" s="6" t="s">
        <v>392</v>
      </c>
      <c r="G23" s="6" t="s">
        <v>393</v>
      </c>
      <c r="H23" s="6" t="s">
        <v>266</v>
      </c>
      <c r="I23" s="6" t="s">
        <v>394</v>
      </c>
      <c r="J23" s="6" t="s">
        <v>239</v>
      </c>
      <c r="K23" s="6" t="s">
        <v>239</v>
      </c>
      <c r="L23" s="6" t="s">
        <v>240</v>
      </c>
      <c r="M23" s="6" t="s">
        <v>241</v>
      </c>
      <c r="N23" s="6" t="s">
        <v>255</v>
      </c>
      <c r="O23" s="7">
        <v>2</v>
      </c>
      <c r="P23" s="7">
        <v>2</v>
      </c>
      <c r="Q23" s="6" t="s">
        <v>256</v>
      </c>
      <c r="R23" s="6" t="s">
        <v>287</v>
      </c>
      <c r="S23" s="6" t="s">
        <v>395</v>
      </c>
      <c r="T23" s="6" t="s">
        <v>396</v>
      </c>
      <c r="U23" s="7">
        <v>6000</v>
      </c>
      <c r="V23" s="15">
        <f t="shared" si="0"/>
        <v>6000</v>
      </c>
      <c r="W23" s="16">
        <v>1.7000000000000001E-2</v>
      </c>
      <c r="X23" s="17">
        <v>0.75</v>
      </c>
      <c r="Y23" s="18">
        <f t="shared" si="1"/>
        <v>4.2500000000000003E-3</v>
      </c>
      <c r="Z23" s="18">
        <f t="shared" si="2"/>
        <v>4.2500000000000003E-3</v>
      </c>
      <c r="AA23" s="19">
        <f t="shared" si="3"/>
        <v>0.36550000000000005</v>
      </c>
      <c r="AB23" s="6" t="s">
        <v>397</v>
      </c>
      <c r="AC23" s="7">
        <v>2</v>
      </c>
    </row>
    <row r="24" spans="1:29" ht="26.4" x14ac:dyDescent="0.3">
      <c r="A24" s="7">
        <v>20</v>
      </c>
      <c r="B24" s="6" t="s">
        <v>398</v>
      </c>
      <c r="C24" s="7">
        <v>1</v>
      </c>
      <c r="D24" s="6" t="s">
        <v>399</v>
      </c>
      <c r="E24" s="6" t="s">
        <v>400</v>
      </c>
      <c r="F24" s="6" t="s">
        <v>401</v>
      </c>
      <c r="G24" s="6" t="s">
        <v>402</v>
      </c>
      <c r="H24" s="6" t="s">
        <v>266</v>
      </c>
      <c r="I24" s="6" t="s">
        <v>403</v>
      </c>
      <c r="J24" s="6" t="s">
        <v>239</v>
      </c>
      <c r="K24" s="6" t="s">
        <v>239</v>
      </c>
      <c r="L24" s="6" t="s">
        <v>240</v>
      </c>
      <c r="M24" s="6" t="s">
        <v>241</v>
      </c>
      <c r="N24" s="6" t="s">
        <v>255</v>
      </c>
      <c r="O24" s="7">
        <v>2</v>
      </c>
      <c r="P24" s="7">
        <v>3</v>
      </c>
      <c r="Q24" s="6" t="s">
        <v>256</v>
      </c>
      <c r="R24" s="6" t="s">
        <v>287</v>
      </c>
      <c r="S24" s="6" t="s">
        <v>404</v>
      </c>
      <c r="T24" s="6"/>
      <c r="U24" s="7">
        <v>6000</v>
      </c>
      <c r="V24" s="15">
        <f t="shared" si="0"/>
        <v>6000</v>
      </c>
      <c r="W24" s="16">
        <v>2.5999999999999999E-2</v>
      </c>
      <c r="X24" s="17">
        <v>0.75</v>
      </c>
      <c r="Y24" s="18">
        <f t="shared" si="1"/>
        <v>6.4999999999999997E-3</v>
      </c>
      <c r="Z24" s="18">
        <f t="shared" si="2"/>
        <v>6.4999999999999997E-3</v>
      </c>
      <c r="AA24" s="19">
        <f t="shared" si="3"/>
        <v>0.55899999999999994</v>
      </c>
      <c r="AB24" s="6" t="s">
        <v>405</v>
      </c>
      <c r="AC24" s="7">
        <v>2</v>
      </c>
    </row>
    <row r="25" spans="1:29" ht="39.6" x14ac:dyDescent="0.3">
      <c r="A25" s="7">
        <v>21</v>
      </c>
      <c r="B25" s="6" t="s">
        <v>406</v>
      </c>
      <c r="C25" s="7">
        <v>1</v>
      </c>
      <c r="D25" s="6" t="s">
        <v>407</v>
      </c>
      <c r="E25" s="6" t="s">
        <v>263</v>
      </c>
      <c r="F25" s="6" t="s">
        <v>408</v>
      </c>
      <c r="G25" s="6" t="s">
        <v>309</v>
      </c>
      <c r="H25" s="6" t="s">
        <v>266</v>
      </c>
      <c r="I25" s="6" t="s">
        <v>409</v>
      </c>
      <c r="J25" s="6" t="s">
        <v>239</v>
      </c>
      <c r="K25" s="6" t="s">
        <v>239</v>
      </c>
      <c r="L25" s="6" t="s">
        <v>240</v>
      </c>
      <c r="M25" s="6" t="s">
        <v>241</v>
      </c>
      <c r="N25" s="6" t="s">
        <v>255</v>
      </c>
      <c r="O25" s="7">
        <v>3</v>
      </c>
      <c r="P25" s="7">
        <v>4</v>
      </c>
      <c r="Q25" s="6" t="s">
        <v>256</v>
      </c>
      <c r="R25" s="6" t="s">
        <v>410</v>
      </c>
      <c r="S25" s="6" t="s">
        <v>411</v>
      </c>
      <c r="T25" s="6"/>
      <c r="U25" s="7">
        <v>6000</v>
      </c>
      <c r="V25" s="15">
        <f t="shared" si="0"/>
        <v>6000</v>
      </c>
      <c r="W25" s="16">
        <v>8.9999999999999993E-3</v>
      </c>
      <c r="X25" s="17">
        <v>0.75</v>
      </c>
      <c r="Y25" s="18">
        <f t="shared" si="1"/>
        <v>2.2499999999999998E-3</v>
      </c>
      <c r="Z25" s="18">
        <f t="shared" si="2"/>
        <v>2.2499999999999998E-3</v>
      </c>
      <c r="AA25" s="19">
        <f t="shared" si="3"/>
        <v>0.19349999999999998</v>
      </c>
      <c r="AB25" s="6" t="s">
        <v>412</v>
      </c>
      <c r="AC25" s="7">
        <v>2</v>
      </c>
    </row>
    <row r="26" spans="1:29" ht="39.6" x14ac:dyDescent="0.3">
      <c r="A26" s="7">
        <v>22</v>
      </c>
      <c r="B26" s="6" t="s">
        <v>413</v>
      </c>
      <c r="C26" s="7">
        <v>1</v>
      </c>
      <c r="D26" s="6" t="s">
        <v>414</v>
      </c>
      <c r="E26" s="6" t="s">
        <v>263</v>
      </c>
      <c r="F26" s="6" t="s">
        <v>415</v>
      </c>
      <c r="G26" s="6" t="s">
        <v>309</v>
      </c>
      <c r="H26" s="6" t="s">
        <v>266</v>
      </c>
      <c r="I26" s="6" t="s">
        <v>416</v>
      </c>
      <c r="J26" s="6" t="s">
        <v>239</v>
      </c>
      <c r="K26" s="6" t="s">
        <v>239</v>
      </c>
      <c r="L26" s="6" t="s">
        <v>240</v>
      </c>
      <c r="M26" s="6" t="s">
        <v>241</v>
      </c>
      <c r="N26" s="6" t="s">
        <v>255</v>
      </c>
      <c r="O26" s="7">
        <v>2</v>
      </c>
      <c r="P26" s="7">
        <v>5</v>
      </c>
      <c r="Q26" s="6" t="s">
        <v>244</v>
      </c>
      <c r="R26" s="6" t="s">
        <v>417</v>
      </c>
      <c r="S26" s="6" t="s">
        <v>418</v>
      </c>
      <c r="T26" s="6" t="s">
        <v>419</v>
      </c>
      <c r="U26" s="7">
        <v>6000</v>
      </c>
      <c r="V26" s="15">
        <f t="shared" si="0"/>
        <v>6000</v>
      </c>
      <c r="W26" s="16">
        <v>8.9999999999999993E-3</v>
      </c>
      <c r="X26" s="17">
        <v>0.75</v>
      </c>
      <c r="Y26" s="18">
        <f t="shared" si="1"/>
        <v>2.2499999999999998E-3</v>
      </c>
      <c r="Z26" s="18">
        <f t="shared" si="2"/>
        <v>2.2499999999999998E-3</v>
      </c>
      <c r="AA26" s="19">
        <f t="shared" si="3"/>
        <v>0.19349999999999998</v>
      </c>
      <c r="AB26" s="6" t="s">
        <v>420</v>
      </c>
      <c r="AC26" s="7">
        <v>2</v>
      </c>
    </row>
    <row r="27" spans="1:29" ht="39.6" x14ac:dyDescent="0.3">
      <c r="A27" s="7">
        <v>23</v>
      </c>
      <c r="B27" s="6" t="s">
        <v>421</v>
      </c>
      <c r="C27" s="7">
        <v>1</v>
      </c>
      <c r="D27" s="6" t="s">
        <v>422</v>
      </c>
      <c r="E27" s="6" t="s">
        <v>263</v>
      </c>
      <c r="F27" s="6" t="s">
        <v>423</v>
      </c>
      <c r="G27" s="6" t="s">
        <v>424</v>
      </c>
      <c r="H27" s="6" t="s">
        <v>266</v>
      </c>
      <c r="I27" s="6" t="s">
        <v>425</v>
      </c>
      <c r="J27" s="6" t="s">
        <v>239</v>
      </c>
      <c r="K27" s="6" t="s">
        <v>239</v>
      </c>
      <c r="L27" s="6" t="s">
        <v>240</v>
      </c>
      <c r="M27" s="6" t="s">
        <v>241</v>
      </c>
      <c r="N27" s="6" t="s">
        <v>255</v>
      </c>
      <c r="O27" s="7">
        <v>1</v>
      </c>
      <c r="P27" s="7">
        <v>6</v>
      </c>
      <c r="Q27" s="6" t="s">
        <v>256</v>
      </c>
      <c r="R27" s="6" t="s">
        <v>426</v>
      </c>
      <c r="S27" s="6" t="s">
        <v>427</v>
      </c>
      <c r="T27" s="6" t="s">
        <v>428</v>
      </c>
      <c r="U27" s="7">
        <v>6000</v>
      </c>
      <c r="V27" s="15">
        <f t="shared" si="0"/>
        <v>6000</v>
      </c>
      <c r="W27" s="16">
        <v>1.4E-2</v>
      </c>
      <c r="X27" s="17">
        <v>0.75</v>
      </c>
      <c r="Y27" s="18">
        <f t="shared" si="1"/>
        <v>3.5000000000000001E-3</v>
      </c>
      <c r="Z27" s="18">
        <f t="shared" si="2"/>
        <v>3.5000000000000001E-3</v>
      </c>
      <c r="AA27" s="19">
        <f t="shared" si="3"/>
        <v>0.30099999999999999</v>
      </c>
      <c r="AB27" s="6" t="s">
        <v>429</v>
      </c>
      <c r="AC27" s="7">
        <v>2</v>
      </c>
    </row>
    <row r="28" spans="1:29" ht="39.6" x14ac:dyDescent="0.3">
      <c r="A28" s="7">
        <v>24</v>
      </c>
      <c r="B28" s="6" t="s">
        <v>430</v>
      </c>
      <c r="C28" s="7">
        <v>2</v>
      </c>
      <c r="D28" s="6" t="s">
        <v>431</v>
      </c>
      <c r="E28" s="6" t="s">
        <v>385</v>
      </c>
      <c r="F28" s="6" t="s">
        <v>432</v>
      </c>
      <c r="G28" s="6" t="s">
        <v>309</v>
      </c>
      <c r="H28" s="6" t="s">
        <v>266</v>
      </c>
      <c r="I28" s="6" t="s">
        <v>433</v>
      </c>
      <c r="J28" s="6" t="s">
        <v>239</v>
      </c>
      <c r="K28" s="6" t="s">
        <v>239</v>
      </c>
      <c r="L28" s="6" t="s">
        <v>240</v>
      </c>
      <c r="M28" s="6" t="s">
        <v>241</v>
      </c>
      <c r="N28" s="6" t="s">
        <v>255</v>
      </c>
      <c r="O28" s="6"/>
      <c r="P28" s="7">
        <v>7</v>
      </c>
      <c r="Q28" s="6" t="s">
        <v>244</v>
      </c>
      <c r="R28" s="6" t="s">
        <v>417</v>
      </c>
      <c r="S28" s="6" t="s">
        <v>434</v>
      </c>
      <c r="T28" s="6" t="s">
        <v>435</v>
      </c>
      <c r="U28" s="7">
        <v>6000</v>
      </c>
      <c r="V28" s="15">
        <f t="shared" si="0"/>
        <v>12000</v>
      </c>
      <c r="W28" s="16">
        <v>5.0000000000000001E-3</v>
      </c>
      <c r="X28" s="17">
        <v>0.75</v>
      </c>
      <c r="Y28" s="18">
        <f t="shared" si="1"/>
        <v>1.25E-3</v>
      </c>
      <c r="Z28" s="18">
        <f t="shared" si="2"/>
        <v>2.5000000000000001E-3</v>
      </c>
      <c r="AA28" s="19">
        <f t="shared" si="3"/>
        <v>0.215</v>
      </c>
      <c r="AB28" s="6" t="s">
        <v>436</v>
      </c>
      <c r="AC28" s="7">
        <v>2</v>
      </c>
    </row>
    <row r="29" spans="1:29" ht="39.6" x14ac:dyDescent="0.3">
      <c r="A29" s="7">
        <v>25</v>
      </c>
      <c r="B29" s="6" t="s">
        <v>437</v>
      </c>
      <c r="C29" s="7">
        <v>1</v>
      </c>
      <c r="D29" s="6" t="s">
        <v>438</v>
      </c>
      <c r="E29" s="6" t="s">
        <v>263</v>
      </c>
      <c r="F29" s="6" t="s">
        <v>439</v>
      </c>
      <c r="G29" s="6" t="s">
        <v>440</v>
      </c>
      <c r="H29" s="6" t="s">
        <v>266</v>
      </c>
      <c r="I29" s="6" t="s">
        <v>441</v>
      </c>
      <c r="J29" s="6" t="s">
        <v>239</v>
      </c>
      <c r="K29" s="6" t="s">
        <v>239</v>
      </c>
      <c r="L29" s="6" t="s">
        <v>240</v>
      </c>
      <c r="M29" s="6" t="s">
        <v>241</v>
      </c>
      <c r="N29" s="6" t="s">
        <v>255</v>
      </c>
      <c r="O29" s="7">
        <v>19</v>
      </c>
      <c r="P29" s="7">
        <v>8</v>
      </c>
      <c r="Q29" s="6" t="s">
        <v>244</v>
      </c>
      <c r="R29" s="6" t="s">
        <v>417</v>
      </c>
      <c r="S29" s="6" t="s">
        <v>434</v>
      </c>
      <c r="T29" s="6" t="s">
        <v>442</v>
      </c>
      <c r="U29" s="7">
        <v>6000</v>
      </c>
      <c r="V29" s="15">
        <f t="shared" si="0"/>
        <v>6000</v>
      </c>
      <c r="W29" s="16">
        <v>1.9E-2</v>
      </c>
      <c r="X29" s="17">
        <v>0.75</v>
      </c>
      <c r="Y29" s="18">
        <f t="shared" si="1"/>
        <v>4.7499999999999999E-3</v>
      </c>
      <c r="Z29" s="18">
        <f t="shared" si="2"/>
        <v>4.7499999999999999E-3</v>
      </c>
      <c r="AA29" s="19">
        <f t="shared" si="3"/>
        <v>0.40849999999999997</v>
      </c>
      <c r="AB29" s="6" t="s">
        <v>443</v>
      </c>
      <c r="AC29" s="7">
        <v>2</v>
      </c>
    </row>
    <row r="30" spans="1:29" ht="39.6" x14ac:dyDescent="0.3">
      <c r="A30" s="7">
        <v>26</v>
      </c>
      <c r="B30" s="6" t="s">
        <v>444</v>
      </c>
      <c r="C30" s="7">
        <v>1</v>
      </c>
      <c r="D30" s="6" t="s">
        <v>422</v>
      </c>
      <c r="E30" s="6" t="s">
        <v>263</v>
      </c>
      <c r="F30" s="6" t="s">
        <v>423</v>
      </c>
      <c r="G30" s="6" t="s">
        <v>424</v>
      </c>
      <c r="H30" s="6" t="s">
        <v>266</v>
      </c>
      <c r="I30" s="6" t="s">
        <v>445</v>
      </c>
      <c r="J30" s="6" t="s">
        <v>239</v>
      </c>
      <c r="K30" s="6" t="s">
        <v>239</v>
      </c>
      <c r="L30" s="6" t="s">
        <v>240</v>
      </c>
      <c r="M30" s="6" t="s">
        <v>241</v>
      </c>
      <c r="N30" s="6" t="s">
        <v>255</v>
      </c>
      <c r="O30" s="7">
        <v>2</v>
      </c>
      <c r="P30" s="7">
        <v>9</v>
      </c>
      <c r="Q30" s="6" t="s">
        <v>244</v>
      </c>
      <c r="R30" s="6" t="s">
        <v>446</v>
      </c>
      <c r="S30" s="6" t="s">
        <v>447</v>
      </c>
      <c r="T30" s="6" t="s">
        <v>448</v>
      </c>
      <c r="U30" s="7">
        <v>6000</v>
      </c>
      <c r="V30" s="15">
        <f t="shared" si="0"/>
        <v>6000</v>
      </c>
      <c r="W30" s="16">
        <v>1.4E-2</v>
      </c>
      <c r="X30" s="17">
        <v>0.75</v>
      </c>
      <c r="Y30" s="18">
        <f t="shared" si="1"/>
        <v>3.5000000000000001E-3</v>
      </c>
      <c r="Z30" s="18">
        <f t="shared" si="2"/>
        <v>3.5000000000000001E-3</v>
      </c>
      <c r="AA30" s="19">
        <f t="shared" si="3"/>
        <v>0.30099999999999999</v>
      </c>
      <c r="AB30" s="6" t="s">
        <v>429</v>
      </c>
      <c r="AC30" s="7">
        <v>2</v>
      </c>
    </row>
    <row r="31" spans="1:29" ht="52.8" x14ac:dyDescent="0.3">
      <c r="A31" s="7">
        <v>27</v>
      </c>
      <c r="B31" s="6" t="s">
        <v>449</v>
      </c>
      <c r="C31" s="7">
        <v>1</v>
      </c>
      <c r="D31" s="6" t="s">
        <v>450</v>
      </c>
      <c r="E31" s="6" t="s">
        <v>451</v>
      </c>
      <c r="F31" s="6" t="s">
        <v>452</v>
      </c>
      <c r="G31" s="6" t="s">
        <v>453</v>
      </c>
      <c r="H31" s="6" t="s">
        <v>454</v>
      </c>
      <c r="I31" s="6" t="s">
        <v>455</v>
      </c>
      <c r="J31" s="6" t="s">
        <v>456</v>
      </c>
      <c r="K31" s="6" t="s">
        <v>456</v>
      </c>
      <c r="L31" s="6" t="s">
        <v>241</v>
      </c>
      <c r="M31" s="6" t="s">
        <v>241</v>
      </c>
      <c r="N31" s="6" t="s">
        <v>255</v>
      </c>
      <c r="O31" s="7">
        <v>3</v>
      </c>
      <c r="P31" s="7">
        <v>2</v>
      </c>
      <c r="Q31" s="6" t="s">
        <v>256</v>
      </c>
      <c r="R31" s="6" t="s">
        <v>257</v>
      </c>
      <c r="S31" s="6" t="s">
        <v>457</v>
      </c>
      <c r="T31" s="6" t="s">
        <v>458</v>
      </c>
      <c r="U31" s="7">
        <v>6000</v>
      </c>
      <c r="V31" s="15">
        <f t="shared" si="0"/>
        <v>6000</v>
      </c>
      <c r="W31" s="16">
        <v>2.0779999999999998</v>
      </c>
      <c r="X31" s="17">
        <v>0.75</v>
      </c>
      <c r="Y31" s="18">
        <f t="shared" si="1"/>
        <v>0.51949999999999996</v>
      </c>
      <c r="Z31" s="18">
        <f t="shared" si="2"/>
        <v>0.51949999999999996</v>
      </c>
      <c r="AA31" s="19">
        <f t="shared" si="3"/>
        <v>44.677</v>
      </c>
      <c r="AB31" s="6" t="s">
        <v>459</v>
      </c>
      <c r="AC31" s="7">
        <v>2</v>
      </c>
    </row>
    <row r="32" spans="1:29" ht="26.4" x14ac:dyDescent="0.3">
      <c r="A32" s="7">
        <v>28</v>
      </c>
      <c r="B32" s="6" t="s">
        <v>460</v>
      </c>
      <c r="C32" s="7">
        <v>1</v>
      </c>
      <c r="D32" s="6" t="s">
        <v>461</v>
      </c>
      <c r="E32" s="6" t="s">
        <v>462</v>
      </c>
      <c r="F32" s="6" t="s">
        <v>463</v>
      </c>
      <c r="G32" s="6" t="s">
        <v>464</v>
      </c>
      <c r="H32" s="6" t="s">
        <v>465</v>
      </c>
      <c r="I32" s="6" t="s">
        <v>466</v>
      </c>
      <c r="J32" s="6" t="s">
        <v>456</v>
      </c>
      <c r="K32" s="6" t="s">
        <v>456</v>
      </c>
      <c r="L32" s="6" t="s">
        <v>241</v>
      </c>
      <c r="M32" s="6" t="s">
        <v>467</v>
      </c>
      <c r="N32" s="6" t="s">
        <v>255</v>
      </c>
      <c r="O32" s="7">
        <v>3</v>
      </c>
      <c r="P32" s="7">
        <v>2</v>
      </c>
      <c r="Q32" s="6" t="s">
        <v>244</v>
      </c>
      <c r="R32" s="6" t="s">
        <v>417</v>
      </c>
      <c r="S32" s="6" t="s">
        <v>468</v>
      </c>
      <c r="T32" s="6" t="s">
        <v>469</v>
      </c>
      <c r="U32" s="7">
        <v>6000</v>
      </c>
      <c r="V32" s="15">
        <f t="shared" si="0"/>
        <v>6000</v>
      </c>
      <c r="W32" s="16">
        <v>0.48425000000000001</v>
      </c>
      <c r="X32" s="17">
        <v>0.75</v>
      </c>
      <c r="Y32" s="18">
        <f t="shared" si="1"/>
        <v>0.1210625</v>
      </c>
      <c r="Z32" s="18">
        <f t="shared" si="2"/>
        <v>0.1210625</v>
      </c>
      <c r="AA32" s="19">
        <f t="shared" si="3"/>
        <v>10.411375</v>
      </c>
      <c r="AB32" s="6" t="s">
        <v>470</v>
      </c>
      <c r="AC32" s="7">
        <v>2</v>
      </c>
    </row>
    <row r="33" spans="1:29" ht="39.6" x14ac:dyDescent="0.3">
      <c r="A33" s="7">
        <v>29</v>
      </c>
      <c r="B33" s="6" t="s">
        <v>471</v>
      </c>
      <c r="C33" s="7">
        <v>3</v>
      </c>
      <c r="D33" s="6" t="s">
        <v>472</v>
      </c>
      <c r="E33" s="6" t="s">
        <v>472</v>
      </c>
      <c r="F33" s="6" t="s">
        <v>473</v>
      </c>
      <c r="G33" s="6" t="s">
        <v>474</v>
      </c>
      <c r="H33" s="6" t="s">
        <v>475</v>
      </c>
      <c r="I33" s="6" t="s">
        <v>476</v>
      </c>
      <c r="J33" s="6" t="s">
        <v>239</v>
      </c>
      <c r="K33" s="6" t="s">
        <v>239</v>
      </c>
      <c r="L33" s="6" t="s">
        <v>241</v>
      </c>
      <c r="M33" s="6" t="s">
        <v>467</v>
      </c>
      <c r="N33" s="6" t="s">
        <v>255</v>
      </c>
      <c r="O33" s="7">
        <v>3</v>
      </c>
      <c r="P33" s="7">
        <v>2</v>
      </c>
      <c r="Q33" s="6" t="s">
        <v>256</v>
      </c>
      <c r="R33" s="6" t="s">
        <v>477</v>
      </c>
      <c r="S33" s="6" t="s">
        <v>478</v>
      </c>
      <c r="T33" s="6" t="s">
        <v>479</v>
      </c>
      <c r="U33" s="7">
        <v>6000</v>
      </c>
      <c r="V33" s="15">
        <f t="shared" si="0"/>
        <v>18000</v>
      </c>
      <c r="W33" s="16">
        <v>0.17799999999999999</v>
      </c>
      <c r="X33" s="17">
        <v>0.75</v>
      </c>
      <c r="Y33" s="18">
        <f t="shared" si="1"/>
        <v>4.4499999999999998E-2</v>
      </c>
      <c r="Z33" s="18">
        <f t="shared" si="2"/>
        <v>0.13350000000000001</v>
      </c>
      <c r="AA33" s="19">
        <f t="shared" si="3"/>
        <v>11.481</v>
      </c>
      <c r="AB33" s="6" t="s">
        <v>480</v>
      </c>
      <c r="AC33" s="7">
        <v>2</v>
      </c>
    </row>
    <row r="34" spans="1:29" ht="26.4" x14ac:dyDescent="0.3">
      <c r="A34" s="7">
        <v>30</v>
      </c>
      <c r="B34" s="6" t="s">
        <v>481</v>
      </c>
      <c r="C34" s="7">
        <v>1</v>
      </c>
      <c r="D34" s="6" t="s">
        <v>482</v>
      </c>
      <c r="E34" s="6" t="s">
        <v>483</v>
      </c>
      <c r="F34" s="6" t="s">
        <v>484</v>
      </c>
      <c r="G34" s="6" t="s">
        <v>464</v>
      </c>
      <c r="H34" s="6" t="s">
        <v>475</v>
      </c>
      <c r="I34" s="6" t="s">
        <v>485</v>
      </c>
      <c r="J34" s="6" t="s">
        <v>239</v>
      </c>
      <c r="K34" s="6" t="s">
        <v>239</v>
      </c>
      <c r="L34" s="6" t="s">
        <v>241</v>
      </c>
      <c r="M34" s="6" t="s">
        <v>467</v>
      </c>
      <c r="N34" s="6" t="s">
        <v>255</v>
      </c>
      <c r="O34" s="7">
        <v>2</v>
      </c>
      <c r="P34" s="7">
        <v>2</v>
      </c>
      <c r="Q34" s="6" t="s">
        <v>256</v>
      </c>
      <c r="R34" s="6" t="s">
        <v>257</v>
      </c>
      <c r="S34" s="6" t="s">
        <v>486</v>
      </c>
      <c r="T34" s="6"/>
      <c r="U34" s="7">
        <v>6000</v>
      </c>
      <c r="V34" s="15">
        <f t="shared" si="0"/>
        <v>6000</v>
      </c>
      <c r="W34" s="16">
        <v>0.47</v>
      </c>
      <c r="X34" s="17">
        <v>0.75</v>
      </c>
      <c r="Y34" s="18">
        <f t="shared" si="1"/>
        <v>0.11749999999999999</v>
      </c>
      <c r="Z34" s="18">
        <f t="shared" si="2"/>
        <v>0.11749999999999999</v>
      </c>
      <c r="AA34" s="19">
        <f t="shared" si="3"/>
        <v>10.104999999999999</v>
      </c>
      <c r="AB34" s="6" t="s">
        <v>487</v>
      </c>
      <c r="AC34" s="7">
        <v>2</v>
      </c>
    </row>
    <row r="35" spans="1:29" ht="316.8" x14ac:dyDescent="0.3">
      <c r="A35" s="7">
        <v>31</v>
      </c>
      <c r="B35" s="6" t="s">
        <v>488</v>
      </c>
      <c r="C35" s="7">
        <v>1</v>
      </c>
      <c r="D35" s="6" t="s">
        <v>489</v>
      </c>
      <c r="E35" s="6" t="s">
        <v>483</v>
      </c>
      <c r="F35" s="6" t="s">
        <v>490</v>
      </c>
      <c r="G35" s="6" t="s">
        <v>491</v>
      </c>
      <c r="H35" s="6" t="s">
        <v>492</v>
      </c>
      <c r="I35" s="6" t="s">
        <v>493</v>
      </c>
      <c r="J35" s="6" t="s">
        <v>456</v>
      </c>
      <c r="K35" s="6" t="s">
        <v>456</v>
      </c>
      <c r="L35" s="6" t="s">
        <v>241</v>
      </c>
      <c r="M35" s="6" t="s">
        <v>467</v>
      </c>
      <c r="N35" s="6" t="s">
        <v>255</v>
      </c>
      <c r="O35" s="7">
        <v>2</v>
      </c>
      <c r="P35" s="7">
        <v>2</v>
      </c>
      <c r="Q35" s="6" t="s">
        <v>256</v>
      </c>
      <c r="R35" s="6" t="s">
        <v>257</v>
      </c>
      <c r="S35" s="6" t="s">
        <v>494</v>
      </c>
      <c r="T35" s="6"/>
      <c r="U35" s="7">
        <v>6000</v>
      </c>
      <c r="V35" s="15">
        <f t="shared" si="0"/>
        <v>6000</v>
      </c>
      <c r="W35" s="16">
        <v>0.57920000000000005</v>
      </c>
      <c r="X35" s="17">
        <v>0.75</v>
      </c>
      <c r="Y35" s="18">
        <f t="shared" si="1"/>
        <v>0.14480000000000001</v>
      </c>
      <c r="Z35" s="18">
        <f t="shared" si="2"/>
        <v>0.14480000000000001</v>
      </c>
      <c r="AA35" s="19">
        <f t="shared" si="3"/>
        <v>12.452800000000002</v>
      </c>
      <c r="AB35" s="6" t="s">
        <v>495</v>
      </c>
      <c r="AC35" s="7">
        <v>2</v>
      </c>
    </row>
    <row r="36" spans="1:29" ht="39.6" x14ac:dyDescent="0.3">
      <c r="A36" s="7">
        <v>32</v>
      </c>
      <c r="B36" s="6" t="s">
        <v>496</v>
      </c>
      <c r="C36" s="7">
        <v>5</v>
      </c>
      <c r="D36" s="6" t="s">
        <v>282</v>
      </c>
      <c r="E36" s="6" t="s">
        <v>283</v>
      </c>
      <c r="F36" s="6" t="s">
        <v>284</v>
      </c>
      <c r="G36" s="6" t="s">
        <v>252</v>
      </c>
      <c r="H36" s="6" t="s">
        <v>465</v>
      </c>
      <c r="I36" s="6" t="s">
        <v>286</v>
      </c>
      <c r="J36" s="6" t="s">
        <v>239</v>
      </c>
      <c r="K36" s="6" t="s">
        <v>239</v>
      </c>
      <c r="L36" s="6" t="s">
        <v>241</v>
      </c>
      <c r="M36" s="6" t="s">
        <v>467</v>
      </c>
      <c r="N36" s="6" t="s">
        <v>255</v>
      </c>
      <c r="O36" s="7">
        <v>2</v>
      </c>
      <c r="P36" s="7">
        <v>2</v>
      </c>
      <c r="Q36" s="6" t="s">
        <v>256</v>
      </c>
      <c r="R36" s="6" t="s">
        <v>417</v>
      </c>
      <c r="S36" s="6" t="s">
        <v>497</v>
      </c>
      <c r="T36" s="6"/>
      <c r="U36" s="7">
        <v>6000</v>
      </c>
      <c r="V36" s="15">
        <f t="shared" si="0"/>
        <v>30000</v>
      </c>
      <c r="W36" s="16">
        <v>0.191</v>
      </c>
      <c r="X36" s="17">
        <v>0.75</v>
      </c>
      <c r="Y36" s="18">
        <f t="shared" si="1"/>
        <v>4.7750000000000001E-2</v>
      </c>
      <c r="Z36" s="18">
        <f t="shared" si="2"/>
        <v>0.23875000000000002</v>
      </c>
      <c r="AA36" s="19">
        <f t="shared" si="3"/>
        <v>20.532500000000002</v>
      </c>
      <c r="AB36" s="6" t="s">
        <v>289</v>
      </c>
      <c r="AC36" s="7">
        <v>2</v>
      </c>
    </row>
    <row r="37" spans="1:29" ht="26.4" x14ac:dyDescent="0.3">
      <c r="A37" s="7">
        <v>33</v>
      </c>
      <c r="B37" s="6" t="s">
        <v>498</v>
      </c>
      <c r="C37" s="7">
        <v>1</v>
      </c>
      <c r="D37" s="6" t="s">
        <v>499</v>
      </c>
      <c r="E37" s="6" t="s">
        <v>500</v>
      </c>
      <c r="F37" s="6" t="s">
        <v>501</v>
      </c>
      <c r="G37" s="6" t="s">
        <v>424</v>
      </c>
      <c r="H37" s="6" t="s">
        <v>266</v>
      </c>
      <c r="I37" s="6" t="s">
        <v>502</v>
      </c>
      <c r="J37" s="6" t="s">
        <v>239</v>
      </c>
      <c r="K37" s="6" t="s">
        <v>239</v>
      </c>
      <c r="L37" s="6" t="s">
        <v>241</v>
      </c>
      <c r="M37" s="6" t="s">
        <v>467</v>
      </c>
      <c r="N37" s="6" t="s">
        <v>255</v>
      </c>
      <c r="O37" s="7">
        <v>2</v>
      </c>
      <c r="P37" s="7">
        <v>2</v>
      </c>
      <c r="Q37" s="6" t="s">
        <v>256</v>
      </c>
      <c r="R37" s="6" t="s">
        <v>477</v>
      </c>
      <c r="S37" s="6" t="s">
        <v>503</v>
      </c>
      <c r="T37" s="6"/>
      <c r="U37" s="7">
        <v>6000</v>
      </c>
      <c r="V37" s="15">
        <f t="shared" si="0"/>
        <v>6000</v>
      </c>
      <c r="W37" s="16">
        <v>4.5999999999999999E-2</v>
      </c>
      <c r="X37" s="17">
        <v>0.75</v>
      </c>
      <c r="Y37" s="18">
        <f t="shared" si="1"/>
        <v>1.15E-2</v>
      </c>
      <c r="Z37" s="18">
        <f t="shared" si="2"/>
        <v>1.15E-2</v>
      </c>
      <c r="AA37" s="19">
        <f t="shared" si="3"/>
        <v>0.98899999999999999</v>
      </c>
      <c r="AB37" s="6" t="s">
        <v>504</v>
      </c>
      <c r="AC37" s="7">
        <v>2</v>
      </c>
    </row>
    <row r="38" spans="1:29" ht="26.4" x14ac:dyDescent="0.3">
      <c r="A38" s="7">
        <v>34</v>
      </c>
      <c r="B38" s="6" t="s">
        <v>505</v>
      </c>
      <c r="C38" s="7">
        <v>1</v>
      </c>
      <c r="D38" s="6" t="s">
        <v>506</v>
      </c>
      <c r="E38" s="6" t="s">
        <v>507</v>
      </c>
      <c r="F38" s="6" t="s">
        <v>508</v>
      </c>
      <c r="G38" s="6" t="s">
        <v>509</v>
      </c>
      <c r="H38" s="6" t="s">
        <v>266</v>
      </c>
      <c r="I38" s="6" t="s">
        <v>510</v>
      </c>
      <c r="J38" s="6" t="s">
        <v>239</v>
      </c>
      <c r="K38" s="6" t="s">
        <v>239</v>
      </c>
      <c r="L38" s="6" t="s">
        <v>241</v>
      </c>
      <c r="M38" s="6" t="s">
        <v>467</v>
      </c>
      <c r="N38" s="6" t="s">
        <v>255</v>
      </c>
      <c r="O38" s="7">
        <v>2</v>
      </c>
      <c r="P38" s="7">
        <v>2</v>
      </c>
      <c r="Q38" s="6" t="s">
        <v>256</v>
      </c>
      <c r="R38" s="6" t="s">
        <v>477</v>
      </c>
      <c r="S38" s="6" t="s">
        <v>511</v>
      </c>
      <c r="T38" s="6"/>
      <c r="U38" s="7">
        <v>6000</v>
      </c>
      <c r="V38" s="15">
        <f t="shared" si="0"/>
        <v>6000</v>
      </c>
      <c r="W38" s="16">
        <v>7.0000000000000001E-3</v>
      </c>
      <c r="X38" s="17">
        <v>0.75</v>
      </c>
      <c r="Y38" s="18">
        <f t="shared" si="1"/>
        <v>1.75E-3</v>
      </c>
      <c r="Z38" s="18">
        <f t="shared" si="2"/>
        <v>1.75E-3</v>
      </c>
      <c r="AA38" s="19">
        <f t="shared" si="3"/>
        <v>0.15049999999999999</v>
      </c>
      <c r="AB38" s="6" t="s">
        <v>512</v>
      </c>
      <c r="AC38" s="7">
        <v>2</v>
      </c>
    </row>
    <row r="39" spans="1:29" ht="52.8" x14ac:dyDescent="0.3">
      <c r="A39" s="7">
        <v>35</v>
      </c>
      <c r="B39" s="6" t="s">
        <v>513</v>
      </c>
      <c r="C39" s="7">
        <v>1</v>
      </c>
      <c r="D39" s="6" t="s">
        <v>514</v>
      </c>
      <c r="E39" s="6" t="s">
        <v>483</v>
      </c>
      <c r="F39" s="6" t="s">
        <v>515</v>
      </c>
      <c r="G39" s="6" t="s">
        <v>516</v>
      </c>
      <c r="H39" s="6" t="s">
        <v>517</v>
      </c>
      <c r="I39" s="6" t="s">
        <v>518</v>
      </c>
      <c r="J39" s="6" t="s">
        <v>239</v>
      </c>
      <c r="K39" s="6" t="s">
        <v>239</v>
      </c>
      <c r="L39" s="6" t="s">
        <v>241</v>
      </c>
      <c r="M39" s="6" t="s">
        <v>467</v>
      </c>
      <c r="N39" s="6" t="s">
        <v>242</v>
      </c>
      <c r="O39" s="7">
        <v>2</v>
      </c>
      <c r="P39" s="7">
        <v>2</v>
      </c>
      <c r="Q39" s="6" t="s">
        <v>256</v>
      </c>
      <c r="R39" s="6" t="s">
        <v>257</v>
      </c>
      <c r="S39" s="6" t="s">
        <v>519</v>
      </c>
      <c r="T39" s="6"/>
      <c r="U39" s="7">
        <v>6000</v>
      </c>
      <c r="V39" s="15">
        <f t="shared" si="0"/>
        <v>6000</v>
      </c>
      <c r="W39" s="16">
        <v>0.33</v>
      </c>
      <c r="X39" s="17">
        <v>0.75</v>
      </c>
      <c r="Y39" s="18">
        <f t="shared" si="1"/>
        <v>8.2500000000000004E-2</v>
      </c>
      <c r="Z39" s="18">
        <f t="shared" si="2"/>
        <v>8.2500000000000004E-2</v>
      </c>
      <c r="AA39" s="19">
        <f t="shared" si="3"/>
        <v>7.0950000000000006</v>
      </c>
      <c r="AB39" s="6" t="s">
        <v>520</v>
      </c>
      <c r="AC39" s="7">
        <v>2</v>
      </c>
    </row>
    <row r="40" spans="1:29" ht="52.8" x14ac:dyDescent="0.3">
      <c r="A40" s="7">
        <v>36</v>
      </c>
      <c r="B40" s="6" t="s">
        <v>521</v>
      </c>
      <c r="C40" s="7">
        <v>2</v>
      </c>
      <c r="D40" s="6" t="s">
        <v>522</v>
      </c>
      <c r="E40" s="6" t="s">
        <v>483</v>
      </c>
      <c r="F40" s="6" t="s">
        <v>523</v>
      </c>
      <c r="G40" s="6" t="s">
        <v>265</v>
      </c>
      <c r="H40" s="6" t="s">
        <v>524</v>
      </c>
      <c r="I40" s="6" t="s">
        <v>525</v>
      </c>
      <c r="J40" s="6" t="s">
        <v>239</v>
      </c>
      <c r="K40" s="6" t="s">
        <v>239</v>
      </c>
      <c r="L40" s="6" t="s">
        <v>241</v>
      </c>
      <c r="M40" s="6" t="s">
        <v>467</v>
      </c>
      <c r="N40" s="6" t="s">
        <v>242</v>
      </c>
      <c r="O40" s="7">
        <v>2</v>
      </c>
      <c r="P40" s="7">
        <v>2</v>
      </c>
      <c r="Q40" s="6" t="s">
        <v>256</v>
      </c>
      <c r="R40" s="6" t="s">
        <v>477</v>
      </c>
      <c r="S40" s="6" t="s">
        <v>526</v>
      </c>
      <c r="T40" s="6"/>
      <c r="U40" s="7">
        <v>6000</v>
      </c>
      <c r="V40" s="15">
        <f t="shared" si="0"/>
        <v>12000</v>
      </c>
      <c r="W40" s="16">
        <v>5.7000000000000002E-2</v>
      </c>
      <c r="X40" s="17">
        <v>0.75</v>
      </c>
      <c r="Y40" s="18">
        <f t="shared" si="1"/>
        <v>1.4250000000000001E-2</v>
      </c>
      <c r="Z40" s="18">
        <f t="shared" si="2"/>
        <v>2.8500000000000001E-2</v>
      </c>
      <c r="AA40" s="19">
        <f t="shared" si="3"/>
        <v>2.4510000000000001</v>
      </c>
      <c r="AB40" s="6" t="s">
        <v>527</v>
      </c>
      <c r="AC40" s="7">
        <v>2</v>
      </c>
    </row>
    <row r="41" spans="1:29" x14ac:dyDescent="0.3">
      <c r="A41" s="7">
        <v>37</v>
      </c>
      <c r="B41" s="6" t="s">
        <v>528</v>
      </c>
      <c r="C41" s="7">
        <v>1</v>
      </c>
      <c r="D41" s="6" t="s">
        <v>529</v>
      </c>
      <c r="E41" s="6" t="s">
        <v>530</v>
      </c>
      <c r="F41" s="6" t="s">
        <v>531</v>
      </c>
      <c r="G41" s="6" t="s">
        <v>532</v>
      </c>
      <c r="H41" s="6" t="s">
        <v>533</v>
      </c>
      <c r="I41" s="6" t="s">
        <v>534</v>
      </c>
      <c r="J41" s="6" t="s">
        <v>535</v>
      </c>
      <c r="K41" s="6" t="s">
        <v>239</v>
      </c>
      <c r="L41" s="6" t="s">
        <v>241</v>
      </c>
      <c r="M41" s="6" t="s">
        <v>467</v>
      </c>
      <c r="N41" s="6" t="s">
        <v>255</v>
      </c>
      <c r="O41" s="7">
        <v>2</v>
      </c>
      <c r="P41" s="6"/>
      <c r="Q41" s="6" t="s">
        <v>256</v>
      </c>
      <c r="R41" s="6" t="s">
        <v>477</v>
      </c>
      <c r="S41" s="6" t="s">
        <v>536</v>
      </c>
      <c r="T41" s="6"/>
      <c r="U41" s="7">
        <v>6000</v>
      </c>
      <c r="V41" s="15">
        <f t="shared" si="0"/>
        <v>6000</v>
      </c>
      <c r="W41" s="16">
        <v>0.36935025516214848</v>
      </c>
      <c r="X41" s="17">
        <v>0.75</v>
      </c>
      <c r="Y41" s="18">
        <f t="shared" si="1"/>
        <v>9.2337563790537119E-2</v>
      </c>
      <c r="Z41" s="18">
        <f t="shared" si="2"/>
        <v>9.2337563790537119E-2</v>
      </c>
      <c r="AA41" s="19">
        <f t="shared" si="3"/>
        <v>7.9410304859861922</v>
      </c>
      <c r="AB41" s="6" t="s">
        <v>537</v>
      </c>
      <c r="AC41" s="7">
        <v>0</v>
      </c>
    </row>
    <row r="43" spans="1:29" ht="26.4" x14ac:dyDescent="0.3">
      <c r="Y43" s="10" t="s">
        <v>538</v>
      </c>
      <c r="Z43" s="18">
        <f>SUM(Z5:Z41)</f>
        <v>3.8573550637905361</v>
      </c>
      <c r="AA43" s="19">
        <f>Z43*USD_INR</f>
        <v>331.73253548598609</v>
      </c>
    </row>
    <row r="44" spans="1:29" ht="26.4" x14ac:dyDescent="0.3">
      <c r="X44" s="10" t="s">
        <v>539</v>
      </c>
      <c r="Y44" s="17">
        <v>0.05</v>
      </c>
      <c r="Z44" s="18">
        <f>Z43*Y44</f>
        <v>0.19286775318952681</v>
      </c>
      <c r="AA44" s="19">
        <f>Z44*USD_INR</f>
        <v>16.586626774299305</v>
      </c>
    </row>
    <row r="45" spans="1:29" ht="26.4" x14ac:dyDescent="0.3">
      <c r="Y45" s="10" t="s">
        <v>540</v>
      </c>
      <c r="Z45" s="18">
        <f>Z43+Z44</f>
        <v>4.0502228169800629</v>
      </c>
      <c r="AA45" s="19">
        <f>Z45*USD_INR</f>
        <v>348.3191622602854</v>
      </c>
      <c r="AB45" s="12" t="s">
        <v>541</v>
      </c>
    </row>
    <row r="47" spans="1:29" x14ac:dyDescent="0.3">
      <c r="A47" s="3" t="s">
        <v>542</v>
      </c>
      <c r="B47" s="4"/>
      <c r="C47" s="4"/>
      <c r="D47" s="4"/>
      <c r="E47" s="4"/>
      <c r="F47" s="4"/>
      <c r="G47" s="4"/>
      <c r="H47" s="4"/>
    </row>
    <row r="48" spans="1:29" x14ac:dyDescent="0.3">
      <c r="A48" s="5" t="s">
        <v>204</v>
      </c>
      <c r="B48" s="5" t="s">
        <v>543</v>
      </c>
      <c r="C48" s="5" t="s">
        <v>544</v>
      </c>
      <c r="D48" s="5" t="s">
        <v>123</v>
      </c>
      <c r="E48" s="5" t="s">
        <v>216</v>
      </c>
      <c r="F48" s="5" t="s">
        <v>223</v>
      </c>
      <c r="G48" s="5" t="s">
        <v>224</v>
      </c>
      <c r="H48" s="5" t="s">
        <v>545</v>
      </c>
    </row>
    <row r="49" spans="1:8" x14ac:dyDescent="0.3">
      <c r="A49" s="7">
        <v>44</v>
      </c>
      <c r="B49" s="6" t="s">
        <v>546</v>
      </c>
      <c r="C49" s="7">
        <v>1</v>
      </c>
      <c r="D49" s="6" t="s">
        <v>547</v>
      </c>
      <c r="E49" s="6" t="s">
        <v>546</v>
      </c>
      <c r="F49" s="7">
        <v>6000</v>
      </c>
      <c r="G49" s="7">
        <v>6000</v>
      </c>
      <c r="H49" s="7">
        <v>0</v>
      </c>
    </row>
    <row r="50" spans="1:8" x14ac:dyDescent="0.3">
      <c r="A50" s="7">
        <v>45</v>
      </c>
      <c r="B50" s="6" t="s">
        <v>548</v>
      </c>
      <c r="C50" s="7">
        <v>1</v>
      </c>
      <c r="D50" s="6" t="s">
        <v>549</v>
      </c>
      <c r="E50" s="6" t="s">
        <v>550</v>
      </c>
      <c r="F50" s="7">
        <v>6000</v>
      </c>
      <c r="G50" s="7">
        <v>6000</v>
      </c>
      <c r="H50" s="7">
        <v>0</v>
      </c>
    </row>
    <row r="51" spans="1:8" ht="26.4" x14ac:dyDescent="0.3">
      <c r="A51" s="7">
        <v>46</v>
      </c>
      <c r="B51" s="6" t="s">
        <v>551</v>
      </c>
      <c r="C51" s="7">
        <v>3</v>
      </c>
      <c r="D51" s="6" t="s">
        <v>552</v>
      </c>
      <c r="E51" s="6" t="s">
        <v>550</v>
      </c>
      <c r="F51" s="7">
        <v>6000</v>
      </c>
      <c r="G51" s="7">
        <v>18000</v>
      </c>
      <c r="H51" s="7">
        <v>0</v>
      </c>
    </row>
    <row r="52" spans="1:8" ht="26.4" x14ac:dyDescent="0.3">
      <c r="A52" s="7">
        <v>47</v>
      </c>
      <c r="B52" s="6" t="s">
        <v>553</v>
      </c>
      <c r="C52" s="7">
        <v>1</v>
      </c>
      <c r="D52" s="6"/>
      <c r="E52" s="6" t="s">
        <v>550</v>
      </c>
      <c r="F52" s="7">
        <v>6000</v>
      </c>
      <c r="G52" s="7">
        <v>6000</v>
      </c>
      <c r="H52" s="7">
        <v>0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3"/>
  <sheetViews>
    <sheetView showGridLines="0" workbookViewId="0"/>
  </sheetViews>
  <sheetFormatPr defaultRowHeight="14.4" x14ac:dyDescent="0.3"/>
  <cols>
    <col min="1" max="1" width="46" customWidth="1"/>
    <col min="2" max="2" width="22" customWidth="1"/>
    <col min="3" max="3" width="10" customWidth="1"/>
    <col min="4" max="4" width="50" customWidth="1"/>
  </cols>
  <sheetData>
    <row r="1" spans="1:4" ht="17.399999999999999" x14ac:dyDescent="0.3">
      <c r="A1" s="1" t="s">
        <v>554</v>
      </c>
    </row>
    <row r="2" spans="1:4" x14ac:dyDescent="0.3">
      <c r="A2" s="2" t="s">
        <v>555</v>
      </c>
    </row>
    <row r="4" spans="1:4" x14ac:dyDescent="0.3">
      <c r="A4" s="5" t="s">
        <v>556</v>
      </c>
      <c r="B4" s="5" t="s">
        <v>557</v>
      </c>
      <c r="C4" s="5" t="s">
        <v>558</v>
      </c>
      <c r="D4" s="5" t="s">
        <v>559</v>
      </c>
    </row>
    <row r="5" spans="1:4" x14ac:dyDescent="0.3">
      <c r="A5" s="6" t="s">
        <v>560</v>
      </c>
      <c r="B5" s="6">
        <f>COUNTA(DC_PCBA_BOM!$B$5:$B$41)</f>
        <v>37</v>
      </c>
      <c r="C5" s="6" t="s">
        <v>561</v>
      </c>
      <c r="D5" s="6" t="s">
        <v>562</v>
      </c>
    </row>
    <row r="6" spans="1:4" x14ac:dyDescent="0.3">
      <c r="A6" s="6" t="s">
        <v>563</v>
      </c>
      <c r="B6" s="6">
        <f>COUNTA(DC_PCBA_BOM!$B$5:$B$41)-COUNTIF(DC_PCBA_BOM!$J$5:$J$41,"PCB")</f>
        <v>36</v>
      </c>
      <c r="C6" s="6" t="s">
        <v>561</v>
      </c>
      <c r="D6" s="6" t="s">
        <v>564</v>
      </c>
    </row>
    <row r="7" spans="1:4" x14ac:dyDescent="0.3">
      <c r="A7" s="6" t="s">
        <v>565</v>
      </c>
      <c r="B7" s="6">
        <f>SUM(DC_PCBA_BOM!$C$5:$C$41)-SUMIF(DC_PCBA_BOM!$J$5:$J$41,"PCB",DC_PCBA_BOM!$C$5:$C$41)</f>
        <v>60</v>
      </c>
      <c r="C7" s="6" t="s">
        <v>566</v>
      </c>
      <c r="D7" s="6" t="s">
        <v>567</v>
      </c>
    </row>
    <row r="8" spans="1:4" x14ac:dyDescent="0.3">
      <c r="A8" s="6" t="s">
        <v>568</v>
      </c>
      <c r="B8" s="6">
        <f>SUMIF(DC_PCBA_BOM!$J$5:$J$41,"SMD",DC_PCBA_BOM!$C$5:$C$41)</f>
        <v>57</v>
      </c>
      <c r="C8" s="6" t="s">
        <v>566</v>
      </c>
      <c r="D8" s="6" t="s">
        <v>569</v>
      </c>
    </row>
    <row r="9" spans="1:4" x14ac:dyDescent="0.3">
      <c r="A9" s="6" t="s">
        <v>570</v>
      </c>
      <c r="B9" s="6">
        <f>SUMIF(DC_PCBA_BOM!$J$5:$J$41,"TH",DC_PCBA_BOM!$C$5:$C$41)</f>
        <v>3</v>
      </c>
      <c r="C9" s="6" t="s">
        <v>566</v>
      </c>
      <c r="D9" s="6"/>
    </row>
    <row r="10" spans="1:4" x14ac:dyDescent="0.3">
      <c r="A10" s="6" t="s">
        <v>571</v>
      </c>
      <c r="B10" s="20">
        <f>B8/B7</f>
        <v>0.95</v>
      </c>
      <c r="C10" s="6"/>
      <c r="D10" s="6"/>
    </row>
    <row r="11" spans="1:4" x14ac:dyDescent="0.3">
      <c r="A11" s="6" t="s">
        <v>572</v>
      </c>
      <c r="B11" s="6">
        <f>SUMIF(DC_PCBA_BOM!$L$5:$L$41,"Bottom",DC_PCBA_BOM!$C$5:$C$41)</f>
        <v>43</v>
      </c>
      <c r="C11" s="6" t="s">
        <v>566</v>
      </c>
      <c r="D11" s="6" t="s">
        <v>573</v>
      </c>
    </row>
    <row r="12" spans="1:4" x14ac:dyDescent="0.3">
      <c r="A12" s="6" t="s">
        <v>574</v>
      </c>
      <c r="B12" s="6">
        <f>SUMIF(DC_PCBA_BOM!$L$5:$L$41,"Top",DC_PCBA_BOM!$C$5:$C$41)-SUMIF(DC_PCBA_BOM!$J$5:$J$41,"PCB",DC_PCBA_BOM!$C$5:$C$41)</f>
        <v>17</v>
      </c>
      <c r="C12" s="6" t="s">
        <v>566</v>
      </c>
      <c r="D12" s="6" t="s">
        <v>575</v>
      </c>
    </row>
    <row r="13" spans="1:4" x14ac:dyDescent="0.3">
      <c r="A13" s="6" t="s">
        <v>576</v>
      </c>
      <c r="B13" s="6" t="str">
        <f>IF(AND(B11&gt;0,COUNTIFS(DC_PCBA_BOM!$L$5:$L$41,"Top",DC_PCBA_BOM!$J$5:$J$41,"SMD")&gt;0),"Yes","No")</f>
        <v>Yes</v>
      </c>
      <c r="C13" s="6"/>
      <c r="D13" s="6" t="s">
        <v>577</v>
      </c>
    </row>
    <row r="14" spans="1:4" x14ac:dyDescent="0.3">
      <c r="A14" s="6" t="s">
        <v>578</v>
      </c>
      <c r="B14" s="6">
        <f>SUMIF(DC_PCBA_BOM!$N$5:$N$41,"Active",DC_PCBA_BOM!$C$5:$C$41)</f>
        <v>7</v>
      </c>
      <c r="C14" s="6" t="s">
        <v>566</v>
      </c>
      <c r="D14" s="6" t="s">
        <v>579</v>
      </c>
    </row>
    <row r="15" spans="1:4" x14ac:dyDescent="0.3">
      <c r="A15" s="6" t="s">
        <v>580</v>
      </c>
      <c r="B15" s="6">
        <f>SUMIFS(DC_PCBA_BOM!$C$5:$C$41,DC_PCBA_BOM!$N$5:$N$41,"Passive",DC_PCBA_BOM!$J$5:$J$41,"&lt;&gt;PCB")</f>
        <v>53</v>
      </c>
      <c r="C15" s="6" t="s">
        <v>566</v>
      </c>
      <c r="D15" s="6" t="s">
        <v>564</v>
      </c>
    </row>
    <row r="16" spans="1:4" x14ac:dyDescent="0.3">
      <c r="A16" s="6" t="s">
        <v>581</v>
      </c>
      <c r="B16" s="6">
        <f>SUMIF(DC_PCBA_BOM!$H$5:$H$41,"Resistor",DC_PCBA_BOM!$C$5:$C$41)</f>
        <v>22</v>
      </c>
      <c r="C16" s="6" t="s">
        <v>566</v>
      </c>
      <c r="D16" s="6" t="s">
        <v>582</v>
      </c>
    </row>
    <row r="17" spans="1:4" x14ac:dyDescent="0.3">
      <c r="A17" s="6" t="s">
        <v>583</v>
      </c>
      <c r="B17" s="6">
        <f>SUMIF(DC_PCBA_BOM!$H$5:$H$41,"*Capacitor*",DC_PCBA_BOM!$C$5:$C$41)</f>
        <v>28</v>
      </c>
      <c r="C17" s="6" t="s">
        <v>566</v>
      </c>
      <c r="D17" s="6"/>
    </row>
    <row r="18" spans="1:4" x14ac:dyDescent="0.3">
      <c r="A18" s="6" t="s">
        <v>584</v>
      </c>
      <c r="B18" s="6">
        <f>SUMIF(DC_PCBA_BOM!$H$5:$H$41,"IC",DC_PCBA_BOM!$C$5:$C$41)+SUMIF(DC_PCBA_BOM!$H$5:$H$41,"Transistor",DC_PCBA_BOM!$C$5:$C$41)+SUMIF(DC_PCBA_BOM!$H$5:$H$41,"Diode*",DC_PCBA_BOM!$C$5:$C$41)</f>
        <v>8</v>
      </c>
      <c r="C18" s="6" t="s">
        <v>566</v>
      </c>
      <c r="D18" s="6"/>
    </row>
    <row r="19" spans="1:4" x14ac:dyDescent="0.3">
      <c r="A19" s="6" t="s">
        <v>585</v>
      </c>
      <c r="B19" s="6">
        <f>SUMIF(DC_PCBA_BOM!$H$5:$H$41,"Inductor*",DC_PCBA_BOM!$C$5:$C$41)</f>
        <v>1</v>
      </c>
      <c r="C19" s="6" t="s">
        <v>566</v>
      </c>
      <c r="D19" s="6"/>
    </row>
    <row r="20" spans="1:4" x14ac:dyDescent="0.3">
      <c r="A20" s="6" t="s">
        <v>586</v>
      </c>
      <c r="B20" s="6">
        <f>SUMPRODUCT(DC_PCBA_BOM!$C$5:$C$41,DC_PCBA_BOM!$AC$5:$AC$41)</f>
        <v>139</v>
      </c>
      <c r="C20" s="6" t="s">
        <v>587</v>
      </c>
      <c r="D20" s="6" t="s">
        <v>588</v>
      </c>
    </row>
    <row r="21" spans="1:4" x14ac:dyDescent="0.3">
      <c r="A21" s="6" t="s">
        <v>589</v>
      </c>
      <c r="B21" s="6">
        <f>MAX(DC_PCBA_BOM!$AC$5:$AC$41)</f>
        <v>20</v>
      </c>
      <c r="C21" s="6" t="s">
        <v>590</v>
      </c>
      <c r="D21" s="6" t="s">
        <v>591</v>
      </c>
    </row>
    <row r="22" spans="1:4" x14ac:dyDescent="0.3">
      <c r="A22" s="6" t="s">
        <v>592</v>
      </c>
      <c r="B22" s="6">
        <f>COUNTIF(DC_PCBA_BOM!$Q$5:$Q$41,"A")</f>
        <v>6</v>
      </c>
      <c r="C22" s="6" t="s">
        <v>561</v>
      </c>
      <c r="D22" s="6" t="s">
        <v>593</v>
      </c>
    </row>
    <row r="23" spans="1:4" x14ac:dyDescent="0.3">
      <c r="A23" s="6" t="s">
        <v>594</v>
      </c>
      <c r="B23" s="21">
        <f>DC_PCBA_BOM!Z43</f>
        <v>3.8573550637905361</v>
      </c>
      <c r="C23" s="6" t="s">
        <v>595</v>
      </c>
      <c r="D23" s="6"/>
    </row>
    <row r="24" spans="1:4" x14ac:dyDescent="0.3">
      <c r="A24" s="6" t="s">
        <v>596</v>
      </c>
      <c r="B24" s="22">
        <f>DC_PCBA_BOM!AA45</f>
        <v>348.3191622602854</v>
      </c>
      <c r="C24" s="6" t="s">
        <v>597</v>
      </c>
      <c r="D24" s="6"/>
    </row>
    <row r="25" spans="1:4" x14ac:dyDescent="0.3">
      <c r="A25" s="6" t="s">
        <v>598</v>
      </c>
      <c r="B25" s="18">
        <f>MAX(DC_PCBA_BOM!$Z$5:$Z$41)</f>
        <v>0.78749999999999998</v>
      </c>
      <c r="C25" s="6" t="s">
        <v>595</v>
      </c>
      <c r="D25" s="6"/>
    </row>
    <row r="26" spans="1:4" x14ac:dyDescent="0.3">
      <c r="A26" s="6" t="s">
        <v>599</v>
      </c>
      <c r="B26" s="6" t="str">
        <f>INDEX(DC_PCBA_BOM!$F$5:$F$41,MATCH(B25,DC_PCBA_BOM!$Z$5:$Z$41,0))</f>
        <v>LM5116MHX/NOPB</v>
      </c>
      <c r="C26" s="6"/>
      <c r="D26" s="6"/>
    </row>
    <row r="27" spans="1:4" x14ac:dyDescent="0.3">
      <c r="A27" s="6" t="s">
        <v>600</v>
      </c>
      <c r="B27" s="20">
        <f>B25/B23</f>
        <v>0.20415543474137468</v>
      </c>
      <c r="C27" s="6"/>
      <c r="D27" s="6"/>
    </row>
    <row r="28" spans="1:4" x14ac:dyDescent="0.3">
      <c r="A28" s="6" t="s">
        <v>601</v>
      </c>
      <c r="B28" s="20">
        <f>SUMIF(DC_PCBA_BOM!$N$5:$N$41,"Active",DC_PCBA_BOM!$Z$5:$Z$41)/B23</f>
        <v>0.22432793603129622</v>
      </c>
      <c r="C28" s="6"/>
      <c r="D28" s="6"/>
    </row>
    <row r="29" spans="1:4" x14ac:dyDescent="0.3">
      <c r="A29" s="6" t="s">
        <v>602</v>
      </c>
      <c r="B29" s="20">
        <f>SUMIF(DC_PCBA_BOM!$K$5:$K$41,"TH",DC_PCBA_BOM!$Z$5:$Z$41)/B23</f>
        <v>0.20360129856136239</v>
      </c>
      <c r="C29" s="6"/>
      <c r="D29" s="6" t="s">
        <v>603</v>
      </c>
    </row>
    <row r="30" spans="1:4" x14ac:dyDescent="0.3">
      <c r="A30" s="6" t="s">
        <v>604</v>
      </c>
      <c r="B30" s="20">
        <f>AVERAGE(DC_PCBA_BOM!$X$5:$X$41)</f>
        <v>0.75</v>
      </c>
      <c r="C30" s="6"/>
      <c r="D30" s="6" t="s">
        <v>605</v>
      </c>
    </row>
    <row r="31" spans="1:4" x14ac:dyDescent="0.3">
      <c r="A31" s="6" t="s">
        <v>606</v>
      </c>
      <c r="B31" s="6" t="s">
        <v>534</v>
      </c>
      <c r="C31" s="6" t="s">
        <v>103</v>
      </c>
      <c r="D31" s="6" t="s">
        <v>607</v>
      </c>
    </row>
    <row r="32" spans="1:4" x14ac:dyDescent="0.3">
      <c r="A32" s="6" t="s">
        <v>608</v>
      </c>
      <c r="B32" s="6" t="s">
        <v>609</v>
      </c>
      <c r="C32" s="6"/>
      <c r="D32" s="6" t="s">
        <v>528</v>
      </c>
    </row>
    <row r="33" spans="1:4" x14ac:dyDescent="0.3">
      <c r="A33" s="6" t="s">
        <v>610</v>
      </c>
      <c r="B33" s="8">
        <f>DC_PCBA_Cost!F16</f>
        <v>59.440000000000005</v>
      </c>
      <c r="C33" s="6" t="s">
        <v>611</v>
      </c>
      <c r="D33" s="6" t="s">
        <v>612</v>
      </c>
    </row>
    <row r="35" spans="1:4" x14ac:dyDescent="0.3">
      <c r="A35" s="3" t="s">
        <v>613</v>
      </c>
      <c r="B35" s="4"/>
      <c r="C35" s="4"/>
      <c r="D35" s="4"/>
    </row>
    <row r="36" spans="1:4" ht="26.4" x14ac:dyDescent="0.3">
      <c r="A36" s="5" t="s">
        <v>614</v>
      </c>
      <c r="B36" s="5" t="s">
        <v>615</v>
      </c>
      <c r="C36" s="5" t="s">
        <v>616</v>
      </c>
      <c r="D36" s="5" t="s">
        <v>617</v>
      </c>
    </row>
    <row r="37" spans="1:4" x14ac:dyDescent="0.3">
      <c r="A37" s="6" t="s">
        <v>400</v>
      </c>
      <c r="B37" s="6">
        <f>COUNTIF(DC_PCBA_BOM!$E$5:$E$41,"*0402*")</f>
        <v>2</v>
      </c>
      <c r="C37" s="6">
        <f>SUMIF(DC_PCBA_BOM!$E$5:$E$41,"*0402*",DC_PCBA_BOM!$C$5:$C$41)</f>
        <v>2</v>
      </c>
      <c r="D37" s="18">
        <f>SUMIF(DC_PCBA_BOM!$E$5:$E$41,"*0402*",DC_PCBA_BOM!$Z$5:$Z$41)</f>
        <v>8.2500000000000004E-3</v>
      </c>
    </row>
    <row r="38" spans="1:4" x14ac:dyDescent="0.3">
      <c r="A38" s="6" t="s">
        <v>301</v>
      </c>
      <c r="B38" s="6">
        <f>COUNTIF(DC_PCBA_BOM!$E$5:$E$41,"*0603*")</f>
        <v>6</v>
      </c>
      <c r="C38" s="6">
        <f>SUMIF(DC_PCBA_BOM!$E$5:$E$41,"*0603*",DC_PCBA_BOM!$C$5:$C$41)</f>
        <v>12</v>
      </c>
      <c r="D38" s="18">
        <f>SUMIF(DC_PCBA_BOM!$E$5:$E$41,"*0603*",DC_PCBA_BOM!$Z$5:$Z$41)</f>
        <v>0.184005</v>
      </c>
    </row>
    <row r="39" spans="1:4" x14ac:dyDescent="0.3">
      <c r="A39" s="6" t="s">
        <v>385</v>
      </c>
      <c r="B39" s="6">
        <f>COUNTIF(DC_PCBA_BOM!$E$5:$E$41,"*0805*")</f>
        <v>4</v>
      </c>
      <c r="C39" s="6">
        <f>SUMIF(DC_PCBA_BOM!$E$5:$E$41,"*0805*",DC_PCBA_BOM!$C$5:$C$41)</f>
        <v>9</v>
      </c>
      <c r="D39" s="18">
        <f>SUMIF(DC_PCBA_BOM!$E$5:$E$41,"*0805*",DC_PCBA_BOM!$Z$5:$Z$41)</f>
        <v>8.9499999999999996E-2</v>
      </c>
    </row>
    <row r="40" spans="1:4" x14ac:dyDescent="0.3">
      <c r="A40" s="6" t="s">
        <v>263</v>
      </c>
      <c r="B40" s="6">
        <f>COUNTIF(DC_PCBA_BOM!$E$5:$E$41,"*1206*")</f>
        <v>8</v>
      </c>
      <c r="C40" s="6">
        <f>SUMIF(DC_PCBA_BOM!$E$5:$E$41,"*1206*",DC_PCBA_BOM!$C$5:$C$41)</f>
        <v>16</v>
      </c>
      <c r="D40" s="18">
        <f>SUMIF(DC_PCBA_BOM!$E$5:$E$41,"*1206*",DC_PCBA_BOM!$Z$5:$Z$41)</f>
        <v>0.52908749999999993</v>
      </c>
    </row>
    <row r="41" spans="1:4" x14ac:dyDescent="0.3">
      <c r="A41" s="6" t="s">
        <v>618</v>
      </c>
      <c r="B41" s="6">
        <f>COUNTIF(DC_PCBA_BOM!$E$5:$E$41,"*1210*")</f>
        <v>1</v>
      </c>
      <c r="C41" s="6">
        <f>SUMIF(DC_PCBA_BOM!$E$5:$E$41,"*1210*",DC_PCBA_BOM!$C$5:$C$41)</f>
        <v>1</v>
      </c>
      <c r="D41" s="18">
        <f>SUMIF(DC_PCBA_BOM!$E$5:$E$41,"*1210*",DC_PCBA_BOM!$Z$5:$Z$41)</f>
        <v>1.15E-2</v>
      </c>
    </row>
    <row r="42" spans="1:4" x14ac:dyDescent="0.3">
      <c r="A42" s="6" t="s">
        <v>347</v>
      </c>
      <c r="B42" s="6">
        <f>COUNTIF(DC_PCBA_BOM!$E$5:$E$41,"*1218*")</f>
        <v>1</v>
      </c>
      <c r="C42" s="6">
        <f>SUMIF(DC_PCBA_BOM!$E$5:$E$41,"*1218*",DC_PCBA_BOM!$C$5:$C$41)</f>
        <v>2</v>
      </c>
      <c r="D42" s="18">
        <f>SUMIF(DC_PCBA_BOM!$E$5:$E$41,"*1218*",DC_PCBA_BOM!$Z$5:$Z$41)</f>
        <v>8.8999999999999996E-2</v>
      </c>
    </row>
    <row r="43" spans="1:4" x14ac:dyDescent="0.3">
      <c r="A43" s="6" t="s">
        <v>273</v>
      </c>
      <c r="B43" s="6">
        <f>COUNTIF(DC_PCBA_BOM!$E$5:$E$41,"*1225*")</f>
        <v>1</v>
      </c>
      <c r="C43" s="6">
        <f>SUMIF(DC_PCBA_BOM!$E$5:$E$41,"*1225*",DC_PCBA_BOM!$C$5:$C$41)</f>
        <v>1</v>
      </c>
      <c r="D43" s="18">
        <f>SUMIF(DC_PCBA_BOM!$E$5:$E$41,"*1225*",DC_PCBA_BOM!$Z$5:$Z$41)</f>
        <v>7.5999999999999998E-2</v>
      </c>
    </row>
    <row r="44" spans="1:4" x14ac:dyDescent="0.3">
      <c r="A44" s="6" t="s">
        <v>325</v>
      </c>
      <c r="B44" s="6">
        <f>COUNTIF(DC_PCBA_BOM!$E$5:$E$41,"*2010*")</f>
        <v>2</v>
      </c>
      <c r="C44" s="6">
        <f>SUMIF(DC_PCBA_BOM!$E$5:$E$41,"*2010*",DC_PCBA_BOM!$C$5:$C$41)</f>
        <v>2</v>
      </c>
      <c r="D44" s="18">
        <f>SUMIF(DC_PCBA_BOM!$E$5:$E$41,"*2010*",DC_PCBA_BOM!$Z$5:$Z$41)</f>
        <v>8.8499999999999995E-2</v>
      </c>
    </row>
    <row r="45" spans="1:4" x14ac:dyDescent="0.3">
      <c r="A45" s="6" t="s">
        <v>619</v>
      </c>
      <c r="B45" s="6">
        <f>COUNTIF(DC_PCBA_BOM!$E$5:$E$41,"*TO-263*")</f>
        <v>1</v>
      </c>
      <c r="C45" s="6">
        <f>SUMIF(DC_PCBA_BOM!$E$5:$E$41,"*TO-263*",DC_PCBA_BOM!$C$5:$C$41)</f>
        <v>1</v>
      </c>
      <c r="D45" s="18">
        <f>SUMIF(DC_PCBA_BOM!$E$5:$E$41,"*TO-263*",DC_PCBA_BOM!$Z$5:$Z$41)</f>
        <v>0.47381250000000003</v>
      </c>
    </row>
    <row r="46" spans="1:4" x14ac:dyDescent="0.3">
      <c r="A46" s="6" t="s">
        <v>620</v>
      </c>
      <c r="B46" s="6">
        <f>COUNTIF(DC_PCBA_BOM!$E$5:$E$41,"*TO252*")</f>
        <v>1</v>
      </c>
      <c r="C46" s="6">
        <f>SUMIF(DC_PCBA_BOM!$E$5:$E$41,"*TO252*",DC_PCBA_BOM!$C$5:$C$41)</f>
        <v>2</v>
      </c>
      <c r="D46" s="18">
        <f>SUMIF(DC_PCBA_BOM!$E$5:$E$41,"*TO252*",DC_PCBA_BOM!$Z$5:$Z$41)</f>
        <v>0.25600000000000001</v>
      </c>
    </row>
    <row r="47" spans="1:4" x14ac:dyDescent="0.3">
      <c r="A47" s="6" t="s">
        <v>621</v>
      </c>
      <c r="B47" s="6">
        <f>COUNTIF(DC_PCBA_BOM!$E$5:$E$41,"*SOD-323*")</f>
        <v>1</v>
      </c>
      <c r="C47" s="6">
        <f>SUMIF(DC_PCBA_BOM!$E$5:$E$41,"*SOD-323*",DC_PCBA_BOM!$C$5:$C$41)</f>
        <v>1</v>
      </c>
      <c r="D47" s="18">
        <f>SUMIF(DC_PCBA_BOM!$E$5:$E$41,"*SOD-323*",DC_PCBA_BOM!$Z$5:$Z$41)</f>
        <v>2.4500000000000001E-2</v>
      </c>
    </row>
    <row r="48" spans="1:4" x14ac:dyDescent="0.3">
      <c r="A48" s="6" t="s">
        <v>622</v>
      </c>
      <c r="B48" s="6">
        <f>COUNTIF(DC_PCBA_BOM!$E$5:$E$41,"*HTSSOP*")</f>
        <v>1</v>
      </c>
      <c r="C48" s="6">
        <f>SUMIF(DC_PCBA_BOM!$E$5:$E$41,"*HTSSOP*",DC_PCBA_BOM!$C$5:$C$41)</f>
        <v>1</v>
      </c>
      <c r="D48" s="18">
        <f>SUMIF(DC_PCBA_BOM!$E$5:$E$41,"*HTSSOP*",DC_PCBA_BOM!$Z$5:$Z$41)</f>
        <v>0.78749999999999998</v>
      </c>
    </row>
    <row r="49" spans="1:4" x14ac:dyDescent="0.3">
      <c r="A49" s="6" t="s">
        <v>623</v>
      </c>
      <c r="B49" s="6">
        <f>COUNTIF(DC_PCBA_BOM!$E$5:$E$41,"*Radial*")</f>
        <v>1</v>
      </c>
      <c r="C49" s="6">
        <f>SUMIF(DC_PCBA_BOM!$E$5:$E$41,"*Radial*",DC_PCBA_BOM!$C$5:$C$41)</f>
        <v>1</v>
      </c>
      <c r="D49" s="18">
        <f>SUMIF(DC_PCBA_BOM!$E$5:$E$41,"*Radial*",DC_PCBA_BOM!$Z$5:$Z$41)</f>
        <v>0.1210625</v>
      </c>
    </row>
    <row r="50" spans="1:4" x14ac:dyDescent="0.3">
      <c r="A50" s="6" t="s">
        <v>483</v>
      </c>
      <c r="B50" s="6">
        <f>COUNTIF(DC_PCBA_BOM!$E$5:$E$41,"*Reel*")</f>
        <v>4</v>
      </c>
      <c r="C50" s="6">
        <f>SUMIF(DC_PCBA_BOM!$E$5:$E$41,"*Reel*",DC_PCBA_BOM!$C$5:$C$41)</f>
        <v>5</v>
      </c>
      <c r="D50" s="18">
        <f>SUMIF(DC_PCBA_BOM!$E$5:$E$41,"*Reel*",DC_PCBA_BOM!$Z$5:$Z$41)</f>
        <v>0.37330000000000002</v>
      </c>
    </row>
    <row r="51" spans="1:4" x14ac:dyDescent="0.3">
      <c r="A51" s="6" t="s">
        <v>451</v>
      </c>
      <c r="B51" s="6">
        <f>COUNTIF(DC_PCBA_BOM!$E$5:$E$41,"*Tray*")</f>
        <v>1</v>
      </c>
      <c r="C51" s="6">
        <f>SUMIF(DC_PCBA_BOM!$E$5:$E$41,"*Tray*",DC_PCBA_BOM!$C$5:$C$41)</f>
        <v>1</v>
      </c>
      <c r="D51" s="18">
        <f>SUMIF(DC_PCBA_BOM!$E$5:$E$41,"*Tray*",DC_PCBA_BOM!$Z$5:$Z$41)</f>
        <v>0.51949999999999996</v>
      </c>
    </row>
    <row r="52" spans="1:4" x14ac:dyDescent="0.3">
      <c r="A52" s="6" t="s">
        <v>530</v>
      </c>
      <c r="B52" s="6">
        <f>COUNTIF(DC_PCBA_BOM!$E$5:$E$41,"*Pcs*")</f>
        <v>1</v>
      </c>
      <c r="C52" s="6">
        <f>SUMIF(DC_PCBA_BOM!$E$5:$E$41,"*Pcs*",DC_PCBA_BOM!$C$5:$C$41)</f>
        <v>1</v>
      </c>
      <c r="D52" s="18">
        <f>SUMIF(DC_PCBA_BOM!$E$5:$E$41,"*Pcs*",DC_PCBA_BOM!$Z$5:$Z$41)</f>
        <v>9.2337563790537119E-2</v>
      </c>
    </row>
    <row r="53" spans="1:4" ht="34.200000000000003" x14ac:dyDescent="0.3">
      <c r="A53" s="23" t="s">
        <v>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showGridLines="0" workbookViewId="0"/>
  </sheetViews>
  <sheetFormatPr defaultRowHeight="14.4" x14ac:dyDescent="0.3"/>
  <cols>
    <col min="1" max="1" width="44" customWidth="1"/>
    <col min="2" max="3" width="14" customWidth="1"/>
    <col min="4" max="5" width="30" customWidth="1"/>
    <col min="6" max="6" width="14" customWidth="1"/>
  </cols>
  <sheetData>
    <row r="1" spans="1:6" ht="17.399999999999999" x14ac:dyDescent="0.3">
      <c r="A1" s="1" t="s">
        <v>625</v>
      </c>
    </row>
    <row r="2" spans="1:6" x14ac:dyDescent="0.3">
      <c r="A2" s="2" t="s">
        <v>626</v>
      </c>
    </row>
    <row r="4" spans="1:6" x14ac:dyDescent="0.3">
      <c r="A4" s="3" t="s">
        <v>627</v>
      </c>
      <c r="B4" s="4"/>
      <c r="C4" s="4"/>
      <c r="D4" s="4"/>
      <c r="E4" s="4"/>
      <c r="F4" s="4"/>
    </row>
    <row r="5" spans="1:6" x14ac:dyDescent="0.3">
      <c r="A5" s="6" t="s">
        <v>628</v>
      </c>
      <c r="B5" s="13">
        <v>6000</v>
      </c>
      <c r="C5" s="6"/>
      <c r="D5" s="12"/>
    </row>
    <row r="6" spans="1:6" x14ac:dyDescent="0.3">
      <c r="A6" s="6" t="s">
        <v>629</v>
      </c>
      <c r="B6" s="7">
        <v>500</v>
      </c>
    </row>
    <row r="7" spans="1:6" x14ac:dyDescent="0.3">
      <c r="A7" s="6" t="s">
        <v>630</v>
      </c>
      <c r="B7" s="6" t="s">
        <v>631</v>
      </c>
    </row>
    <row r="8" spans="1:6" x14ac:dyDescent="0.3">
      <c r="A8" s="6" t="s">
        <v>632</v>
      </c>
      <c r="B8" s="7">
        <v>1</v>
      </c>
    </row>
    <row r="9" spans="1:6" x14ac:dyDescent="0.3">
      <c r="A9" s="5" t="s">
        <v>123</v>
      </c>
      <c r="B9" s="5" t="s">
        <v>633</v>
      </c>
      <c r="C9" s="5" t="s">
        <v>634</v>
      </c>
      <c r="D9" s="5"/>
      <c r="E9" s="5" t="s">
        <v>635</v>
      </c>
      <c r="F9" s="5" t="s">
        <v>636</v>
      </c>
    </row>
    <row r="10" spans="1:6" x14ac:dyDescent="0.3">
      <c r="A10" s="6" t="s">
        <v>637</v>
      </c>
      <c r="C10" s="24">
        <v>348.24700000000001</v>
      </c>
      <c r="E10" s="6" t="s">
        <v>638</v>
      </c>
      <c r="F10" s="25">
        <v>5.23</v>
      </c>
    </row>
    <row r="11" spans="1:6" x14ac:dyDescent="0.3">
      <c r="A11" s="6" t="s">
        <v>639</v>
      </c>
      <c r="C11" s="24">
        <v>14.617000000000001</v>
      </c>
      <c r="E11" s="6" t="s">
        <v>640</v>
      </c>
      <c r="F11" s="25">
        <v>8.06</v>
      </c>
    </row>
    <row r="12" spans="1:6" x14ac:dyDescent="0.3">
      <c r="A12" s="6" t="s">
        <v>641</v>
      </c>
      <c r="C12" s="24">
        <v>20.012</v>
      </c>
      <c r="E12" s="6" t="s">
        <v>642</v>
      </c>
      <c r="F12" s="25">
        <v>8.3000000000000007</v>
      </c>
    </row>
    <row r="13" spans="1:6" x14ac:dyDescent="0.3">
      <c r="A13" s="6" t="s">
        <v>643</v>
      </c>
      <c r="C13" s="24">
        <v>21.779</v>
      </c>
      <c r="E13" s="6" t="s">
        <v>644</v>
      </c>
      <c r="F13" s="25">
        <v>10.99</v>
      </c>
    </row>
    <row r="14" spans="1:6" x14ac:dyDescent="0.3">
      <c r="A14" s="6" t="s">
        <v>645</v>
      </c>
      <c r="C14" s="24">
        <v>0</v>
      </c>
      <c r="E14" s="6" t="s">
        <v>646</v>
      </c>
      <c r="F14" s="25">
        <v>16.97</v>
      </c>
    </row>
    <row r="15" spans="1:6" x14ac:dyDescent="0.3">
      <c r="A15" s="6" t="s">
        <v>647</v>
      </c>
      <c r="B15" s="26">
        <v>0.01</v>
      </c>
      <c r="C15" s="27">
        <f>B15*SUM(C11:C13)</f>
        <v>0.56408000000000003</v>
      </c>
      <c r="E15" s="6" t="s">
        <v>648</v>
      </c>
      <c r="F15" s="25">
        <v>9.89</v>
      </c>
    </row>
    <row r="16" spans="1:6" x14ac:dyDescent="0.3">
      <c r="A16" s="6" t="s">
        <v>649</v>
      </c>
      <c r="B16" s="26">
        <v>0.05</v>
      </c>
      <c r="C16" s="27">
        <f>B16*SUM(C10:C13)</f>
        <v>20.232750000000003</v>
      </c>
      <c r="E16" s="10" t="s">
        <v>650</v>
      </c>
      <c r="F16" s="28">
        <f>SUM(F10:F15)</f>
        <v>59.440000000000005</v>
      </c>
    </row>
    <row r="17" spans="1:6" x14ac:dyDescent="0.3">
      <c r="A17" s="6" t="s">
        <v>651</v>
      </c>
      <c r="B17" s="26">
        <v>0.1</v>
      </c>
      <c r="C17" s="27">
        <f>B17*SUM(C10:C13)</f>
        <v>40.465500000000006</v>
      </c>
    </row>
    <row r="18" spans="1:6" x14ac:dyDescent="0.3">
      <c r="A18" s="6" t="s">
        <v>652</v>
      </c>
      <c r="B18" s="26">
        <v>1.4999999999999999E-2</v>
      </c>
      <c r="C18" s="27">
        <f>B18*C10</f>
        <v>5.2237049999999998</v>
      </c>
    </row>
    <row r="19" spans="1:6" x14ac:dyDescent="0.3">
      <c r="A19" s="10" t="s">
        <v>653</v>
      </c>
      <c r="C19" s="29">
        <f>SUM(C10:C18)</f>
        <v>471.14103500000004</v>
      </c>
      <c r="D19" s="12" t="s">
        <v>654</v>
      </c>
    </row>
    <row r="21" spans="1:6" x14ac:dyDescent="0.3">
      <c r="A21" s="3" t="s">
        <v>655</v>
      </c>
      <c r="B21" s="4"/>
      <c r="C21" s="4"/>
      <c r="D21" s="4"/>
      <c r="E21" s="4"/>
      <c r="F21" s="4"/>
    </row>
    <row r="22" spans="1:6" x14ac:dyDescent="0.3">
      <c r="A22" s="5" t="s">
        <v>656</v>
      </c>
      <c r="B22" s="5" t="s">
        <v>634</v>
      </c>
      <c r="C22" s="5"/>
      <c r="D22" s="5" t="s">
        <v>657</v>
      </c>
      <c r="E22" s="5" t="s">
        <v>634</v>
      </c>
    </row>
    <row r="23" spans="1:6" x14ac:dyDescent="0.3">
      <c r="A23" s="6" t="s">
        <v>658</v>
      </c>
      <c r="B23" s="27">
        <f>B41</f>
        <v>18.560999999999996</v>
      </c>
      <c r="D23" s="6" t="s">
        <v>659</v>
      </c>
      <c r="E23" s="24">
        <v>0</v>
      </c>
    </row>
    <row r="24" spans="1:6" x14ac:dyDescent="0.3">
      <c r="A24" s="6" t="s">
        <v>641</v>
      </c>
      <c r="B24" s="27">
        <f>E33</f>
        <v>9.918000000000001</v>
      </c>
      <c r="D24" s="6" t="s">
        <v>660</v>
      </c>
      <c r="E24" s="24">
        <v>0</v>
      </c>
    </row>
    <row r="25" spans="1:6" x14ac:dyDescent="0.3">
      <c r="A25" s="6" t="s">
        <v>661</v>
      </c>
      <c r="B25" s="24">
        <v>0.85399999999999998</v>
      </c>
      <c r="D25" s="6" t="s">
        <v>662</v>
      </c>
      <c r="E25" s="24">
        <v>5.4569999999999999</v>
      </c>
    </row>
    <row r="26" spans="1:6" x14ac:dyDescent="0.3">
      <c r="A26" s="6" t="s">
        <v>663</v>
      </c>
      <c r="B26" s="24">
        <v>2.278</v>
      </c>
      <c r="D26" s="6" t="s">
        <v>664</v>
      </c>
      <c r="E26" s="24">
        <v>1.1419999999999999</v>
      </c>
    </row>
    <row r="27" spans="1:6" x14ac:dyDescent="0.3">
      <c r="A27" s="6" t="s">
        <v>665</v>
      </c>
      <c r="B27" s="24">
        <v>1.2330000000000001</v>
      </c>
      <c r="D27" s="6" t="s">
        <v>666</v>
      </c>
      <c r="E27" s="24">
        <v>0.72099999999999997</v>
      </c>
    </row>
    <row r="28" spans="1:6" x14ac:dyDescent="0.3">
      <c r="A28" s="6" t="s">
        <v>667</v>
      </c>
      <c r="B28" s="24">
        <v>0.27800000000000002</v>
      </c>
      <c r="D28" s="6" t="s">
        <v>668</v>
      </c>
      <c r="E28" s="24">
        <v>0.64700000000000002</v>
      </c>
    </row>
    <row r="29" spans="1:6" x14ac:dyDescent="0.3">
      <c r="A29" s="10" t="s">
        <v>669</v>
      </c>
      <c r="B29" s="27">
        <f>SUM(B23:B28)</f>
        <v>33.121999999999993</v>
      </c>
      <c r="D29" s="6" t="s">
        <v>670</v>
      </c>
      <c r="E29" s="24">
        <v>0.92800000000000005</v>
      </c>
    </row>
    <row r="30" spans="1:6" x14ac:dyDescent="0.3">
      <c r="A30" s="12" t="s">
        <v>671</v>
      </c>
      <c r="D30" s="6" t="s">
        <v>672</v>
      </c>
      <c r="E30" s="24">
        <v>0.73499999999999999</v>
      </c>
    </row>
    <row r="31" spans="1:6" x14ac:dyDescent="0.3">
      <c r="D31" s="6" t="s">
        <v>673</v>
      </c>
      <c r="E31" s="24">
        <v>0.11799999999999999</v>
      </c>
    </row>
    <row r="32" spans="1:6" x14ac:dyDescent="0.3">
      <c r="D32" s="6" t="s">
        <v>674</v>
      </c>
      <c r="E32" s="24">
        <v>0.17</v>
      </c>
    </row>
    <row r="33" spans="1:5" x14ac:dyDescent="0.3">
      <c r="D33" s="10" t="s">
        <v>675</v>
      </c>
      <c r="E33" s="27">
        <f>SUM(E23:E32)</f>
        <v>9.918000000000001</v>
      </c>
    </row>
    <row r="35" spans="1:5" x14ac:dyDescent="0.3">
      <c r="A35" s="5" t="s">
        <v>676</v>
      </c>
      <c r="B35" s="5" t="s">
        <v>634</v>
      </c>
    </row>
    <row r="36" spans="1:5" x14ac:dyDescent="0.3">
      <c r="A36" s="6" t="s">
        <v>677</v>
      </c>
      <c r="B36" s="24">
        <v>10.814</v>
      </c>
    </row>
    <row r="37" spans="1:5" x14ac:dyDescent="0.3">
      <c r="A37" s="6" t="s">
        <v>678</v>
      </c>
      <c r="B37" s="24">
        <v>0</v>
      </c>
    </row>
    <row r="38" spans="1:5" x14ac:dyDescent="0.3">
      <c r="A38" s="6" t="s">
        <v>679</v>
      </c>
      <c r="B38" s="24">
        <v>0</v>
      </c>
    </row>
    <row r="39" spans="1:5" x14ac:dyDescent="0.3">
      <c r="A39" s="6" t="s">
        <v>680</v>
      </c>
      <c r="B39" s="24">
        <v>7.51</v>
      </c>
    </row>
    <row r="40" spans="1:5" x14ac:dyDescent="0.3">
      <c r="A40" s="6" t="s">
        <v>681</v>
      </c>
      <c r="B40" s="24">
        <v>0.23699999999999999</v>
      </c>
    </row>
    <row r="41" spans="1:5" x14ac:dyDescent="0.3">
      <c r="A41" s="10" t="s">
        <v>682</v>
      </c>
      <c r="B41" s="27">
        <f>SUM(B36:B40)</f>
        <v>18.560999999999996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8"/>
  <sheetViews>
    <sheetView showGridLines="0" workbookViewId="0"/>
  </sheetViews>
  <sheetFormatPr defaultRowHeight="14.4" x14ac:dyDescent="0.3"/>
  <cols>
    <col min="1" max="1" width="6" customWidth="1"/>
    <col min="2" max="2" width="12" customWidth="1"/>
    <col min="3" max="3" width="26" customWidth="1"/>
    <col min="4" max="4" width="8" customWidth="1"/>
    <col min="5" max="5" width="9" customWidth="1"/>
    <col min="6" max="6" width="10" customWidth="1"/>
    <col min="7" max="7" width="9" customWidth="1"/>
    <col min="8" max="8" width="12" customWidth="1"/>
    <col min="9" max="10" width="11" customWidth="1"/>
    <col min="11" max="12" width="8" customWidth="1"/>
    <col min="13" max="13" width="14" customWidth="1"/>
    <col min="14" max="14" width="60" customWidth="1"/>
  </cols>
  <sheetData>
    <row r="1" spans="1:14" ht="17.399999999999999" x14ac:dyDescent="0.3">
      <c r="A1" s="1" t="s">
        <v>683</v>
      </c>
    </row>
    <row r="2" spans="1:14" x14ac:dyDescent="0.3">
      <c r="A2" s="2" t="s">
        <v>684</v>
      </c>
    </row>
    <row r="4" spans="1:14" x14ac:dyDescent="0.3">
      <c r="A4" s="3" t="s">
        <v>685</v>
      </c>
      <c r="B4" s="4"/>
      <c r="C4" s="4"/>
      <c r="D4" s="4"/>
      <c r="E4" s="4"/>
      <c r="F4" s="4"/>
      <c r="G4" s="4"/>
    </row>
    <row r="5" spans="1:14" ht="39.6" x14ac:dyDescent="0.3">
      <c r="A5" s="5" t="s">
        <v>204</v>
      </c>
      <c r="B5" s="5" t="s">
        <v>122</v>
      </c>
      <c r="C5" s="5" t="s">
        <v>686</v>
      </c>
      <c r="D5" s="5" t="s">
        <v>687</v>
      </c>
      <c r="E5" s="5" t="s">
        <v>126</v>
      </c>
      <c r="F5" s="5" t="s">
        <v>127</v>
      </c>
      <c r="G5" s="5" t="s">
        <v>688</v>
      </c>
    </row>
    <row r="6" spans="1:14" ht="52.8" x14ac:dyDescent="0.3">
      <c r="A6" s="7">
        <v>1</v>
      </c>
      <c r="B6" s="6" t="s">
        <v>689</v>
      </c>
      <c r="C6" s="6" t="s">
        <v>690</v>
      </c>
      <c r="D6" s="6" t="s">
        <v>691</v>
      </c>
      <c r="E6" s="7">
        <v>1</v>
      </c>
      <c r="F6" s="6" t="s">
        <v>133</v>
      </c>
      <c r="G6" s="6"/>
    </row>
    <row r="7" spans="1:14" ht="39.6" x14ac:dyDescent="0.3">
      <c r="A7" s="7">
        <v>2</v>
      </c>
      <c r="B7" s="6" t="s">
        <v>692</v>
      </c>
      <c r="C7" s="6" t="s">
        <v>693</v>
      </c>
      <c r="D7" s="6" t="s">
        <v>694</v>
      </c>
      <c r="E7" s="7">
        <v>3</v>
      </c>
      <c r="F7" s="6" t="s">
        <v>133</v>
      </c>
      <c r="G7" s="6"/>
    </row>
    <row r="8" spans="1:14" ht="26.4" x14ac:dyDescent="0.3">
      <c r="A8" s="7">
        <v>3</v>
      </c>
      <c r="B8" s="6" t="s">
        <v>695</v>
      </c>
      <c r="C8" s="6" t="s">
        <v>696</v>
      </c>
      <c r="D8" s="6" t="s">
        <v>161</v>
      </c>
      <c r="E8" s="7">
        <v>3</v>
      </c>
      <c r="F8" s="6" t="s">
        <v>133</v>
      </c>
      <c r="G8" s="6"/>
    </row>
    <row r="9" spans="1:14" ht="118.8" x14ac:dyDescent="0.3">
      <c r="A9" s="7">
        <v>4</v>
      </c>
      <c r="B9" s="6" t="s">
        <v>697</v>
      </c>
      <c r="C9" s="6" t="s">
        <v>698</v>
      </c>
      <c r="D9" s="6" t="s">
        <v>699</v>
      </c>
      <c r="E9" s="7">
        <v>20</v>
      </c>
      <c r="F9" s="6" t="s">
        <v>700</v>
      </c>
      <c r="G9" s="6" t="s">
        <v>701</v>
      </c>
    </row>
    <row r="10" spans="1:14" ht="26.4" x14ac:dyDescent="0.3">
      <c r="A10" s="7">
        <v>5</v>
      </c>
      <c r="B10" s="6" t="s">
        <v>702</v>
      </c>
      <c r="C10" s="6" t="s">
        <v>698</v>
      </c>
      <c r="D10" s="6" t="s">
        <v>703</v>
      </c>
      <c r="E10" s="7">
        <v>20</v>
      </c>
      <c r="F10" s="6" t="s">
        <v>700</v>
      </c>
      <c r="G10" s="6"/>
    </row>
    <row r="11" spans="1:14" ht="26.4" x14ac:dyDescent="0.3">
      <c r="A11" s="7">
        <v>6</v>
      </c>
      <c r="B11" s="6" t="s">
        <v>704</v>
      </c>
      <c r="C11" s="6" t="s">
        <v>698</v>
      </c>
      <c r="D11" s="6" t="s">
        <v>705</v>
      </c>
      <c r="E11" s="7">
        <v>20</v>
      </c>
      <c r="F11" s="6" t="s">
        <v>700</v>
      </c>
      <c r="G11" s="6"/>
    </row>
    <row r="12" spans="1:14" ht="52.8" x14ac:dyDescent="0.3">
      <c r="A12" s="7">
        <v>7</v>
      </c>
      <c r="B12" s="6" t="s">
        <v>706</v>
      </c>
      <c r="C12" s="6" t="s">
        <v>707</v>
      </c>
      <c r="D12" s="6" t="s">
        <v>708</v>
      </c>
      <c r="E12" s="7">
        <v>13</v>
      </c>
      <c r="F12" s="6" t="s">
        <v>700</v>
      </c>
      <c r="G12" s="6" t="s">
        <v>709</v>
      </c>
    </row>
    <row r="13" spans="1:14" ht="39.6" x14ac:dyDescent="0.3">
      <c r="A13" s="7">
        <v>8</v>
      </c>
      <c r="B13" s="6" t="s">
        <v>710</v>
      </c>
      <c r="C13" s="6" t="s">
        <v>711</v>
      </c>
      <c r="D13" s="6" t="s">
        <v>712</v>
      </c>
      <c r="E13" s="7">
        <v>1</v>
      </c>
      <c r="F13" s="6" t="s">
        <v>133</v>
      </c>
      <c r="G13" s="6" t="s">
        <v>713</v>
      </c>
    </row>
    <row r="15" spans="1:14" x14ac:dyDescent="0.3">
      <c r="A15" s="3" t="s">
        <v>714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4" ht="26.4" x14ac:dyDescent="0.3">
      <c r="A16" s="5" t="s">
        <v>715</v>
      </c>
      <c r="B16" s="5" t="s">
        <v>716</v>
      </c>
      <c r="C16" s="5" t="s">
        <v>123</v>
      </c>
      <c r="D16" s="5" t="s">
        <v>717</v>
      </c>
      <c r="E16" s="5" t="s">
        <v>126</v>
      </c>
      <c r="F16" s="5" t="s">
        <v>718</v>
      </c>
      <c r="G16" s="5" t="s">
        <v>226</v>
      </c>
      <c r="H16" s="5" t="s">
        <v>719</v>
      </c>
      <c r="I16" s="5" t="s">
        <v>720</v>
      </c>
      <c r="J16" s="5" t="s">
        <v>721</v>
      </c>
      <c r="K16" s="5" t="s">
        <v>722</v>
      </c>
      <c r="L16" s="5" t="s">
        <v>723</v>
      </c>
      <c r="M16" s="5" t="s">
        <v>724</v>
      </c>
      <c r="N16" s="5" t="s">
        <v>725</v>
      </c>
    </row>
    <row r="17" spans="1:14" x14ac:dyDescent="0.3">
      <c r="A17" s="7">
        <v>1</v>
      </c>
      <c r="B17" s="6" t="s">
        <v>689</v>
      </c>
      <c r="C17" s="6" t="s">
        <v>726</v>
      </c>
      <c r="D17" s="6" t="s">
        <v>727</v>
      </c>
      <c r="E17" s="7">
        <v>1</v>
      </c>
      <c r="F17" s="15">
        <f t="shared" ref="F17:F24" si="0">E17*6000</f>
        <v>6000</v>
      </c>
      <c r="G17" s="17">
        <v>0.5</v>
      </c>
      <c r="H17" s="16">
        <v>0.105263</v>
      </c>
      <c r="I17" s="27">
        <f t="shared" ref="I17:I24" si="1">H17*USD_INR</f>
        <v>9.0526179999999989</v>
      </c>
      <c r="J17" s="27">
        <f t="shared" ref="J17:J24" si="2">I17*E17</f>
        <v>9.0526179999999989</v>
      </c>
      <c r="K17" s="7">
        <v>0</v>
      </c>
      <c r="L17" s="7">
        <v>0</v>
      </c>
      <c r="M17" s="27">
        <f t="shared" ref="M17:M24" si="3">J17+K17+L17</f>
        <v>9.0526179999999989</v>
      </c>
      <c r="N17" s="6" t="s">
        <v>728</v>
      </c>
    </row>
    <row r="18" spans="1:14" x14ac:dyDescent="0.3">
      <c r="A18" s="7">
        <v>2</v>
      </c>
      <c r="B18" s="6" t="s">
        <v>692</v>
      </c>
      <c r="C18" s="6" t="s">
        <v>729</v>
      </c>
      <c r="D18" s="6" t="s">
        <v>730</v>
      </c>
      <c r="E18" s="7">
        <v>3</v>
      </c>
      <c r="F18" s="15">
        <f t="shared" si="0"/>
        <v>18000</v>
      </c>
      <c r="G18" s="17">
        <v>0.5</v>
      </c>
      <c r="H18" s="16">
        <v>1.21E-2</v>
      </c>
      <c r="I18" s="27">
        <f t="shared" si="1"/>
        <v>1.0406</v>
      </c>
      <c r="J18" s="27">
        <f t="shared" si="2"/>
        <v>3.1217999999999999</v>
      </c>
      <c r="K18" s="7">
        <v>0</v>
      </c>
      <c r="L18" s="7">
        <v>0</v>
      </c>
      <c r="M18" s="27">
        <f t="shared" si="3"/>
        <v>3.1217999999999999</v>
      </c>
      <c r="N18" s="6" t="s">
        <v>731</v>
      </c>
    </row>
    <row r="19" spans="1:14" x14ac:dyDescent="0.3">
      <c r="A19" s="7">
        <v>3</v>
      </c>
      <c r="B19" s="6" t="s">
        <v>695</v>
      </c>
      <c r="C19" s="6" t="s">
        <v>732</v>
      </c>
      <c r="D19" s="6" t="s">
        <v>733</v>
      </c>
      <c r="E19" s="7">
        <v>3</v>
      </c>
      <c r="F19" s="15">
        <f t="shared" si="0"/>
        <v>18000</v>
      </c>
      <c r="G19" s="17">
        <v>0.5</v>
      </c>
      <c r="H19" s="16">
        <v>1.03E-2</v>
      </c>
      <c r="I19" s="27">
        <f t="shared" si="1"/>
        <v>0.88580000000000003</v>
      </c>
      <c r="J19" s="27">
        <f t="shared" si="2"/>
        <v>2.6574</v>
      </c>
      <c r="K19" s="7">
        <v>0</v>
      </c>
      <c r="L19" s="7">
        <v>0</v>
      </c>
      <c r="M19" s="27">
        <f t="shared" si="3"/>
        <v>2.6574</v>
      </c>
      <c r="N19" s="6" t="s">
        <v>734</v>
      </c>
    </row>
    <row r="20" spans="1:14" ht="26.4" x14ac:dyDescent="0.3">
      <c r="A20" s="7">
        <v>4</v>
      </c>
      <c r="B20" s="6" t="s">
        <v>697</v>
      </c>
      <c r="C20" s="6" t="s">
        <v>735</v>
      </c>
      <c r="D20" s="6" t="s">
        <v>736</v>
      </c>
      <c r="E20" s="7">
        <v>1</v>
      </c>
      <c r="F20" s="15">
        <f t="shared" si="0"/>
        <v>6000</v>
      </c>
      <c r="G20" s="17">
        <v>0.7</v>
      </c>
      <c r="H20" s="16">
        <v>0.108222</v>
      </c>
      <c r="I20" s="27">
        <f t="shared" si="1"/>
        <v>9.307091999999999</v>
      </c>
      <c r="J20" s="27">
        <f t="shared" si="2"/>
        <v>9.307091999999999</v>
      </c>
      <c r="K20" s="7">
        <v>0</v>
      </c>
      <c r="L20" s="7">
        <v>0</v>
      </c>
      <c r="M20" s="27">
        <f t="shared" si="3"/>
        <v>9.307091999999999</v>
      </c>
      <c r="N20" s="6" t="s">
        <v>737</v>
      </c>
    </row>
    <row r="21" spans="1:14" ht="39.6" x14ac:dyDescent="0.3">
      <c r="A21" s="7">
        <v>5</v>
      </c>
      <c r="B21" s="6" t="s">
        <v>702</v>
      </c>
      <c r="C21" s="6" t="s">
        <v>738</v>
      </c>
      <c r="D21" s="6" t="s">
        <v>739</v>
      </c>
      <c r="E21" s="7">
        <v>1</v>
      </c>
      <c r="F21" s="15">
        <f t="shared" si="0"/>
        <v>6000</v>
      </c>
      <c r="G21" s="17">
        <v>0.7</v>
      </c>
      <c r="H21" s="16">
        <v>0.1137</v>
      </c>
      <c r="I21" s="27">
        <f t="shared" si="1"/>
        <v>9.7782</v>
      </c>
      <c r="J21" s="27">
        <f t="shared" si="2"/>
        <v>9.7782</v>
      </c>
      <c r="K21" s="7">
        <v>0</v>
      </c>
      <c r="L21" s="7">
        <v>0</v>
      </c>
      <c r="M21" s="27">
        <f t="shared" si="3"/>
        <v>9.7782</v>
      </c>
      <c r="N21" s="6" t="s">
        <v>740</v>
      </c>
    </row>
    <row r="22" spans="1:14" x14ac:dyDescent="0.3">
      <c r="A22" s="7">
        <v>6</v>
      </c>
      <c r="B22" s="6" t="s">
        <v>704</v>
      </c>
      <c r="C22" s="6" t="s">
        <v>741</v>
      </c>
      <c r="D22" s="6" t="s">
        <v>742</v>
      </c>
      <c r="E22" s="7">
        <v>0.66</v>
      </c>
      <c r="F22" s="15">
        <f t="shared" si="0"/>
        <v>3960</v>
      </c>
      <c r="G22" s="17">
        <v>0.5</v>
      </c>
      <c r="H22" s="16">
        <v>0.117495</v>
      </c>
      <c r="I22" s="27">
        <f t="shared" si="1"/>
        <v>10.104570000000001</v>
      </c>
      <c r="J22" s="27">
        <f t="shared" si="2"/>
        <v>6.6690162000000006</v>
      </c>
      <c r="K22" s="7">
        <v>0</v>
      </c>
      <c r="L22" s="7">
        <v>0</v>
      </c>
      <c r="M22" s="27">
        <f t="shared" si="3"/>
        <v>6.6690162000000006</v>
      </c>
      <c r="N22" s="6" t="s">
        <v>743</v>
      </c>
    </row>
    <row r="23" spans="1:14" x14ac:dyDescent="0.3">
      <c r="A23" s="7">
        <v>7</v>
      </c>
      <c r="B23" s="6" t="s">
        <v>706</v>
      </c>
      <c r="C23" s="6" t="s">
        <v>744</v>
      </c>
      <c r="D23" s="6" t="s">
        <v>742</v>
      </c>
      <c r="E23" s="7">
        <v>0.66</v>
      </c>
      <c r="F23" s="15">
        <f t="shared" si="0"/>
        <v>3960</v>
      </c>
      <c r="G23" s="17">
        <v>0.5</v>
      </c>
      <c r="H23" s="16">
        <v>0.117495</v>
      </c>
      <c r="I23" s="27">
        <f t="shared" si="1"/>
        <v>10.104570000000001</v>
      </c>
      <c r="J23" s="27">
        <f t="shared" si="2"/>
        <v>6.6690162000000006</v>
      </c>
      <c r="K23" s="7">
        <v>0</v>
      </c>
      <c r="L23" s="7">
        <v>0</v>
      </c>
      <c r="M23" s="27">
        <f t="shared" si="3"/>
        <v>6.6690162000000006</v>
      </c>
      <c r="N23" s="6" t="s">
        <v>743</v>
      </c>
    </row>
    <row r="24" spans="1:14" x14ac:dyDescent="0.3">
      <c r="A24" s="7">
        <v>8</v>
      </c>
      <c r="B24" s="6" t="s">
        <v>710</v>
      </c>
      <c r="C24" s="6" t="s">
        <v>745</v>
      </c>
      <c r="D24" s="6" t="s">
        <v>742</v>
      </c>
      <c r="E24" s="7">
        <v>0.66</v>
      </c>
      <c r="F24" s="15">
        <f t="shared" si="0"/>
        <v>3960</v>
      </c>
      <c r="G24" s="17">
        <v>0.5</v>
      </c>
      <c r="H24" s="16">
        <v>0.117495</v>
      </c>
      <c r="I24" s="27">
        <f t="shared" si="1"/>
        <v>10.104570000000001</v>
      </c>
      <c r="J24" s="27">
        <f t="shared" si="2"/>
        <v>6.6690162000000006</v>
      </c>
      <c r="K24" s="7">
        <v>0</v>
      </c>
      <c r="L24" s="7">
        <v>0</v>
      </c>
      <c r="M24" s="27">
        <f t="shared" si="3"/>
        <v>6.6690162000000006</v>
      </c>
      <c r="N24" s="6" t="s">
        <v>743</v>
      </c>
    </row>
    <row r="25" spans="1:14" ht="26.4" x14ac:dyDescent="0.3">
      <c r="L25" s="10" t="s">
        <v>746</v>
      </c>
      <c r="M25" s="27">
        <f>SUM(M17:M24)</f>
        <v>53.924158599999998</v>
      </c>
    </row>
    <row r="26" spans="1:14" ht="26.4" x14ac:dyDescent="0.3">
      <c r="L26" s="6" t="s">
        <v>747</v>
      </c>
      <c r="M26" s="27">
        <f>SUMIF(D17:D24,"CABL",M17:M24)</f>
        <v>20.007048600000001</v>
      </c>
    </row>
    <row r="27" spans="1:14" ht="39.6" x14ac:dyDescent="0.3">
      <c r="L27" s="6" t="s">
        <v>748</v>
      </c>
      <c r="M27" s="27">
        <f>M25-M26</f>
        <v>33.917109999999994</v>
      </c>
    </row>
    <row r="29" spans="1:14" x14ac:dyDescent="0.3">
      <c r="A29" s="3" t="s">
        <v>749</v>
      </c>
      <c r="B29" s="4"/>
      <c r="C29" s="4"/>
      <c r="D29" s="4"/>
    </row>
    <row r="30" spans="1:14" ht="52.8" x14ac:dyDescent="0.3">
      <c r="A30" s="5" t="s">
        <v>750</v>
      </c>
      <c r="B30" s="5" t="s">
        <v>633</v>
      </c>
      <c r="C30" s="5" t="s">
        <v>751</v>
      </c>
      <c r="D30" s="5" t="s">
        <v>688</v>
      </c>
    </row>
    <row r="31" spans="1:14" ht="39.6" x14ac:dyDescent="0.3">
      <c r="A31" s="6" t="s">
        <v>752</v>
      </c>
      <c r="C31" s="27">
        <f>M25</f>
        <v>53.924158599999998</v>
      </c>
    </row>
    <row r="32" spans="1:14" ht="66" x14ac:dyDescent="0.3">
      <c r="A32" s="6" t="s">
        <v>641</v>
      </c>
      <c r="C32" s="24">
        <v>20.16</v>
      </c>
      <c r="D32" s="6" t="s">
        <v>753</v>
      </c>
    </row>
    <row r="33" spans="1:4" ht="79.2" x14ac:dyDescent="0.3">
      <c r="A33" s="6" t="s">
        <v>754</v>
      </c>
      <c r="B33" s="26">
        <v>0.05</v>
      </c>
      <c r="C33" s="27">
        <f>B33*(C31+C32)</f>
        <v>3.7042079299999999</v>
      </c>
    </row>
    <row r="34" spans="1:4" ht="92.4" x14ac:dyDescent="0.3">
      <c r="A34" s="6" t="s">
        <v>755</v>
      </c>
      <c r="B34" s="26">
        <v>0.01</v>
      </c>
      <c r="C34" s="27">
        <f>B34*(C31+C32)</f>
        <v>0.74084158599999994</v>
      </c>
    </row>
    <row r="35" spans="1:4" ht="92.4" x14ac:dyDescent="0.3">
      <c r="A35" s="6" t="s">
        <v>756</v>
      </c>
      <c r="B35" s="26">
        <v>0.01</v>
      </c>
      <c r="C35" s="27">
        <f>B35*(C31+C32)</f>
        <v>0.74084158599999994</v>
      </c>
    </row>
    <row r="36" spans="1:4" ht="66" x14ac:dyDescent="0.3">
      <c r="A36" s="6" t="s">
        <v>757</v>
      </c>
      <c r="B36" s="26">
        <v>1.4999999999999999E-2</v>
      </c>
      <c r="C36" s="27">
        <f>B36*C31</f>
        <v>0.80886237899999991</v>
      </c>
    </row>
    <row r="37" spans="1:4" ht="92.4" x14ac:dyDescent="0.3">
      <c r="A37" s="6" t="s">
        <v>758</v>
      </c>
      <c r="B37" s="26">
        <v>0.1</v>
      </c>
      <c r="C37" s="27">
        <f>B37*(C31+C32)</f>
        <v>7.4084158599999999</v>
      </c>
    </row>
    <row r="38" spans="1:4" ht="52.8" x14ac:dyDescent="0.3">
      <c r="A38" s="10" t="s">
        <v>759</v>
      </c>
      <c r="C38" s="28">
        <f>SUM(C31:C37)</f>
        <v>87.487327941000004</v>
      </c>
      <c r="D38" s="6" t="s">
        <v>760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36"/>
  <sheetViews>
    <sheetView showGridLines="0" workbookViewId="0"/>
  </sheetViews>
  <sheetFormatPr defaultRowHeight="14.4" x14ac:dyDescent="0.3"/>
  <cols>
    <col min="1" max="1" width="40" customWidth="1"/>
    <col min="2" max="2" width="18" customWidth="1"/>
    <col min="3" max="6" width="16" customWidth="1"/>
  </cols>
  <sheetData>
    <row r="1" spans="1:4" ht="17.399999999999999" x14ac:dyDescent="0.3">
      <c r="A1" s="1" t="s">
        <v>761</v>
      </c>
    </row>
    <row r="2" spans="1:4" x14ac:dyDescent="0.3">
      <c r="A2" s="2" t="s">
        <v>762</v>
      </c>
    </row>
    <row r="4" spans="1:4" x14ac:dyDescent="0.3">
      <c r="A4" s="3" t="s">
        <v>763</v>
      </c>
      <c r="B4" s="4"/>
      <c r="C4" s="4"/>
      <c r="D4" s="4"/>
    </row>
    <row r="5" spans="1:4" x14ac:dyDescent="0.3">
      <c r="A5" s="6" t="s">
        <v>125</v>
      </c>
      <c r="B5" s="6" t="s">
        <v>144</v>
      </c>
    </row>
    <row r="6" spans="1:4" ht="26.4" x14ac:dyDescent="0.3">
      <c r="A6" s="6" t="s">
        <v>635</v>
      </c>
      <c r="B6" s="6" t="s">
        <v>764</v>
      </c>
    </row>
    <row r="7" spans="1:4" x14ac:dyDescent="0.3">
      <c r="A7" s="6" t="s">
        <v>765</v>
      </c>
      <c r="B7" s="13">
        <v>6000</v>
      </c>
      <c r="C7" s="6"/>
      <c r="D7" s="12"/>
    </row>
    <row r="8" spans="1:4" x14ac:dyDescent="0.3">
      <c r="A8" s="6" t="s">
        <v>766</v>
      </c>
      <c r="B8" s="7">
        <v>500</v>
      </c>
    </row>
    <row r="9" spans="1:4" x14ac:dyDescent="0.3">
      <c r="A9" s="6" t="s">
        <v>767</v>
      </c>
      <c r="B9" s="6" t="s">
        <v>768</v>
      </c>
    </row>
    <row r="10" spans="1:4" x14ac:dyDescent="0.3">
      <c r="A10" s="6" t="s">
        <v>769</v>
      </c>
      <c r="B10" s="6" t="s">
        <v>770</v>
      </c>
    </row>
    <row r="11" spans="1:4" x14ac:dyDescent="0.3">
      <c r="A11" s="6" t="s">
        <v>771</v>
      </c>
      <c r="B11" s="6" t="s">
        <v>772</v>
      </c>
    </row>
    <row r="12" spans="1:4" x14ac:dyDescent="0.3">
      <c r="A12" s="6" t="s">
        <v>773</v>
      </c>
      <c r="B12" s="6" t="s">
        <v>774</v>
      </c>
    </row>
    <row r="13" spans="1:4" x14ac:dyDescent="0.3">
      <c r="A13" s="6" t="s">
        <v>775</v>
      </c>
      <c r="B13" s="6" t="s">
        <v>776</v>
      </c>
    </row>
    <row r="14" spans="1:4" x14ac:dyDescent="0.3">
      <c r="A14" s="6" t="s">
        <v>777</v>
      </c>
      <c r="B14" s="6" t="s">
        <v>778</v>
      </c>
    </row>
    <row r="15" spans="1:4" x14ac:dyDescent="0.3">
      <c r="A15" s="6" t="s">
        <v>779</v>
      </c>
      <c r="B15" s="6" t="s">
        <v>780</v>
      </c>
    </row>
    <row r="16" spans="1:4" x14ac:dyDescent="0.3">
      <c r="A16" s="6" t="s">
        <v>781</v>
      </c>
      <c r="B16" s="7">
        <v>2</v>
      </c>
      <c r="C16" s="6" t="s">
        <v>103</v>
      </c>
    </row>
    <row r="17" spans="1:4" ht="52.8" x14ac:dyDescent="0.3">
      <c r="A17" s="6" t="s">
        <v>782</v>
      </c>
      <c r="B17" s="6" t="s">
        <v>783</v>
      </c>
      <c r="C17" s="6"/>
      <c r="D17" s="12" t="s">
        <v>784</v>
      </c>
    </row>
    <row r="19" spans="1:4" x14ac:dyDescent="0.3">
      <c r="A19" s="3" t="s">
        <v>785</v>
      </c>
      <c r="B19" s="4"/>
      <c r="C19" s="4"/>
      <c r="D19" s="4"/>
    </row>
    <row r="20" spans="1:4" x14ac:dyDescent="0.3">
      <c r="A20" s="6" t="s">
        <v>216</v>
      </c>
      <c r="B20" s="6" t="s">
        <v>786</v>
      </c>
    </row>
    <row r="21" spans="1:4" x14ac:dyDescent="0.3">
      <c r="A21" s="6" t="s">
        <v>686</v>
      </c>
      <c r="B21" s="6" t="s">
        <v>787</v>
      </c>
    </row>
    <row r="22" spans="1:4" x14ac:dyDescent="0.3">
      <c r="A22" s="6" t="s">
        <v>788</v>
      </c>
      <c r="B22" s="6" t="s">
        <v>789</v>
      </c>
    </row>
    <row r="23" spans="1:4" x14ac:dyDescent="0.3">
      <c r="A23" s="6" t="s">
        <v>790</v>
      </c>
      <c r="B23" s="7">
        <v>2.74</v>
      </c>
      <c r="C23" s="6" t="s">
        <v>791</v>
      </c>
    </row>
    <row r="24" spans="1:4" x14ac:dyDescent="0.3">
      <c r="A24" s="6" t="s">
        <v>792</v>
      </c>
      <c r="B24" s="7">
        <v>230</v>
      </c>
      <c r="C24" s="6" t="s">
        <v>793</v>
      </c>
    </row>
    <row r="25" spans="1:4" x14ac:dyDescent="0.3">
      <c r="A25" s="6" t="s">
        <v>794</v>
      </c>
      <c r="B25" s="7">
        <v>92</v>
      </c>
      <c r="C25" s="6" t="s">
        <v>793</v>
      </c>
    </row>
    <row r="26" spans="1:4" x14ac:dyDescent="0.3">
      <c r="A26" s="6" t="s">
        <v>795</v>
      </c>
      <c r="B26" s="7">
        <v>121</v>
      </c>
      <c r="C26" s="6" t="s">
        <v>103</v>
      </c>
    </row>
    <row r="27" spans="1:4" x14ac:dyDescent="0.3">
      <c r="A27" s="6" t="s">
        <v>796</v>
      </c>
      <c r="B27" s="7">
        <v>57</v>
      </c>
      <c r="C27" s="6" t="s">
        <v>103</v>
      </c>
    </row>
    <row r="28" spans="1:4" x14ac:dyDescent="0.3">
      <c r="A28" s="6" t="s">
        <v>797</v>
      </c>
      <c r="B28" s="7">
        <v>35</v>
      </c>
      <c r="C28" s="6" t="s">
        <v>103</v>
      </c>
    </row>
    <row r="29" spans="1:4" x14ac:dyDescent="0.3">
      <c r="A29" s="6" t="s">
        <v>798</v>
      </c>
      <c r="B29" s="7">
        <v>21774</v>
      </c>
      <c r="C29" s="6" t="s">
        <v>799</v>
      </c>
    </row>
    <row r="30" spans="1:4" x14ac:dyDescent="0.3">
      <c r="A30" s="6" t="s">
        <v>800</v>
      </c>
      <c r="B30" s="7">
        <v>28467.15</v>
      </c>
      <c r="C30" s="6" t="s">
        <v>801</v>
      </c>
    </row>
    <row r="31" spans="1:4" x14ac:dyDescent="0.3">
      <c r="A31" s="6" t="s">
        <v>802</v>
      </c>
      <c r="B31" s="7">
        <v>1</v>
      </c>
    </row>
    <row r="32" spans="1:4" ht="26.4" x14ac:dyDescent="0.3">
      <c r="A32" s="6" t="s">
        <v>803</v>
      </c>
      <c r="B32" s="6" t="s">
        <v>804</v>
      </c>
    </row>
    <row r="33" spans="1:9" x14ac:dyDescent="0.3">
      <c r="A33" s="6" t="s">
        <v>805</v>
      </c>
      <c r="B33" s="7">
        <v>78</v>
      </c>
      <c r="C33" s="6" t="s">
        <v>101</v>
      </c>
    </row>
    <row r="34" spans="1:9" x14ac:dyDescent="0.3">
      <c r="A34" s="6" t="s">
        <v>806</v>
      </c>
      <c r="B34" s="7">
        <v>12</v>
      </c>
      <c r="C34" s="6" t="s">
        <v>101</v>
      </c>
    </row>
    <row r="35" spans="1:9" x14ac:dyDescent="0.3">
      <c r="A35" s="6" t="s">
        <v>807</v>
      </c>
      <c r="B35" s="28">
        <f>B33+B34</f>
        <v>90</v>
      </c>
      <c r="C35" s="6" t="s">
        <v>101</v>
      </c>
    </row>
    <row r="36" spans="1:9" ht="26.4" x14ac:dyDescent="0.3">
      <c r="A36" s="6" t="s">
        <v>808</v>
      </c>
      <c r="B36" s="28">
        <f>B30*B23/1000</f>
        <v>77.999991000000009</v>
      </c>
      <c r="C36" s="6" t="s">
        <v>101</v>
      </c>
      <c r="D36" s="6" t="s">
        <v>809</v>
      </c>
    </row>
    <row r="37" spans="1:9" x14ac:dyDescent="0.3">
      <c r="A37" s="6" t="s">
        <v>810</v>
      </c>
      <c r="B37" s="6" t="s">
        <v>811</v>
      </c>
    </row>
    <row r="38" spans="1:9" x14ac:dyDescent="0.3">
      <c r="A38" s="6" t="s">
        <v>812</v>
      </c>
      <c r="B38" s="28">
        <f>B34</f>
        <v>12</v>
      </c>
      <c r="C38" s="6" t="s">
        <v>101</v>
      </c>
    </row>
    <row r="39" spans="1:9" x14ac:dyDescent="0.3">
      <c r="A39" s="6" t="s">
        <v>813</v>
      </c>
      <c r="B39" s="17">
        <v>0.9</v>
      </c>
    </row>
    <row r="40" spans="1:9" x14ac:dyDescent="0.3">
      <c r="A40" s="6" t="s">
        <v>814</v>
      </c>
      <c r="B40" s="28">
        <f>B35/1000*B24</f>
        <v>20.7</v>
      </c>
      <c r="C40" s="6" t="s">
        <v>815</v>
      </c>
    </row>
    <row r="41" spans="1:9" x14ac:dyDescent="0.3">
      <c r="A41" s="6" t="s">
        <v>816</v>
      </c>
      <c r="B41" s="28">
        <f>B38/1000*B39*B25</f>
        <v>0.99360000000000004</v>
      </c>
      <c r="C41" s="6" t="s">
        <v>815</v>
      </c>
    </row>
    <row r="42" spans="1:9" x14ac:dyDescent="0.3">
      <c r="A42" s="10" t="s">
        <v>817</v>
      </c>
      <c r="B42" s="28">
        <f>B40-B41</f>
        <v>19.706399999999999</v>
      </c>
      <c r="C42" s="6" t="s">
        <v>815</v>
      </c>
      <c r="D42" s="6" t="s">
        <v>818</v>
      </c>
    </row>
    <row r="44" spans="1:9" x14ac:dyDescent="0.3">
      <c r="A44" s="3" t="s">
        <v>819</v>
      </c>
      <c r="B44" s="4"/>
      <c r="C44" s="4"/>
      <c r="D44" s="4"/>
      <c r="E44" s="4"/>
      <c r="F44" s="4"/>
      <c r="G44" s="4"/>
      <c r="H44" s="4"/>
      <c r="I44" s="4"/>
    </row>
    <row r="45" spans="1:9" x14ac:dyDescent="0.3">
      <c r="A45" s="5" t="s">
        <v>820</v>
      </c>
      <c r="B45" s="5" t="s">
        <v>821</v>
      </c>
      <c r="C45" s="5" t="s">
        <v>822</v>
      </c>
      <c r="D45" s="5" t="s">
        <v>823</v>
      </c>
      <c r="E45" s="5" t="s">
        <v>824</v>
      </c>
      <c r="F45" s="5" t="s">
        <v>825</v>
      </c>
    </row>
    <row r="46" spans="1:9" ht="26.4" x14ac:dyDescent="0.3">
      <c r="A46" s="6" t="s">
        <v>826</v>
      </c>
      <c r="B46" s="6" t="s">
        <v>827</v>
      </c>
      <c r="C46" s="6" t="s">
        <v>828</v>
      </c>
      <c r="D46" s="6" t="s">
        <v>829</v>
      </c>
      <c r="E46" s="6" t="s">
        <v>830</v>
      </c>
      <c r="F46" s="6" t="s">
        <v>178</v>
      </c>
    </row>
    <row r="47" spans="1:9" x14ac:dyDescent="0.3">
      <c r="A47" s="6" t="s">
        <v>831</v>
      </c>
      <c r="B47" s="6" t="s">
        <v>832</v>
      </c>
      <c r="C47" s="6" t="s">
        <v>832</v>
      </c>
      <c r="D47" s="6" t="s">
        <v>832</v>
      </c>
      <c r="E47" s="6" t="s">
        <v>832</v>
      </c>
      <c r="F47" s="6" t="s">
        <v>243</v>
      </c>
    </row>
    <row r="48" spans="1:9" x14ac:dyDescent="0.3">
      <c r="A48" s="6" t="s">
        <v>833</v>
      </c>
      <c r="B48" s="6"/>
      <c r="C48" s="7">
        <v>136</v>
      </c>
      <c r="D48" s="7">
        <v>56</v>
      </c>
      <c r="E48" s="6"/>
      <c r="F48" s="6"/>
    </row>
    <row r="49" spans="1:6" x14ac:dyDescent="0.3">
      <c r="A49" s="6" t="s">
        <v>834</v>
      </c>
      <c r="B49" s="6"/>
      <c r="C49" s="7">
        <v>150</v>
      </c>
      <c r="D49" s="7">
        <v>60</v>
      </c>
      <c r="E49" s="6"/>
      <c r="F49" s="6"/>
    </row>
    <row r="50" spans="1:6" x14ac:dyDescent="0.3">
      <c r="A50" s="6" t="s">
        <v>835</v>
      </c>
      <c r="B50" s="7">
        <v>28.88</v>
      </c>
      <c r="C50" s="7">
        <v>79</v>
      </c>
      <c r="D50" s="7">
        <v>15</v>
      </c>
      <c r="E50" s="6"/>
      <c r="F50" s="7">
        <v>30</v>
      </c>
    </row>
    <row r="51" spans="1:6" x14ac:dyDescent="0.3">
      <c r="A51" s="6" t="s">
        <v>836</v>
      </c>
      <c r="B51" s="6"/>
      <c r="C51" s="6"/>
      <c r="D51" s="7">
        <v>10</v>
      </c>
      <c r="E51" s="6"/>
      <c r="F51" s="6"/>
    </row>
    <row r="52" spans="1:6" x14ac:dyDescent="0.3">
      <c r="A52" s="6" t="s">
        <v>837</v>
      </c>
      <c r="B52" s="7">
        <v>0.24</v>
      </c>
      <c r="C52" s="7">
        <v>0.24</v>
      </c>
      <c r="D52" s="7">
        <v>0.24</v>
      </c>
      <c r="E52" s="6"/>
      <c r="F52" s="6"/>
    </row>
    <row r="53" spans="1:6" x14ac:dyDescent="0.3">
      <c r="A53" s="6" t="s">
        <v>838</v>
      </c>
      <c r="B53" s="7">
        <v>120</v>
      </c>
      <c r="C53" s="7">
        <v>120</v>
      </c>
      <c r="D53" s="7">
        <v>120</v>
      </c>
      <c r="E53" s="6"/>
      <c r="F53" s="6"/>
    </row>
    <row r="54" spans="1:6" x14ac:dyDescent="0.3">
      <c r="A54" s="6" t="s">
        <v>839</v>
      </c>
      <c r="B54" s="7">
        <v>1</v>
      </c>
      <c r="C54" s="7">
        <v>2</v>
      </c>
      <c r="D54" s="7">
        <v>1</v>
      </c>
      <c r="E54" s="6"/>
      <c r="F54" s="6"/>
    </row>
    <row r="55" spans="1:6" x14ac:dyDescent="0.3">
      <c r="A55" s="6" t="s">
        <v>840</v>
      </c>
      <c r="B55" s="7">
        <v>1</v>
      </c>
      <c r="C55" s="7">
        <v>1</v>
      </c>
      <c r="D55" s="7">
        <v>1</v>
      </c>
      <c r="E55" s="6"/>
      <c r="F55" s="7">
        <v>1</v>
      </c>
    </row>
    <row r="56" spans="1:6" x14ac:dyDescent="0.3">
      <c r="A56" s="6" t="s">
        <v>841</v>
      </c>
      <c r="B56" s="7">
        <v>102</v>
      </c>
      <c r="C56" s="7">
        <v>102</v>
      </c>
      <c r="D56" s="7">
        <v>102</v>
      </c>
      <c r="E56" s="6"/>
      <c r="F56" s="6"/>
    </row>
    <row r="57" spans="1:6" x14ac:dyDescent="0.3">
      <c r="A57" s="6" t="s">
        <v>842</v>
      </c>
      <c r="B57" s="7">
        <v>115</v>
      </c>
      <c r="C57" s="7">
        <v>192.64</v>
      </c>
      <c r="D57" s="7">
        <v>115</v>
      </c>
      <c r="E57" s="6"/>
      <c r="F57" s="6"/>
    </row>
    <row r="58" spans="1:6" x14ac:dyDescent="0.3">
      <c r="A58" s="6" t="s">
        <v>843</v>
      </c>
      <c r="B58" s="7">
        <v>115</v>
      </c>
      <c r="C58" s="7">
        <v>192.64</v>
      </c>
      <c r="D58" s="7">
        <v>115</v>
      </c>
      <c r="E58" s="6"/>
      <c r="F58" s="7">
        <v>115</v>
      </c>
    </row>
    <row r="59" spans="1:6" x14ac:dyDescent="0.3">
      <c r="A59" s="6" t="s">
        <v>844</v>
      </c>
      <c r="B59" s="7">
        <v>0.01</v>
      </c>
      <c r="C59" s="7">
        <v>0.01</v>
      </c>
      <c r="D59" s="7">
        <v>0.01</v>
      </c>
      <c r="E59" s="6"/>
      <c r="F59" s="6"/>
    </row>
    <row r="60" spans="1:6" x14ac:dyDescent="0.3">
      <c r="A60" s="6" t="s">
        <v>845</v>
      </c>
      <c r="B60" s="7">
        <v>5</v>
      </c>
      <c r="C60" s="7">
        <v>5</v>
      </c>
      <c r="D60" s="7">
        <v>5</v>
      </c>
      <c r="E60" s="6"/>
      <c r="F60" s="6"/>
    </row>
    <row r="61" spans="1:6" x14ac:dyDescent="0.3">
      <c r="A61" s="6" t="s">
        <v>846</v>
      </c>
      <c r="B61" s="7">
        <v>0.99</v>
      </c>
      <c r="C61" s="7">
        <v>0.99</v>
      </c>
      <c r="D61" s="7">
        <v>0.99</v>
      </c>
      <c r="E61" s="6"/>
      <c r="F61" s="6"/>
    </row>
    <row r="62" spans="1:6" x14ac:dyDescent="0.3">
      <c r="A62" s="6" t="s">
        <v>847</v>
      </c>
      <c r="B62" s="7">
        <v>240</v>
      </c>
      <c r="C62" s="7">
        <v>1200</v>
      </c>
      <c r="D62" s="7">
        <v>80</v>
      </c>
      <c r="E62" s="6"/>
      <c r="F62" s="6"/>
    </row>
    <row r="63" spans="1:6" x14ac:dyDescent="0.3">
      <c r="A63" s="6" t="s">
        <v>848</v>
      </c>
      <c r="B63" s="6"/>
      <c r="C63" s="6"/>
      <c r="D63" s="6"/>
      <c r="E63" s="7">
        <v>15</v>
      </c>
      <c r="F63" s="6"/>
    </row>
    <row r="64" spans="1:6" x14ac:dyDescent="0.3">
      <c r="A64" s="6" t="s">
        <v>849</v>
      </c>
      <c r="B64" s="7">
        <v>1.93</v>
      </c>
      <c r="C64" s="7">
        <v>26.33</v>
      </c>
      <c r="D64" s="7">
        <v>0.33</v>
      </c>
      <c r="E64" s="6"/>
      <c r="F64" s="6"/>
    </row>
    <row r="65" spans="1:6" x14ac:dyDescent="0.3">
      <c r="A65" s="6" t="s">
        <v>639</v>
      </c>
      <c r="B65" s="7">
        <v>1.37</v>
      </c>
      <c r="C65" s="7">
        <v>5.62</v>
      </c>
      <c r="D65" s="7">
        <v>0.73</v>
      </c>
      <c r="E65" s="6"/>
      <c r="F65" s="6"/>
    </row>
    <row r="66" spans="1:6" x14ac:dyDescent="0.3">
      <c r="A66" s="6" t="s">
        <v>850</v>
      </c>
      <c r="B66" s="7">
        <v>0.82</v>
      </c>
      <c r="C66" s="7">
        <v>4.4800000000000004</v>
      </c>
      <c r="D66" s="7">
        <v>0.43</v>
      </c>
      <c r="E66" s="6"/>
      <c r="F66" s="6"/>
    </row>
    <row r="67" spans="1:6" x14ac:dyDescent="0.3">
      <c r="A67" s="6" t="s">
        <v>851</v>
      </c>
      <c r="B67" s="7">
        <v>0.1</v>
      </c>
      <c r="C67" s="7">
        <v>0.16</v>
      </c>
      <c r="D67" s="7">
        <v>0.1</v>
      </c>
      <c r="E67" s="6"/>
      <c r="F67" s="7">
        <v>0.96</v>
      </c>
    </row>
    <row r="68" spans="1:6" x14ac:dyDescent="0.3">
      <c r="A68" s="6" t="s">
        <v>852</v>
      </c>
      <c r="B68" s="7">
        <v>0.17</v>
      </c>
      <c r="C68" s="7">
        <v>0.49</v>
      </c>
      <c r="D68" s="7">
        <v>0.14000000000000001</v>
      </c>
      <c r="E68" s="6"/>
      <c r="F68" s="6"/>
    </row>
    <row r="69" spans="1:6" x14ac:dyDescent="0.3">
      <c r="A69" s="10" t="s">
        <v>853</v>
      </c>
      <c r="B69" s="28">
        <f>SUM(B64:B68)</f>
        <v>4.3899999999999997</v>
      </c>
      <c r="C69" s="28">
        <f>SUM(C64:C68)</f>
        <v>37.08</v>
      </c>
      <c r="D69" s="28">
        <f>SUM(D64:D68)</f>
        <v>1.73</v>
      </c>
      <c r="E69" s="25">
        <v>1.17</v>
      </c>
      <c r="F69" s="28">
        <f>F67</f>
        <v>0.96</v>
      </c>
    </row>
    <row r="70" spans="1:6" x14ac:dyDescent="0.3">
      <c r="A70" s="10" t="s">
        <v>854</v>
      </c>
    </row>
    <row r="71" spans="1:6" x14ac:dyDescent="0.3">
      <c r="A71" s="6" t="s">
        <v>855</v>
      </c>
      <c r="B71" s="7">
        <v>32</v>
      </c>
      <c r="C71" s="6" t="s">
        <v>856</v>
      </c>
    </row>
    <row r="72" spans="1:6" x14ac:dyDescent="0.3">
      <c r="A72" s="6" t="s">
        <v>857</v>
      </c>
      <c r="B72" s="7">
        <v>45</v>
      </c>
      <c r="C72" s="6" t="s">
        <v>858</v>
      </c>
    </row>
    <row r="73" spans="1:6" x14ac:dyDescent="0.3">
      <c r="A73" s="6" t="s">
        <v>859</v>
      </c>
      <c r="B73" s="7">
        <v>84.38</v>
      </c>
      <c r="C73" s="6" t="s">
        <v>860</v>
      </c>
    </row>
    <row r="74" spans="1:6" x14ac:dyDescent="0.3">
      <c r="A74" s="6" t="s">
        <v>861</v>
      </c>
      <c r="B74" s="7">
        <v>30</v>
      </c>
      <c r="C74" s="6" t="s">
        <v>860</v>
      </c>
    </row>
    <row r="75" spans="1:6" x14ac:dyDescent="0.3">
      <c r="A75" s="6" t="s">
        <v>862</v>
      </c>
      <c r="B75" s="7">
        <v>30</v>
      </c>
      <c r="C75" s="6" t="s">
        <v>860</v>
      </c>
    </row>
    <row r="76" spans="1:6" x14ac:dyDescent="0.3">
      <c r="A76" s="6" t="s">
        <v>863</v>
      </c>
      <c r="B76" s="7">
        <v>144.38</v>
      </c>
      <c r="C76" s="6" t="s">
        <v>860</v>
      </c>
    </row>
    <row r="77" spans="1:6" x14ac:dyDescent="0.3">
      <c r="A77" s="6" t="s">
        <v>864</v>
      </c>
      <c r="B77" s="7">
        <v>0.6</v>
      </c>
    </row>
    <row r="78" spans="1:6" x14ac:dyDescent="0.3">
      <c r="A78" s="6" t="s">
        <v>865</v>
      </c>
      <c r="B78" s="7">
        <v>240.63</v>
      </c>
      <c r="C78" s="6" t="s">
        <v>860</v>
      </c>
    </row>
    <row r="79" spans="1:6" x14ac:dyDescent="0.3">
      <c r="A79" s="6" t="s">
        <v>866</v>
      </c>
      <c r="B79" s="7">
        <v>0.48</v>
      </c>
      <c r="C79" s="6" t="s">
        <v>860</v>
      </c>
    </row>
    <row r="80" spans="1:6" x14ac:dyDescent="0.3">
      <c r="A80" s="10" t="s">
        <v>867</v>
      </c>
      <c r="B80" s="28">
        <f>SUM(B69:F69)</f>
        <v>45.33</v>
      </c>
      <c r="C80" s="6" t="s">
        <v>815</v>
      </c>
      <c r="D80" s="6" t="s">
        <v>868</v>
      </c>
    </row>
    <row r="82" spans="1:4" x14ac:dyDescent="0.3">
      <c r="A82" s="3" t="s">
        <v>869</v>
      </c>
      <c r="B82" s="4"/>
      <c r="C82" s="4"/>
      <c r="D82" s="4"/>
    </row>
    <row r="83" spans="1:4" ht="26.4" x14ac:dyDescent="0.3">
      <c r="A83" s="6" t="s">
        <v>870</v>
      </c>
      <c r="B83" s="6" t="s">
        <v>871</v>
      </c>
    </row>
    <row r="84" spans="1:4" x14ac:dyDescent="0.3">
      <c r="A84" s="6" t="s">
        <v>872</v>
      </c>
      <c r="B84" s="6" t="s">
        <v>873</v>
      </c>
      <c r="C84" s="6" t="s">
        <v>103</v>
      </c>
    </row>
    <row r="85" spans="1:4" x14ac:dyDescent="0.3">
      <c r="A85" s="6" t="s">
        <v>874</v>
      </c>
      <c r="B85" s="6" t="s">
        <v>875</v>
      </c>
      <c r="C85" s="6" t="s">
        <v>103</v>
      </c>
    </row>
    <row r="86" spans="1:4" x14ac:dyDescent="0.3">
      <c r="A86" s="6" t="s">
        <v>876</v>
      </c>
      <c r="B86" s="7">
        <v>0.19</v>
      </c>
      <c r="C86" s="6" t="s">
        <v>877</v>
      </c>
    </row>
    <row r="87" spans="1:4" x14ac:dyDescent="0.3">
      <c r="A87" s="6" t="s">
        <v>878</v>
      </c>
      <c r="B87" s="7">
        <v>302</v>
      </c>
    </row>
    <row r="88" spans="1:4" x14ac:dyDescent="0.3">
      <c r="A88" s="6" t="s">
        <v>879</v>
      </c>
      <c r="B88" s="13">
        <v>30000</v>
      </c>
      <c r="C88" s="6" t="s">
        <v>815</v>
      </c>
      <c r="D88" s="12"/>
    </row>
    <row r="89" spans="1:4" x14ac:dyDescent="0.3">
      <c r="A89" s="6" t="s">
        <v>880</v>
      </c>
      <c r="B89" s="7">
        <v>5</v>
      </c>
      <c r="C89" s="6" t="s">
        <v>881</v>
      </c>
    </row>
    <row r="90" spans="1:4" x14ac:dyDescent="0.3">
      <c r="A90" s="6" t="s">
        <v>882</v>
      </c>
      <c r="B90" s="7">
        <v>500</v>
      </c>
    </row>
    <row r="91" spans="1:4" x14ac:dyDescent="0.3">
      <c r="A91" s="6" t="s">
        <v>883</v>
      </c>
      <c r="B91" s="7">
        <v>60</v>
      </c>
    </row>
    <row r="92" spans="1:4" x14ac:dyDescent="0.3">
      <c r="A92" s="6" t="s">
        <v>884</v>
      </c>
      <c r="B92" s="7">
        <v>120</v>
      </c>
    </row>
    <row r="93" spans="1:4" x14ac:dyDescent="0.3">
      <c r="A93" s="6" t="s">
        <v>885</v>
      </c>
      <c r="B93" s="7">
        <v>20</v>
      </c>
    </row>
    <row r="94" spans="1:4" x14ac:dyDescent="0.3">
      <c r="A94" s="6" t="s">
        <v>886</v>
      </c>
      <c r="B94" s="7">
        <v>200</v>
      </c>
    </row>
    <row r="95" spans="1:4" x14ac:dyDescent="0.3">
      <c r="A95" s="6" t="s">
        <v>887</v>
      </c>
      <c r="B95" s="13">
        <v>30000</v>
      </c>
      <c r="C95" s="6"/>
      <c r="D95" s="12"/>
    </row>
    <row r="96" spans="1:4" x14ac:dyDescent="0.3">
      <c r="A96" s="6" t="s">
        <v>888</v>
      </c>
      <c r="B96" s="7">
        <v>0</v>
      </c>
      <c r="C96" s="6" t="s">
        <v>815</v>
      </c>
    </row>
    <row r="97" spans="1:4" x14ac:dyDescent="0.3">
      <c r="A97" s="6" t="s">
        <v>889</v>
      </c>
      <c r="B97" s="7">
        <v>6</v>
      </c>
    </row>
    <row r="98" spans="1:4" x14ac:dyDescent="0.3">
      <c r="A98" s="6" t="s">
        <v>890</v>
      </c>
      <c r="B98" s="7">
        <v>0.15</v>
      </c>
    </row>
    <row r="99" spans="1:4" x14ac:dyDescent="0.3">
      <c r="A99" s="6" t="s">
        <v>891</v>
      </c>
      <c r="B99" s="7">
        <v>65.010000000000005</v>
      </c>
      <c r="C99" s="6" t="s">
        <v>815</v>
      </c>
    </row>
    <row r="100" spans="1:4" x14ac:dyDescent="0.3">
      <c r="A100" s="6" t="s">
        <v>892</v>
      </c>
      <c r="B100" s="7">
        <v>0.16</v>
      </c>
      <c r="C100" s="6" t="s">
        <v>815</v>
      </c>
    </row>
    <row r="101" spans="1:4" x14ac:dyDescent="0.3">
      <c r="A101" s="6" t="s">
        <v>893</v>
      </c>
      <c r="B101" s="7">
        <v>0.48</v>
      </c>
      <c r="C101" s="6" t="s">
        <v>894</v>
      </c>
    </row>
    <row r="102" spans="1:4" x14ac:dyDescent="0.3">
      <c r="A102" s="6" t="s">
        <v>893</v>
      </c>
      <c r="B102" s="7">
        <v>5.16</v>
      </c>
      <c r="C102" s="6" t="s">
        <v>895</v>
      </c>
    </row>
    <row r="103" spans="1:4" x14ac:dyDescent="0.3">
      <c r="A103" s="6" t="s">
        <v>896</v>
      </c>
      <c r="B103" s="7">
        <v>15.49</v>
      </c>
      <c r="C103" s="6" t="s">
        <v>895</v>
      </c>
    </row>
    <row r="104" spans="1:4" x14ac:dyDescent="0.3">
      <c r="A104" s="6" t="s">
        <v>897</v>
      </c>
      <c r="B104" s="7">
        <v>20.83</v>
      </c>
      <c r="C104" s="6" t="s">
        <v>898</v>
      </c>
    </row>
    <row r="105" spans="1:4" x14ac:dyDescent="0.3">
      <c r="A105" s="6" t="s">
        <v>899</v>
      </c>
      <c r="B105" s="7">
        <v>2.69</v>
      </c>
      <c r="C105" s="6" t="s">
        <v>815</v>
      </c>
    </row>
    <row r="106" spans="1:4" x14ac:dyDescent="0.3">
      <c r="A106" s="10" t="s">
        <v>900</v>
      </c>
      <c r="B106" s="28">
        <f>B100+B105+B96</f>
        <v>2.85</v>
      </c>
      <c r="C106" s="6" t="s">
        <v>815</v>
      </c>
      <c r="D106" s="6" t="s">
        <v>901</v>
      </c>
    </row>
    <row r="108" spans="1:4" x14ac:dyDescent="0.3">
      <c r="A108" s="3" t="s">
        <v>902</v>
      </c>
      <c r="B108" s="4"/>
      <c r="C108" s="4"/>
      <c r="D108" s="4"/>
    </row>
    <row r="109" spans="1:4" x14ac:dyDescent="0.3">
      <c r="A109" s="6" t="s">
        <v>903</v>
      </c>
      <c r="B109" s="16">
        <v>0.98529999999999995</v>
      </c>
    </row>
    <row r="110" spans="1:4" x14ac:dyDescent="0.3">
      <c r="A110" s="6" t="s">
        <v>904</v>
      </c>
      <c r="B110" s="16">
        <v>0.98529999999999995</v>
      </c>
    </row>
    <row r="111" spans="1:4" x14ac:dyDescent="0.3">
      <c r="A111" s="6" t="s">
        <v>905</v>
      </c>
      <c r="B111" s="16">
        <v>0.79</v>
      </c>
    </row>
    <row r="112" spans="1:4" x14ac:dyDescent="0.3">
      <c r="A112" s="6" t="s">
        <v>906</v>
      </c>
      <c r="B112" s="16">
        <v>8.9499999999999996E-2</v>
      </c>
    </row>
    <row r="113" spans="1:4" x14ac:dyDescent="0.3">
      <c r="A113" s="6" t="s">
        <v>907</v>
      </c>
      <c r="B113" s="16">
        <v>1.9502999999999999</v>
      </c>
    </row>
    <row r="114" spans="1:4" x14ac:dyDescent="0.3">
      <c r="A114" s="6" t="s">
        <v>908</v>
      </c>
      <c r="B114" s="16">
        <v>6.5010000000000003</v>
      </c>
    </row>
    <row r="115" spans="1:4" ht="39.6" x14ac:dyDescent="0.3">
      <c r="A115" s="10" t="s">
        <v>909</v>
      </c>
      <c r="B115" s="18">
        <f>SUM(B110:B114)</f>
        <v>10.3161</v>
      </c>
      <c r="D115" s="6" t="s">
        <v>910</v>
      </c>
    </row>
    <row r="117" spans="1:4" x14ac:dyDescent="0.3">
      <c r="A117" s="3" t="s">
        <v>911</v>
      </c>
      <c r="B117" s="4"/>
      <c r="C117" s="4"/>
      <c r="D117" s="4"/>
    </row>
    <row r="118" spans="1:4" x14ac:dyDescent="0.3">
      <c r="A118" s="6" t="s">
        <v>752</v>
      </c>
      <c r="B118" s="28">
        <f>B42</f>
        <v>19.706399999999999</v>
      </c>
      <c r="C118" s="30">
        <f>B118/B122</f>
        <v>0.25199194399156033</v>
      </c>
    </row>
    <row r="119" spans="1:4" x14ac:dyDescent="0.3">
      <c r="A119" s="6" t="s">
        <v>641</v>
      </c>
      <c r="B119" s="28">
        <f>B80</f>
        <v>45.33</v>
      </c>
      <c r="C119" s="30">
        <f>B119/B122</f>
        <v>0.57964898820370192</v>
      </c>
    </row>
    <row r="120" spans="1:4" x14ac:dyDescent="0.3">
      <c r="A120" s="6" t="s">
        <v>912</v>
      </c>
      <c r="B120" s="28">
        <f>B106</f>
        <v>2.85</v>
      </c>
      <c r="C120" s="30">
        <f>B120/B122</f>
        <v>3.6443847703078548E-2</v>
      </c>
    </row>
    <row r="121" spans="1:4" x14ac:dyDescent="0.3">
      <c r="A121" s="6" t="s">
        <v>913</v>
      </c>
      <c r="B121" s="28">
        <f>B115</f>
        <v>10.3161</v>
      </c>
      <c r="C121" s="30">
        <f>B121/B122</f>
        <v>0.13191522010165915</v>
      </c>
    </row>
    <row r="122" spans="1:4" x14ac:dyDescent="0.3">
      <c r="A122" s="10" t="s">
        <v>914</v>
      </c>
      <c r="B122" s="28">
        <f>SUM(B118:B121)</f>
        <v>78.202500000000001</v>
      </c>
      <c r="D122" s="6" t="s">
        <v>915</v>
      </c>
    </row>
    <row r="124" spans="1:4" x14ac:dyDescent="0.3">
      <c r="A124" s="3" t="s">
        <v>916</v>
      </c>
      <c r="B124" s="4"/>
      <c r="C124" s="4"/>
      <c r="D124" s="4"/>
    </row>
    <row r="125" spans="1:4" x14ac:dyDescent="0.3">
      <c r="A125" s="6" t="s">
        <v>917</v>
      </c>
      <c r="B125" s="7">
        <v>100</v>
      </c>
      <c r="C125" s="6" t="s">
        <v>103</v>
      </c>
    </row>
    <row r="126" spans="1:4" x14ac:dyDescent="0.3">
      <c r="A126" s="6" t="s">
        <v>918</v>
      </c>
      <c r="B126" s="7">
        <v>5</v>
      </c>
      <c r="C126" s="6" t="s">
        <v>103</v>
      </c>
    </row>
    <row r="127" spans="1:4" x14ac:dyDescent="0.3">
      <c r="A127" s="6" t="s">
        <v>919</v>
      </c>
      <c r="B127" s="7">
        <v>1963.5</v>
      </c>
      <c r="C127" s="6" t="s">
        <v>801</v>
      </c>
    </row>
    <row r="128" spans="1:4" x14ac:dyDescent="0.3">
      <c r="A128" s="6" t="s">
        <v>920</v>
      </c>
      <c r="B128" s="7">
        <v>67</v>
      </c>
      <c r="C128" s="6" t="s">
        <v>103</v>
      </c>
    </row>
    <row r="129" spans="1:4" x14ac:dyDescent="0.3">
      <c r="A129" s="6" t="s">
        <v>921</v>
      </c>
      <c r="B129" s="7">
        <v>6</v>
      </c>
      <c r="C129" s="6" t="s">
        <v>103</v>
      </c>
    </row>
    <row r="130" spans="1:4" x14ac:dyDescent="0.3">
      <c r="A130" s="6" t="s">
        <v>922</v>
      </c>
      <c r="B130" s="7">
        <v>1894.38</v>
      </c>
      <c r="C130" s="6" t="s">
        <v>801</v>
      </c>
    </row>
    <row r="131" spans="1:4" x14ac:dyDescent="0.3">
      <c r="A131" s="6" t="s">
        <v>923</v>
      </c>
      <c r="B131" s="7">
        <v>20</v>
      </c>
      <c r="C131" s="6" t="s">
        <v>103</v>
      </c>
    </row>
    <row r="132" spans="1:4" x14ac:dyDescent="0.3">
      <c r="A132" s="6" t="s">
        <v>924</v>
      </c>
      <c r="B132" s="7">
        <v>4</v>
      </c>
      <c r="C132" s="6" t="s">
        <v>103</v>
      </c>
    </row>
    <row r="133" spans="1:4" x14ac:dyDescent="0.3">
      <c r="A133" s="6" t="s">
        <v>925</v>
      </c>
      <c r="B133" s="7">
        <v>1</v>
      </c>
    </row>
    <row r="134" spans="1:4" x14ac:dyDescent="0.3">
      <c r="A134" s="6" t="s">
        <v>926</v>
      </c>
      <c r="B134" s="7">
        <v>251.33</v>
      </c>
      <c r="C134" s="6" t="s">
        <v>801</v>
      </c>
    </row>
    <row r="135" spans="1:4" x14ac:dyDescent="0.3">
      <c r="A135" s="6" t="s">
        <v>927</v>
      </c>
      <c r="B135" s="7">
        <v>4109.2</v>
      </c>
      <c r="C135" s="6" t="s">
        <v>801</v>
      </c>
    </row>
    <row r="136" spans="1:4" x14ac:dyDescent="0.3">
      <c r="A136" s="6" t="s">
        <v>928</v>
      </c>
      <c r="B136" s="7">
        <v>2740</v>
      </c>
      <c r="C136" s="6" t="s">
        <v>929</v>
      </c>
    </row>
    <row r="137" spans="1:4" x14ac:dyDescent="0.3">
      <c r="A137" s="6" t="s">
        <v>930</v>
      </c>
      <c r="B137" s="7">
        <v>12</v>
      </c>
      <c r="C137" s="6" t="s">
        <v>101</v>
      </c>
    </row>
    <row r="139" spans="1:4" x14ac:dyDescent="0.3">
      <c r="A139" s="3" t="s">
        <v>931</v>
      </c>
      <c r="B139" s="4"/>
      <c r="C139" s="4"/>
      <c r="D139" s="4"/>
    </row>
    <row r="140" spans="1:4" x14ac:dyDescent="0.3">
      <c r="A140" s="6" t="s">
        <v>802</v>
      </c>
      <c r="B140" s="7">
        <v>1</v>
      </c>
    </row>
    <row r="141" spans="1:4" x14ac:dyDescent="0.3">
      <c r="A141" s="6" t="s">
        <v>932</v>
      </c>
      <c r="B141" s="7">
        <v>6897</v>
      </c>
      <c r="C141" s="6" t="s">
        <v>799</v>
      </c>
    </row>
    <row r="142" spans="1:4" x14ac:dyDescent="0.3">
      <c r="A142" s="6" t="s">
        <v>933</v>
      </c>
      <c r="B142" s="7">
        <v>2740</v>
      </c>
      <c r="C142" s="6" t="s">
        <v>799</v>
      </c>
    </row>
    <row r="143" spans="1:4" x14ac:dyDescent="0.3">
      <c r="A143" s="6" t="s">
        <v>934</v>
      </c>
      <c r="B143" s="7">
        <v>2</v>
      </c>
      <c r="C143" s="6" t="s">
        <v>103</v>
      </c>
    </row>
    <row r="144" spans="1:4" x14ac:dyDescent="0.3">
      <c r="A144" s="6" t="s">
        <v>935</v>
      </c>
      <c r="B144" s="7">
        <v>121</v>
      </c>
      <c r="C144" s="6" t="s">
        <v>103</v>
      </c>
    </row>
    <row r="145" spans="1:4" x14ac:dyDescent="0.3">
      <c r="A145" s="6" t="s">
        <v>936</v>
      </c>
      <c r="B145" s="7">
        <v>60.5</v>
      </c>
    </row>
    <row r="146" spans="1:4" x14ac:dyDescent="0.3">
      <c r="A146" s="6" t="s">
        <v>937</v>
      </c>
      <c r="B146" s="7">
        <v>400</v>
      </c>
      <c r="C146" s="6" t="s">
        <v>938</v>
      </c>
    </row>
    <row r="147" spans="1:4" x14ac:dyDescent="0.3">
      <c r="A147" s="6" t="s">
        <v>939</v>
      </c>
      <c r="B147" s="7">
        <v>1</v>
      </c>
    </row>
    <row r="148" spans="1:4" x14ac:dyDescent="0.3">
      <c r="A148" s="6" t="s">
        <v>940</v>
      </c>
      <c r="B148" s="7">
        <v>408</v>
      </c>
      <c r="C148" s="6" t="s">
        <v>941</v>
      </c>
    </row>
    <row r="149" spans="1:4" x14ac:dyDescent="0.3">
      <c r="A149" s="6" t="s">
        <v>942</v>
      </c>
      <c r="B149" s="7">
        <v>1.1000000000000001</v>
      </c>
    </row>
    <row r="150" spans="1:4" x14ac:dyDescent="0.3">
      <c r="A150" s="6" t="s">
        <v>943</v>
      </c>
      <c r="B150" s="7">
        <v>9637</v>
      </c>
      <c r="C150" s="6" t="s">
        <v>799</v>
      </c>
    </row>
    <row r="151" spans="1:4" x14ac:dyDescent="0.3">
      <c r="A151" s="6" t="s">
        <v>944</v>
      </c>
      <c r="B151" s="7">
        <v>43</v>
      </c>
      <c r="C151" s="6" t="s">
        <v>945</v>
      </c>
    </row>
    <row r="152" spans="1:4" ht="45.6" x14ac:dyDescent="0.3">
      <c r="A152" s="6" t="s">
        <v>946</v>
      </c>
      <c r="B152" s="7">
        <v>150</v>
      </c>
      <c r="C152" s="6" t="s">
        <v>945</v>
      </c>
      <c r="D152" s="12" t="s">
        <v>947</v>
      </c>
    </row>
    <row r="154" spans="1:4" x14ac:dyDescent="0.3">
      <c r="A154" s="3" t="s">
        <v>948</v>
      </c>
      <c r="B154" s="4"/>
      <c r="C154" s="4"/>
      <c r="D154" s="4"/>
    </row>
    <row r="155" spans="1:4" ht="26.4" x14ac:dyDescent="0.3">
      <c r="A155" s="6" t="s">
        <v>949</v>
      </c>
      <c r="B155" s="7">
        <v>427.2</v>
      </c>
      <c r="C155" s="6" t="s">
        <v>950</v>
      </c>
    </row>
    <row r="156" spans="1:4" x14ac:dyDescent="0.3">
      <c r="A156" s="6" t="s">
        <v>951</v>
      </c>
      <c r="B156" s="7">
        <v>4</v>
      </c>
      <c r="C156" s="6" t="s">
        <v>103</v>
      </c>
    </row>
    <row r="157" spans="1:4" x14ac:dyDescent="0.3">
      <c r="A157" s="6" t="s">
        <v>952</v>
      </c>
      <c r="B157" s="7">
        <v>290</v>
      </c>
      <c r="C157" s="6" t="s">
        <v>953</v>
      </c>
    </row>
    <row r="158" spans="1:4" x14ac:dyDescent="0.3">
      <c r="A158" s="6" t="s">
        <v>942</v>
      </c>
      <c r="B158" s="7">
        <v>1.1000000000000001</v>
      </c>
    </row>
    <row r="159" spans="1:4" x14ac:dyDescent="0.3">
      <c r="A159" s="6" t="s">
        <v>954</v>
      </c>
      <c r="B159" s="7">
        <v>56</v>
      </c>
      <c r="C159" s="6" t="s">
        <v>945</v>
      </c>
    </row>
    <row r="161" spans="1:4" x14ac:dyDescent="0.3">
      <c r="A161" s="3" t="s">
        <v>955</v>
      </c>
      <c r="B161" s="4"/>
      <c r="C161" s="4"/>
      <c r="D161" s="4"/>
    </row>
    <row r="162" spans="1:4" x14ac:dyDescent="0.3">
      <c r="A162" s="6" t="s">
        <v>956</v>
      </c>
      <c r="B162" s="7">
        <v>15</v>
      </c>
    </row>
    <row r="163" spans="1:4" x14ac:dyDescent="0.3">
      <c r="A163" s="6" t="s">
        <v>957</v>
      </c>
      <c r="B163" s="7">
        <v>1</v>
      </c>
    </row>
    <row r="164" spans="1:4" x14ac:dyDescent="0.3">
      <c r="A164" s="6" t="s">
        <v>958</v>
      </c>
      <c r="B164" s="7">
        <v>20</v>
      </c>
    </row>
    <row r="165" spans="1:4" x14ac:dyDescent="0.3">
      <c r="A165" s="6" t="s">
        <v>959</v>
      </c>
      <c r="B165" s="7">
        <v>8</v>
      </c>
    </row>
    <row r="166" spans="1:4" x14ac:dyDescent="0.3">
      <c r="A166" s="6" t="s">
        <v>960</v>
      </c>
      <c r="B166" s="7">
        <v>10</v>
      </c>
    </row>
    <row r="167" spans="1:4" x14ac:dyDescent="0.3">
      <c r="A167" s="6" t="s">
        <v>961</v>
      </c>
      <c r="B167" s="7">
        <v>15</v>
      </c>
    </row>
    <row r="168" spans="1:4" x14ac:dyDescent="0.3">
      <c r="A168" s="6" t="s">
        <v>962</v>
      </c>
      <c r="B168" s="7">
        <v>10</v>
      </c>
    </row>
    <row r="169" spans="1:4" x14ac:dyDescent="0.3">
      <c r="A169" s="6" t="s">
        <v>963</v>
      </c>
      <c r="B169" s="7">
        <v>0</v>
      </c>
    </row>
    <row r="170" spans="1:4" x14ac:dyDescent="0.3">
      <c r="A170" s="10" t="s">
        <v>964</v>
      </c>
      <c r="B170" s="6">
        <f>SUM(B162:B169)</f>
        <v>79</v>
      </c>
      <c r="C170" s="6" t="s">
        <v>611</v>
      </c>
    </row>
    <row r="171" spans="1:4" x14ac:dyDescent="0.3">
      <c r="A171" s="6" t="s">
        <v>965</v>
      </c>
      <c r="B171" s="7">
        <v>800</v>
      </c>
      <c r="C171" s="6" t="s">
        <v>856</v>
      </c>
    </row>
    <row r="172" spans="1:4" x14ac:dyDescent="0.3">
      <c r="A172" s="6" t="s">
        <v>807</v>
      </c>
      <c r="B172" s="7">
        <v>90</v>
      </c>
      <c r="C172" s="6" t="s">
        <v>101</v>
      </c>
    </row>
    <row r="174" spans="1:4" x14ac:dyDescent="0.3">
      <c r="A174" s="3" t="s">
        <v>966</v>
      </c>
      <c r="B174" s="4"/>
      <c r="C174" s="4"/>
      <c r="D174" s="4"/>
    </row>
    <row r="175" spans="1:4" x14ac:dyDescent="0.3">
      <c r="A175" s="5" t="s">
        <v>967</v>
      </c>
      <c r="B175" s="5" t="s">
        <v>968</v>
      </c>
      <c r="C175" s="5" t="s">
        <v>969</v>
      </c>
      <c r="D175" s="5" t="s">
        <v>970</v>
      </c>
    </row>
    <row r="176" spans="1:4" x14ac:dyDescent="0.3">
      <c r="A176" s="6" t="s">
        <v>971</v>
      </c>
      <c r="B176" s="31">
        <v>0.86</v>
      </c>
      <c r="C176" s="25">
        <v>223.6</v>
      </c>
      <c r="D176" s="28">
        <f t="shared" ref="D176:D182" si="0">B176*C176</f>
        <v>192.29599999999999</v>
      </c>
    </row>
    <row r="177" spans="1:6" x14ac:dyDescent="0.3">
      <c r="A177" s="6" t="s">
        <v>972</v>
      </c>
      <c r="B177" s="31">
        <v>0.03</v>
      </c>
      <c r="C177" s="25">
        <v>799.8</v>
      </c>
      <c r="D177" s="28">
        <f t="shared" si="0"/>
        <v>23.993999999999996</v>
      </c>
    </row>
    <row r="178" spans="1:6" x14ac:dyDescent="0.3">
      <c r="A178" s="6" t="s">
        <v>973</v>
      </c>
      <c r="B178" s="31">
        <v>0.01</v>
      </c>
      <c r="C178" s="25">
        <v>40</v>
      </c>
      <c r="D178" s="28">
        <f t="shared" si="0"/>
        <v>0.4</v>
      </c>
    </row>
    <row r="179" spans="1:6" x14ac:dyDescent="0.3">
      <c r="A179" s="6" t="s">
        <v>974</v>
      </c>
      <c r="B179" s="31">
        <v>5.0000000000000001E-4</v>
      </c>
      <c r="C179" s="25">
        <v>180.6</v>
      </c>
      <c r="D179" s="28">
        <f t="shared" si="0"/>
        <v>9.0300000000000005E-2</v>
      </c>
    </row>
    <row r="180" spans="1:6" x14ac:dyDescent="0.3">
      <c r="A180" s="6" t="s">
        <v>975</v>
      </c>
      <c r="B180" s="31">
        <v>2.9999999999999997E-4</v>
      </c>
      <c r="C180" s="25">
        <v>94.6</v>
      </c>
      <c r="D180" s="28">
        <f t="shared" si="0"/>
        <v>2.8379999999999996E-2</v>
      </c>
    </row>
    <row r="181" spans="1:6" x14ac:dyDescent="0.3">
      <c r="A181" s="6" t="s">
        <v>976</v>
      </c>
      <c r="B181" s="31">
        <v>2.9999999999999997E-4</v>
      </c>
      <c r="C181" s="25">
        <v>1308.06</v>
      </c>
      <c r="D181" s="28">
        <f t="shared" si="0"/>
        <v>0.39241799999999993</v>
      </c>
    </row>
    <row r="182" spans="1:6" x14ac:dyDescent="0.3">
      <c r="A182" s="6" t="s">
        <v>977</v>
      </c>
      <c r="B182" s="31">
        <v>0.1</v>
      </c>
      <c r="C182" s="25">
        <v>129</v>
      </c>
      <c r="D182" s="28">
        <f t="shared" si="0"/>
        <v>12.9</v>
      </c>
    </row>
    <row r="183" spans="1:6" ht="22.8" x14ac:dyDescent="0.3">
      <c r="A183" s="10" t="s">
        <v>978</v>
      </c>
      <c r="B183" s="20">
        <f>SUM(B176:B182)</f>
        <v>1.0010999999999999</v>
      </c>
      <c r="D183" s="28">
        <f>SUM(D176:D182)</f>
        <v>230.10109800000001</v>
      </c>
      <c r="E183" s="12" t="s">
        <v>979</v>
      </c>
    </row>
    <row r="185" spans="1:6" x14ac:dyDescent="0.3">
      <c r="A185" s="3" t="s">
        <v>980</v>
      </c>
      <c r="B185" s="4"/>
      <c r="C185" s="4"/>
      <c r="D185" s="4"/>
      <c r="E185" s="4"/>
      <c r="F185" s="4"/>
    </row>
    <row r="186" spans="1:6" x14ac:dyDescent="0.3">
      <c r="A186" s="6" t="s">
        <v>981</v>
      </c>
      <c r="B186" s="7">
        <v>260.5</v>
      </c>
      <c r="C186" s="6" t="s">
        <v>103</v>
      </c>
    </row>
    <row r="187" spans="1:6" x14ac:dyDescent="0.3">
      <c r="A187" s="6" t="s">
        <v>982</v>
      </c>
      <c r="B187" s="7">
        <v>228.5</v>
      </c>
      <c r="C187" s="6" t="s">
        <v>103</v>
      </c>
    </row>
    <row r="188" spans="1:6" x14ac:dyDescent="0.3">
      <c r="A188" s="6" t="s">
        <v>983</v>
      </c>
      <c r="B188" s="6" t="s">
        <v>984</v>
      </c>
      <c r="C188" s="6" t="s">
        <v>103</v>
      </c>
    </row>
    <row r="189" spans="1:6" x14ac:dyDescent="0.3">
      <c r="A189" s="6" t="s">
        <v>985</v>
      </c>
      <c r="B189" s="7">
        <v>0</v>
      </c>
    </row>
    <row r="190" spans="1:6" x14ac:dyDescent="0.3">
      <c r="A190" s="6" t="s">
        <v>802</v>
      </c>
      <c r="B190" s="7">
        <v>1</v>
      </c>
    </row>
    <row r="191" spans="1:6" x14ac:dyDescent="0.3">
      <c r="A191" s="6" t="s">
        <v>986</v>
      </c>
      <c r="B191" s="13">
        <v>150000</v>
      </c>
      <c r="C191" s="6" t="s">
        <v>987</v>
      </c>
      <c r="D191" s="12"/>
    </row>
    <row r="192" spans="1:6" x14ac:dyDescent="0.3">
      <c r="A192" s="6" t="s">
        <v>988</v>
      </c>
      <c r="B192" s="7">
        <v>0.2</v>
      </c>
    </row>
    <row r="193" spans="1:6" x14ac:dyDescent="0.3">
      <c r="A193" s="6" t="s">
        <v>989</v>
      </c>
      <c r="B193" s="7">
        <v>1</v>
      </c>
    </row>
    <row r="194" spans="1:6" x14ac:dyDescent="0.3">
      <c r="A194" s="5" t="s">
        <v>990</v>
      </c>
      <c r="B194" s="5" t="s">
        <v>991</v>
      </c>
      <c r="C194" s="5" t="s">
        <v>992</v>
      </c>
      <c r="D194" s="5" t="s">
        <v>993</v>
      </c>
      <c r="E194" s="5" t="s">
        <v>544</v>
      </c>
      <c r="F194" s="5" t="s">
        <v>994</v>
      </c>
    </row>
    <row r="195" spans="1:6" x14ac:dyDescent="0.3">
      <c r="A195" s="6" t="s">
        <v>995</v>
      </c>
      <c r="B195" s="7">
        <v>260.5</v>
      </c>
      <c r="C195" s="7">
        <v>228.5</v>
      </c>
      <c r="D195" s="7">
        <v>125</v>
      </c>
      <c r="E195" s="7">
        <v>1</v>
      </c>
      <c r="F195" s="7">
        <v>58.41</v>
      </c>
    </row>
    <row r="196" spans="1:6" x14ac:dyDescent="0.3">
      <c r="A196" s="6" t="s">
        <v>996</v>
      </c>
      <c r="B196" s="7">
        <v>260.5</v>
      </c>
      <c r="C196" s="7">
        <v>228.5</v>
      </c>
      <c r="D196" s="7">
        <v>125</v>
      </c>
      <c r="E196" s="7">
        <v>1</v>
      </c>
      <c r="F196" s="7">
        <v>58.41</v>
      </c>
    </row>
    <row r="197" spans="1:6" x14ac:dyDescent="0.3">
      <c r="A197" s="6" t="s">
        <v>997</v>
      </c>
      <c r="B197" s="7">
        <v>260.5</v>
      </c>
      <c r="C197" s="7">
        <v>228.5</v>
      </c>
      <c r="D197" s="7">
        <v>45</v>
      </c>
      <c r="E197" s="7">
        <v>1</v>
      </c>
      <c r="F197" s="7">
        <v>21.03</v>
      </c>
    </row>
    <row r="198" spans="1:6" x14ac:dyDescent="0.3">
      <c r="A198" s="6" t="s">
        <v>998</v>
      </c>
      <c r="B198" s="7">
        <v>260.5</v>
      </c>
      <c r="C198" s="7">
        <v>278.5</v>
      </c>
      <c r="D198" s="7">
        <v>25</v>
      </c>
      <c r="E198" s="7">
        <v>1</v>
      </c>
      <c r="F198" s="7">
        <v>14.24</v>
      </c>
    </row>
    <row r="199" spans="1:6" x14ac:dyDescent="0.3">
      <c r="A199" s="6" t="s">
        <v>999</v>
      </c>
      <c r="B199" s="7">
        <v>260.5</v>
      </c>
      <c r="C199" s="7">
        <v>278.5</v>
      </c>
      <c r="D199" s="7">
        <v>25</v>
      </c>
      <c r="E199" s="7">
        <v>1</v>
      </c>
      <c r="F199" s="7">
        <v>14.24</v>
      </c>
    </row>
    <row r="200" spans="1:6" x14ac:dyDescent="0.3">
      <c r="A200" s="6" t="s">
        <v>1000</v>
      </c>
      <c r="B200" s="7">
        <v>260.5</v>
      </c>
      <c r="C200" s="7">
        <v>198.5</v>
      </c>
      <c r="D200" s="7">
        <v>25</v>
      </c>
      <c r="E200" s="7">
        <v>1</v>
      </c>
      <c r="F200" s="7">
        <v>10.15</v>
      </c>
    </row>
    <row r="201" spans="1:6" x14ac:dyDescent="0.3">
      <c r="A201" s="6" t="s">
        <v>1001</v>
      </c>
      <c r="B201" s="7">
        <v>260.5</v>
      </c>
      <c r="C201" s="7">
        <v>198.5</v>
      </c>
      <c r="D201" s="7">
        <v>30</v>
      </c>
      <c r="E201" s="7">
        <v>1</v>
      </c>
      <c r="F201" s="7">
        <v>12.18</v>
      </c>
    </row>
    <row r="202" spans="1:6" x14ac:dyDescent="0.3">
      <c r="A202" s="6" t="s">
        <v>1002</v>
      </c>
      <c r="B202" s="7">
        <v>260.5</v>
      </c>
      <c r="C202" s="7">
        <v>80</v>
      </c>
      <c r="D202" s="7">
        <v>180</v>
      </c>
      <c r="E202" s="7">
        <v>2</v>
      </c>
      <c r="F202" s="7">
        <v>58.89</v>
      </c>
    </row>
    <row r="203" spans="1:6" x14ac:dyDescent="0.3">
      <c r="A203" s="6" t="s">
        <v>1003</v>
      </c>
      <c r="B203" s="7">
        <v>241</v>
      </c>
      <c r="C203" s="7">
        <v>177</v>
      </c>
      <c r="D203" s="7">
        <v>85</v>
      </c>
      <c r="E203" s="7">
        <v>0</v>
      </c>
      <c r="F203" s="7">
        <v>0</v>
      </c>
    </row>
    <row r="204" spans="1:6" x14ac:dyDescent="0.3">
      <c r="A204" s="6" t="s">
        <v>1004</v>
      </c>
      <c r="B204" s="7">
        <v>241</v>
      </c>
      <c r="C204" s="7">
        <v>177</v>
      </c>
      <c r="D204" s="7">
        <v>85</v>
      </c>
      <c r="E204" s="7">
        <v>0</v>
      </c>
      <c r="F204" s="7">
        <v>0</v>
      </c>
    </row>
    <row r="205" spans="1:6" x14ac:dyDescent="0.3">
      <c r="A205" s="6" t="s">
        <v>1005</v>
      </c>
      <c r="B205" s="7">
        <v>400</v>
      </c>
      <c r="C205" s="7">
        <v>400</v>
      </c>
      <c r="D205" s="7">
        <v>200</v>
      </c>
      <c r="E205" s="7">
        <v>0</v>
      </c>
      <c r="F205" s="7">
        <v>0</v>
      </c>
    </row>
    <row r="207" spans="1:6" x14ac:dyDescent="0.3">
      <c r="A207" s="5" t="s">
        <v>1006</v>
      </c>
      <c r="B207" s="5" t="s">
        <v>117</v>
      </c>
      <c r="C207" s="5" t="s">
        <v>1007</v>
      </c>
      <c r="D207" s="5" t="s">
        <v>994</v>
      </c>
      <c r="E207" s="5" t="s">
        <v>1008</v>
      </c>
    </row>
    <row r="208" spans="1:6" x14ac:dyDescent="0.3">
      <c r="A208" s="6" t="s">
        <v>1009</v>
      </c>
      <c r="B208" s="6" t="s">
        <v>1010</v>
      </c>
      <c r="C208" s="7">
        <v>120</v>
      </c>
      <c r="D208" s="7">
        <v>273</v>
      </c>
      <c r="E208" s="15">
        <f t="shared" ref="E208:E213" si="1">C208*D208</f>
        <v>32760</v>
      </c>
    </row>
    <row r="209" spans="1:5" x14ac:dyDescent="0.3">
      <c r="A209" s="6" t="s">
        <v>1011</v>
      </c>
      <c r="B209" s="6" t="s">
        <v>1012</v>
      </c>
      <c r="C209" s="7">
        <v>1000</v>
      </c>
      <c r="D209" s="7">
        <v>25</v>
      </c>
      <c r="E209" s="15">
        <f t="shared" si="1"/>
        <v>25000</v>
      </c>
    </row>
    <row r="210" spans="1:5" x14ac:dyDescent="0.3">
      <c r="A210" s="6" t="s">
        <v>1013</v>
      </c>
      <c r="B210" s="6" t="s">
        <v>1014</v>
      </c>
      <c r="C210" s="7">
        <v>750</v>
      </c>
      <c r="D210" s="7">
        <v>0</v>
      </c>
      <c r="E210" s="15">
        <f t="shared" si="1"/>
        <v>0</v>
      </c>
    </row>
    <row r="211" spans="1:5" x14ac:dyDescent="0.3">
      <c r="A211" s="6" t="s">
        <v>1015</v>
      </c>
      <c r="B211" s="6" t="s">
        <v>1014</v>
      </c>
      <c r="C211" s="7">
        <v>750</v>
      </c>
      <c r="D211" s="7">
        <v>0</v>
      </c>
      <c r="E211" s="15">
        <f t="shared" si="1"/>
        <v>0</v>
      </c>
    </row>
    <row r="212" spans="1:5" x14ac:dyDescent="0.3">
      <c r="A212" s="6" t="s">
        <v>1016</v>
      </c>
      <c r="B212" s="6" t="s">
        <v>1014</v>
      </c>
      <c r="C212" s="7">
        <v>750</v>
      </c>
      <c r="D212" s="7">
        <v>0</v>
      </c>
      <c r="E212" s="15">
        <f t="shared" si="1"/>
        <v>0</v>
      </c>
    </row>
    <row r="213" spans="1:5" x14ac:dyDescent="0.3">
      <c r="A213" s="6" t="s">
        <v>1017</v>
      </c>
      <c r="B213" s="6" t="s">
        <v>131</v>
      </c>
      <c r="C213" s="7">
        <v>1</v>
      </c>
      <c r="D213" s="7">
        <v>150000</v>
      </c>
      <c r="E213" s="15">
        <f t="shared" si="1"/>
        <v>150000</v>
      </c>
    </row>
    <row r="214" spans="1:5" x14ac:dyDescent="0.3">
      <c r="D214" s="10" t="s">
        <v>1018</v>
      </c>
      <c r="E214" s="15">
        <f>SUM(E208:E213)</f>
        <v>207760</v>
      </c>
    </row>
    <row r="216" spans="1:5" x14ac:dyDescent="0.3">
      <c r="A216" s="5" t="s">
        <v>1019</v>
      </c>
      <c r="B216" s="5" t="s">
        <v>1020</v>
      </c>
      <c r="C216" s="5" t="s">
        <v>1021</v>
      </c>
      <c r="D216" s="5" t="s">
        <v>1022</v>
      </c>
      <c r="E216" s="5" t="s">
        <v>1008</v>
      </c>
    </row>
    <row r="217" spans="1:5" x14ac:dyDescent="0.3">
      <c r="A217" s="6" t="s">
        <v>1023</v>
      </c>
      <c r="B217" s="13">
        <v>400</v>
      </c>
      <c r="C217" s="7">
        <v>12</v>
      </c>
      <c r="D217" s="7">
        <v>12</v>
      </c>
      <c r="E217" s="13">
        <v>9600</v>
      </c>
    </row>
    <row r="218" spans="1:5" x14ac:dyDescent="0.3">
      <c r="A218" s="6" t="s">
        <v>1024</v>
      </c>
      <c r="B218" s="13">
        <v>500</v>
      </c>
      <c r="C218" s="7">
        <v>50</v>
      </c>
      <c r="D218" s="7">
        <v>50</v>
      </c>
      <c r="E218" s="13">
        <v>50000</v>
      </c>
    </row>
    <row r="219" spans="1:5" x14ac:dyDescent="0.3">
      <c r="A219" s="6" t="s">
        <v>1025</v>
      </c>
      <c r="B219" s="13">
        <v>500</v>
      </c>
      <c r="C219" s="7">
        <v>15</v>
      </c>
      <c r="D219" s="7">
        <v>15</v>
      </c>
      <c r="E219" s="13">
        <v>15000</v>
      </c>
    </row>
    <row r="220" spans="1:5" x14ac:dyDescent="0.3">
      <c r="A220" s="6" t="s">
        <v>1026</v>
      </c>
      <c r="B220" s="13">
        <v>500</v>
      </c>
      <c r="C220" s="6"/>
      <c r="D220" s="7">
        <v>0</v>
      </c>
      <c r="E220" s="13">
        <v>0</v>
      </c>
    </row>
    <row r="221" spans="1:5" x14ac:dyDescent="0.3">
      <c r="A221" s="6" t="s">
        <v>1027</v>
      </c>
      <c r="B221" s="13">
        <v>500</v>
      </c>
      <c r="C221" s="7">
        <v>5</v>
      </c>
      <c r="D221" s="7">
        <v>5</v>
      </c>
      <c r="E221" s="13">
        <v>5000</v>
      </c>
    </row>
    <row r="222" spans="1:5" x14ac:dyDescent="0.3">
      <c r="A222" s="6" t="s">
        <v>1028</v>
      </c>
      <c r="B222" s="13">
        <v>400</v>
      </c>
      <c r="C222" s="7">
        <v>42</v>
      </c>
      <c r="D222" s="7">
        <v>42</v>
      </c>
      <c r="E222" s="13">
        <v>33600</v>
      </c>
    </row>
    <row r="223" spans="1:5" x14ac:dyDescent="0.3">
      <c r="A223" s="6" t="s">
        <v>1029</v>
      </c>
      <c r="B223" s="13">
        <v>400</v>
      </c>
      <c r="C223" s="7">
        <v>5</v>
      </c>
      <c r="D223" s="7">
        <v>50</v>
      </c>
      <c r="E223" s="13">
        <v>22000</v>
      </c>
    </row>
    <row r="224" spans="1:5" x14ac:dyDescent="0.3">
      <c r="A224" s="6" t="s">
        <v>1030</v>
      </c>
      <c r="B224" s="13">
        <v>400</v>
      </c>
      <c r="C224" s="7">
        <v>12</v>
      </c>
      <c r="D224" s="7">
        <v>12</v>
      </c>
      <c r="E224" s="13">
        <v>9600</v>
      </c>
    </row>
    <row r="225" spans="1:6" x14ac:dyDescent="0.3">
      <c r="A225" s="6" t="s">
        <v>1031</v>
      </c>
      <c r="B225" s="13">
        <v>500</v>
      </c>
      <c r="C225" s="7">
        <v>8</v>
      </c>
      <c r="D225" s="7">
        <v>8</v>
      </c>
      <c r="E225" s="13">
        <v>8000</v>
      </c>
    </row>
    <row r="226" spans="1:6" x14ac:dyDescent="0.3">
      <c r="A226" s="6" t="s">
        <v>1032</v>
      </c>
      <c r="B226" s="13">
        <v>400</v>
      </c>
      <c r="C226" s="6"/>
      <c r="D226" s="7">
        <v>50</v>
      </c>
      <c r="E226" s="13">
        <v>20000</v>
      </c>
    </row>
    <row r="227" spans="1:6" x14ac:dyDescent="0.3">
      <c r="A227" s="6" t="s">
        <v>1033</v>
      </c>
      <c r="B227" s="15"/>
      <c r="C227" s="6"/>
      <c r="D227" s="6"/>
      <c r="E227" s="13">
        <v>0</v>
      </c>
    </row>
    <row r="228" spans="1:6" x14ac:dyDescent="0.3">
      <c r="A228" s="6" t="s">
        <v>1034</v>
      </c>
      <c r="B228" s="13">
        <v>225</v>
      </c>
      <c r="C228" s="6"/>
      <c r="D228" s="6"/>
      <c r="E228" s="13">
        <v>0</v>
      </c>
    </row>
    <row r="229" spans="1:6" x14ac:dyDescent="0.3">
      <c r="A229" s="6" t="s">
        <v>1035</v>
      </c>
      <c r="B229" s="13">
        <v>10000</v>
      </c>
      <c r="C229" s="7">
        <v>3</v>
      </c>
      <c r="D229" s="6"/>
      <c r="E229" s="13">
        <v>30000</v>
      </c>
    </row>
    <row r="230" spans="1:6" x14ac:dyDescent="0.3">
      <c r="D230" s="10" t="s">
        <v>1036</v>
      </c>
      <c r="E230" s="15">
        <f>SUM(E217:E229)</f>
        <v>202800</v>
      </c>
    </row>
    <row r="232" spans="1:6" x14ac:dyDescent="0.3">
      <c r="A232" s="5" t="s">
        <v>1037</v>
      </c>
      <c r="B232" s="5" t="s">
        <v>1038</v>
      </c>
      <c r="C232" s="5"/>
      <c r="D232" s="5"/>
      <c r="E232" s="5" t="s">
        <v>1008</v>
      </c>
    </row>
    <row r="233" spans="1:6" x14ac:dyDescent="0.3">
      <c r="A233" s="6" t="s">
        <v>1039</v>
      </c>
      <c r="B233" s="17">
        <v>0.1</v>
      </c>
      <c r="E233" s="15">
        <f>B233*(E214+E230)</f>
        <v>41056</v>
      </c>
    </row>
    <row r="234" spans="1:6" x14ac:dyDescent="0.3">
      <c r="A234" s="6" t="s">
        <v>1040</v>
      </c>
      <c r="B234" s="17">
        <v>0.1</v>
      </c>
      <c r="E234" s="15">
        <f>B234*(E214+E230)</f>
        <v>41056</v>
      </c>
    </row>
    <row r="235" spans="1:6" x14ac:dyDescent="0.3">
      <c r="A235" s="6" t="s">
        <v>1041</v>
      </c>
      <c r="B235" s="7">
        <v>360</v>
      </c>
      <c r="E235" s="13">
        <v>18000</v>
      </c>
    </row>
    <row r="236" spans="1:6" x14ac:dyDescent="0.3">
      <c r="A236" s="10" t="s">
        <v>1042</v>
      </c>
      <c r="E236" s="15">
        <f>E214+E230+SUM(E233:E235)</f>
        <v>510672</v>
      </c>
      <c r="F236" s="6" t="s">
        <v>1043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1"/>
  <sheetViews>
    <sheetView showGridLines="0" workbookViewId="0"/>
  </sheetViews>
  <sheetFormatPr defaultRowHeight="14.4" x14ac:dyDescent="0.3"/>
  <cols>
    <col min="1" max="1" width="30" customWidth="1"/>
    <col min="2" max="2" width="18" customWidth="1"/>
    <col min="3" max="3" width="26" customWidth="1"/>
    <col min="4" max="4" width="12" customWidth="1"/>
    <col min="5" max="5" width="10" customWidth="1"/>
    <col min="6" max="6" width="8" customWidth="1"/>
    <col min="7" max="7" width="14" customWidth="1"/>
    <col min="8" max="9" width="12" customWidth="1"/>
    <col min="10" max="11" width="10" customWidth="1"/>
  </cols>
  <sheetData>
    <row r="1" spans="1:11" ht="17.399999999999999" x14ac:dyDescent="0.3">
      <c r="A1" s="1" t="s">
        <v>1044</v>
      </c>
    </row>
    <row r="2" spans="1:11" x14ac:dyDescent="0.3">
      <c r="A2" s="2" t="s">
        <v>1045</v>
      </c>
    </row>
    <row r="4" spans="1:11" ht="26.4" x14ac:dyDescent="0.3">
      <c r="A4" s="5" t="s">
        <v>715</v>
      </c>
      <c r="B4" s="5" t="s">
        <v>122</v>
      </c>
      <c r="C4" s="5" t="s">
        <v>123</v>
      </c>
      <c r="D4" s="5" t="s">
        <v>125</v>
      </c>
      <c r="E4" s="5" t="s">
        <v>126</v>
      </c>
      <c r="F4" s="5" t="s">
        <v>1046</v>
      </c>
      <c r="G4" s="5" t="s">
        <v>1047</v>
      </c>
      <c r="H4" s="5" t="s">
        <v>1048</v>
      </c>
    </row>
    <row r="5" spans="1:11" x14ac:dyDescent="0.3">
      <c r="A5" s="7">
        <v>1</v>
      </c>
      <c r="B5" s="6" t="s">
        <v>135</v>
      </c>
      <c r="C5" s="6" t="s">
        <v>136</v>
      </c>
      <c r="D5" s="6" t="s">
        <v>137</v>
      </c>
      <c r="E5" s="7">
        <v>1</v>
      </c>
      <c r="F5" s="6" t="s">
        <v>133</v>
      </c>
      <c r="G5" s="7">
        <v>505.93</v>
      </c>
      <c r="H5" s="28">
        <f>E5*G5</f>
        <v>505.93</v>
      </c>
    </row>
    <row r="6" spans="1:11" x14ac:dyDescent="0.3">
      <c r="A6" s="7">
        <v>2</v>
      </c>
      <c r="B6" s="6" t="s">
        <v>138</v>
      </c>
      <c r="C6" s="6" t="s">
        <v>139</v>
      </c>
      <c r="D6" s="6" t="s">
        <v>140</v>
      </c>
      <c r="E6" s="7">
        <v>1</v>
      </c>
      <c r="F6" s="6" t="s">
        <v>133</v>
      </c>
      <c r="G6" s="7">
        <v>87.49</v>
      </c>
      <c r="H6" s="28">
        <f>E6*G6</f>
        <v>87.49</v>
      </c>
    </row>
    <row r="7" spans="1:11" x14ac:dyDescent="0.3">
      <c r="A7" s="7">
        <v>3</v>
      </c>
      <c r="B7" s="6" t="s">
        <v>141</v>
      </c>
      <c r="C7" s="6" t="s">
        <v>142</v>
      </c>
      <c r="D7" s="6" t="s">
        <v>144</v>
      </c>
      <c r="E7" s="7">
        <v>1</v>
      </c>
      <c r="F7" s="6" t="s">
        <v>133</v>
      </c>
      <c r="G7" s="7">
        <v>78.180000000000007</v>
      </c>
      <c r="H7" s="28">
        <f>E7*G7</f>
        <v>78.180000000000007</v>
      </c>
    </row>
    <row r="8" spans="1:11" x14ac:dyDescent="0.3">
      <c r="A8" s="7">
        <v>4</v>
      </c>
      <c r="B8" s="6" t="s">
        <v>1049</v>
      </c>
      <c r="C8" s="6" t="s">
        <v>1050</v>
      </c>
      <c r="D8" s="6" t="s">
        <v>147</v>
      </c>
      <c r="E8" s="7">
        <v>108</v>
      </c>
      <c r="F8" s="6" t="s">
        <v>111</v>
      </c>
      <c r="G8" s="7">
        <v>5.5899999999999998E-2</v>
      </c>
      <c r="H8" s="28">
        <f>E8*G8</f>
        <v>6.0371999999999995</v>
      </c>
    </row>
    <row r="9" spans="1:11" ht="26.4" x14ac:dyDescent="0.3">
      <c r="G9" s="10" t="s">
        <v>1051</v>
      </c>
      <c r="H9" s="28">
        <f>SUM(H5:H8)</f>
        <v>677.63719999999989</v>
      </c>
    </row>
    <row r="11" spans="1:11" ht="26.4" x14ac:dyDescent="0.3">
      <c r="A11" s="5" t="s">
        <v>1052</v>
      </c>
      <c r="B11" s="5" t="s">
        <v>170</v>
      </c>
      <c r="C11" s="5" t="s">
        <v>126</v>
      </c>
      <c r="D11" s="5" t="s">
        <v>1053</v>
      </c>
      <c r="E11" s="5" t="s">
        <v>1054</v>
      </c>
      <c r="F11" s="5" t="s">
        <v>629</v>
      </c>
      <c r="G11" s="5" t="s">
        <v>1055</v>
      </c>
      <c r="H11" s="5" t="s">
        <v>1020</v>
      </c>
      <c r="I11" s="5" t="s">
        <v>1056</v>
      </c>
      <c r="J11" s="5" t="s">
        <v>1057</v>
      </c>
      <c r="K11" s="5" t="s">
        <v>1058</v>
      </c>
    </row>
    <row r="12" spans="1:11" x14ac:dyDescent="0.3">
      <c r="A12" s="6" t="s">
        <v>1059</v>
      </c>
      <c r="B12" s="6" t="s">
        <v>178</v>
      </c>
      <c r="C12" s="7">
        <v>1</v>
      </c>
      <c r="D12" s="7">
        <v>10</v>
      </c>
      <c r="E12" s="7">
        <v>30</v>
      </c>
      <c r="F12" s="7">
        <v>500</v>
      </c>
      <c r="G12" s="7">
        <v>149.63999999999999</v>
      </c>
      <c r="H12" s="7">
        <v>0</v>
      </c>
      <c r="I12" s="28">
        <f t="shared" ref="I12:I18" si="0">C12*D12/3600*(G12+H12)</f>
        <v>0.41566666666666663</v>
      </c>
      <c r="J12" s="28">
        <f t="shared" ref="J12:J18" si="1">E12/60*(G12+H12)/F12</f>
        <v>0.14964</v>
      </c>
      <c r="K12" s="28">
        <f t="shared" ref="K12:K18" si="2">I12+J12</f>
        <v>0.56530666666666662</v>
      </c>
    </row>
    <row r="13" spans="1:11" x14ac:dyDescent="0.3">
      <c r="A13" s="6" t="s">
        <v>1060</v>
      </c>
      <c r="B13" s="6" t="s">
        <v>178</v>
      </c>
      <c r="C13" s="7">
        <v>1</v>
      </c>
      <c r="D13" s="7">
        <v>15</v>
      </c>
      <c r="E13" s="7">
        <v>30</v>
      </c>
      <c r="F13" s="7">
        <v>500</v>
      </c>
      <c r="G13" s="7">
        <v>149.63999999999999</v>
      </c>
      <c r="H13" s="7">
        <v>0</v>
      </c>
      <c r="I13" s="28">
        <f t="shared" si="0"/>
        <v>0.62349999999999994</v>
      </c>
      <c r="J13" s="28">
        <f t="shared" si="1"/>
        <v>0.14964</v>
      </c>
      <c r="K13" s="28">
        <f t="shared" si="2"/>
        <v>0.77313999999999994</v>
      </c>
    </row>
    <row r="14" spans="1:11" x14ac:dyDescent="0.3">
      <c r="A14" s="6" t="s">
        <v>1061</v>
      </c>
      <c r="B14" s="6" t="s">
        <v>178</v>
      </c>
      <c r="C14" s="7">
        <v>1</v>
      </c>
      <c r="D14" s="7">
        <v>0</v>
      </c>
      <c r="E14" s="7">
        <v>60</v>
      </c>
      <c r="F14" s="7">
        <v>500</v>
      </c>
      <c r="G14" s="7">
        <v>149.63999999999999</v>
      </c>
      <c r="H14" s="7">
        <v>0</v>
      </c>
      <c r="I14" s="28">
        <f t="shared" si="0"/>
        <v>0</v>
      </c>
      <c r="J14" s="28">
        <f t="shared" si="1"/>
        <v>0.29927999999999999</v>
      </c>
      <c r="K14" s="28">
        <f t="shared" si="2"/>
        <v>0.29927999999999999</v>
      </c>
    </row>
    <row r="15" spans="1:11" x14ac:dyDescent="0.3">
      <c r="A15" s="6" t="s">
        <v>1062</v>
      </c>
      <c r="B15" s="6" t="s">
        <v>1063</v>
      </c>
      <c r="C15" s="7">
        <v>1</v>
      </c>
      <c r="D15" s="7">
        <v>0</v>
      </c>
      <c r="E15" s="7">
        <v>20</v>
      </c>
      <c r="F15" s="7">
        <v>500</v>
      </c>
      <c r="G15" s="7">
        <v>149.63999999999999</v>
      </c>
      <c r="H15" s="7">
        <v>80</v>
      </c>
      <c r="I15" s="28">
        <f t="shared" si="0"/>
        <v>0</v>
      </c>
      <c r="J15" s="28">
        <f t="shared" si="1"/>
        <v>0.1530933333333333</v>
      </c>
      <c r="K15" s="28">
        <f t="shared" si="2"/>
        <v>0.1530933333333333</v>
      </c>
    </row>
    <row r="16" spans="1:11" x14ac:dyDescent="0.3">
      <c r="A16" s="6" t="s">
        <v>1064</v>
      </c>
      <c r="B16" s="6" t="s">
        <v>178</v>
      </c>
      <c r="C16" s="7">
        <v>1</v>
      </c>
      <c r="D16" s="7">
        <v>5</v>
      </c>
      <c r="E16" s="7">
        <v>30</v>
      </c>
      <c r="F16" s="7">
        <v>500</v>
      </c>
      <c r="G16" s="7">
        <v>149.63999999999999</v>
      </c>
      <c r="H16" s="7">
        <v>0</v>
      </c>
      <c r="I16" s="28">
        <f t="shared" si="0"/>
        <v>0.20783333333333331</v>
      </c>
      <c r="J16" s="28">
        <f t="shared" si="1"/>
        <v>0.14964</v>
      </c>
      <c r="K16" s="28">
        <f t="shared" si="2"/>
        <v>0.35747333333333331</v>
      </c>
    </row>
    <row r="17" spans="1:11" x14ac:dyDescent="0.3">
      <c r="A17" s="6" t="s">
        <v>1065</v>
      </c>
      <c r="B17" s="6" t="s">
        <v>1066</v>
      </c>
      <c r="C17" s="7">
        <v>1</v>
      </c>
      <c r="D17" s="7">
        <v>60</v>
      </c>
      <c r="E17" s="7">
        <v>30</v>
      </c>
      <c r="F17" s="7">
        <v>500</v>
      </c>
      <c r="G17" s="7">
        <v>149.63999999999999</v>
      </c>
      <c r="H17" s="7">
        <v>120</v>
      </c>
      <c r="I17" s="28">
        <f t="shared" si="0"/>
        <v>4.4939999999999998</v>
      </c>
      <c r="J17" s="28">
        <f t="shared" si="1"/>
        <v>0.26963999999999999</v>
      </c>
      <c r="K17" s="28">
        <f t="shared" si="2"/>
        <v>4.7636399999999997</v>
      </c>
    </row>
    <row r="18" spans="1:11" x14ac:dyDescent="0.3">
      <c r="A18" s="6" t="s">
        <v>1067</v>
      </c>
      <c r="B18" s="6" t="s">
        <v>178</v>
      </c>
      <c r="C18" s="7">
        <v>1</v>
      </c>
      <c r="D18" s="7">
        <v>10</v>
      </c>
      <c r="E18" s="7">
        <v>0</v>
      </c>
      <c r="F18" s="7">
        <v>500</v>
      </c>
      <c r="G18" s="7">
        <v>149.63999999999999</v>
      </c>
      <c r="H18" s="7">
        <v>120</v>
      </c>
      <c r="I18" s="28">
        <f t="shared" si="0"/>
        <v>0.749</v>
      </c>
      <c r="J18" s="28">
        <f t="shared" si="1"/>
        <v>0</v>
      </c>
      <c r="K18" s="28">
        <f t="shared" si="2"/>
        <v>0.749</v>
      </c>
    </row>
    <row r="19" spans="1:11" ht="26.4" x14ac:dyDescent="0.3">
      <c r="J19" s="10" t="s">
        <v>1068</v>
      </c>
      <c r="K19" s="28">
        <f>SUM(K12:K18)</f>
        <v>7.6609333333333325</v>
      </c>
    </row>
    <row r="20" spans="1:11" ht="45.6" x14ac:dyDescent="0.3">
      <c r="A20" s="23" t="s">
        <v>1069</v>
      </c>
    </row>
    <row r="22" spans="1:11" x14ac:dyDescent="0.3">
      <c r="A22" s="3" t="s">
        <v>1070</v>
      </c>
      <c r="B22" s="4"/>
      <c r="C22" s="4"/>
      <c r="D22" s="4"/>
    </row>
    <row r="23" spans="1:11" x14ac:dyDescent="0.3">
      <c r="A23" s="6" t="s">
        <v>1071</v>
      </c>
      <c r="C23" s="28">
        <f>H9</f>
        <v>677.63719999999989</v>
      </c>
    </row>
    <row r="24" spans="1:11" x14ac:dyDescent="0.3">
      <c r="A24" s="6" t="s">
        <v>1072</v>
      </c>
      <c r="C24" s="28">
        <f>K19</f>
        <v>7.6609333333333325</v>
      </c>
    </row>
    <row r="25" spans="1:11" x14ac:dyDescent="0.3">
      <c r="A25" s="6" t="s">
        <v>1073</v>
      </c>
      <c r="B25" s="31">
        <v>2.5000000000000001E-3</v>
      </c>
      <c r="C25" s="28">
        <f>B25*(C23+C24)</f>
        <v>1.7132453333333331</v>
      </c>
    </row>
    <row r="26" spans="1:11" x14ac:dyDescent="0.3">
      <c r="A26" s="6" t="s">
        <v>1074</v>
      </c>
      <c r="B26" s="26">
        <v>0.1</v>
      </c>
      <c r="C26" s="28">
        <f>B26*C24</f>
        <v>0.76609333333333329</v>
      </c>
    </row>
    <row r="27" spans="1:11" x14ac:dyDescent="0.3">
      <c r="A27" s="10" t="s">
        <v>1075</v>
      </c>
      <c r="C27" s="28">
        <f>SUM(C23:C26)</f>
        <v>687.77747199999988</v>
      </c>
    </row>
    <row r="28" spans="1:11" x14ac:dyDescent="0.3">
      <c r="A28" s="6" t="s">
        <v>771</v>
      </c>
      <c r="B28" s="31">
        <v>2.5000000000000001E-3</v>
      </c>
      <c r="C28" s="28">
        <f>B28*C27</f>
        <v>1.7194436799999997</v>
      </c>
    </row>
    <row r="29" spans="1:11" ht="26.4" x14ac:dyDescent="0.3">
      <c r="A29" s="10" t="s">
        <v>1076</v>
      </c>
      <c r="C29" s="28">
        <f>C27+C28</f>
        <v>689.49691567999992</v>
      </c>
      <c r="D29" s="6" t="s">
        <v>1077</v>
      </c>
    </row>
    <row r="31" spans="1:11" x14ac:dyDescent="0.3">
      <c r="A31" s="10" t="s">
        <v>1078</v>
      </c>
      <c r="C31" s="13">
        <v>510672</v>
      </c>
      <c r="D31" s="6" t="s">
        <v>1079</v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8"/>
  <sheetViews>
    <sheetView showGridLines="0" workbookViewId="0"/>
  </sheetViews>
  <sheetFormatPr defaultRowHeight="14.4" x14ac:dyDescent="0.3"/>
  <cols>
    <col min="1" max="1" width="8" customWidth="1"/>
    <col min="2" max="2" width="36" customWidth="1"/>
    <col min="3" max="3" width="22" customWidth="1"/>
    <col min="4" max="4" width="28" customWidth="1"/>
    <col min="5" max="5" width="40" customWidth="1"/>
  </cols>
  <sheetData>
    <row r="1" spans="1:5" ht="17.399999999999999" x14ac:dyDescent="0.3">
      <c r="A1" s="1" t="s">
        <v>1080</v>
      </c>
    </row>
    <row r="2" spans="1:5" x14ac:dyDescent="0.3">
      <c r="A2" s="2" t="s">
        <v>1081</v>
      </c>
    </row>
    <row r="4" spans="1:5" x14ac:dyDescent="0.3">
      <c r="A4" s="3" t="s">
        <v>1082</v>
      </c>
      <c r="B4" s="4"/>
      <c r="C4" s="4"/>
      <c r="D4" s="4"/>
      <c r="E4" s="4"/>
    </row>
    <row r="5" spans="1:5" x14ac:dyDescent="0.3">
      <c r="A5" s="5" t="s">
        <v>1083</v>
      </c>
      <c r="B5" s="5" t="s">
        <v>635</v>
      </c>
      <c r="C5" s="5" t="s">
        <v>1084</v>
      </c>
      <c r="D5" s="5" t="s">
        <v>170</v>
      </c>
      <c r="E5" s="5" t="s">
        <v>1085</v>
      </c>
    </row>
    <row r="6" spans="1:5" x14ac:dyDescent="0.3">
      <c r="A6" s="7">
        <v>10</v>
      </c>
      <c r="B6" s="6" t="s">
        <v>1086</v>
      </c>
      <c r="C6" s="6" t="s">
        <v>1087</v>
      </c>
      <c r="D6" s="6" t="s">
        <v>131</v>
      </c>
      <c r="E6" s="6" t="s">
        <v>1088</v>
      </c>
    </row>
    <row r="7" spans="1:5" x14ac:dyDescent="0.3">
      <c r="A7" s="7">
        <v>20</v>
      </c>
      <c r="B7" s="6" t="s">
        <v>1089</v>
      </c>
      <c r="C7" s="6" t="s">
        <v>1090</v>
      </c>
      <c r="D7" s="6" t="s">
        <v>1091</v>
      </c>
      <c r="E7" s="6" t="s">
        <v>1092</v>
      </c>
    </row>
    <row r="8" spans="1:5" x14ac:dyDescent="0.3">
      <c r="A8" s="7">
        <v>30</v>
      </c>
      <c r="B8" s="6" t="s">
        <v>1093</v>
      </c>
      <c r="C8" s="6" t="s">
        <v>1090</v>
      </c>
      <c r="D8" s="6" t="s">
        <v>1091</v>
      </c>
      <c r="E8" s="6" t="s">
        <v>1092</v>
      </c>
    </row>
    <row r="9" spans="1:5" x14ac:dyDescent="0.3">
      <c r="A9" s="7">
        <v>40</v>
      </c>
      <c r="B9" s="6" t="s">
        <v>1094</v>
      </c>
      <c r="C9" s="6" t="s">
        <v>1090</v>
      </c>
      <c r="D9" s="6" t="s">
        <v>1091</v>
      </c>
      <c r="E9" s="6" t="s">
        <v>1092</v>
      </c>
    </row>
    <row r="10" spans="1:5" x14ac:dyDescent="0.3">
      <c r="A10" s="7">
        <v>50</v>
      </c>
      <c r="B10" s="6" t="s">
        <v>1095</v>
      </c>
      <c r="C10" s="6" t="s">
        <v>1090</v>
      </c>
      <c r="D10" s="6" t="s">
        <v>1091</v>
      </c>
      <c r="E10" s="6" t="s">
        <v>1092</v>
      </c>
    </row>
    <row r="11" spans="1:5" x14ac:dyDescent="0.3">
      <c r="A11" s="7">
        <v>60</v>
      </c>
      <c r="B11" s="6" t="s">
        <v>1096</v>
      </c>
      <c r="C11" s="6" t="s">
        <v>1090</v>
      </c>
      <c r="D11" s="6" t="s">
        <v>1091</v>
      </c>
      <c r="E11" s="6" t="s">
        <v>1092</v>
      </c>
    </row>
    <row r="12" spans="1:5" x14ac:dyDescent="0.3">
      <c r="A12" s="7">
        <v>70</v>
      </c>
      <c r="B12" s="6" t="s">
        <v>1097</v>
      </c>
      <c r="C12" s="6" t="s">
        <v>1090</v>
      </c>
      <c r="D12" s="6" t="s">
        <v>1091</v>
      </c>
      <c r="E12" s="6" t="s">
        <v>1092</v>
      </c>
    </row>
    <row r="13" spans="1:5" x14ac:dyDescent="0.3">
      <c r="A13" s="7">
        <v>80</v>
      </c>
      <c r="B13" s="6" t="s">
        <v>1098</v>
      </c>
      <c r="C13" s="6" t="s">
        <v>1090</v>
      </c>
      <c r="D13" s="6" t="s">
        <v>1091</v>
      </c>
      <c r="E13" s="6" t="s">
        <v>1092</v>
      </c>
    </row>
    <row r="14" spans="1:5" x14ac:dyDescent="0.3">
      <c r="A14" s="7">
        <v>90</v>
      </c>
      <c r="B14" s="6" t="s">
        <v>1099</v>
      </c>
      <c r="C14" s="6" t="s">
        <v>1090</v>
      </c>
      <c r="D14" s="6" t="s">
        <v>1091</v>
      </c>
      <c r="E14" s="6" t="s">
        <v>1092</v>
      </c>
    </row>
    <row r="15" spans="1:5" x14ac:dyDescent="0.3">
      <c r="A15" s="7">
        <v>100</v>
      </c>
      <c r="B15" s="6" t="s">
        <v>1100</v>
      </c>
      <c r="C15" s="6" t="s">
        <v>1090</v>
      </c>
      <c r="D15" s="6" t="s">
        <v>1091</v>
      </c>
      <c r="E15" s="6" t="s">
        <v>1092</v>
      </c>
    </row>
    <row r="16" spans="1:5" x14ac:dyDescent="0.3">
      <c r="A16" s="7">
        <v>110</v>
      </c>
      <c r="B16" s="6" t="s">
        <v>1101</v>
      </c>
      <c r="C16" s="6"/>
      <c r="D16" s="6"/>
      <c r="E16" s="6"/>
    </row>
    <row r="17" spans="1:5" x14ac:dyDescent="0.3">
      <c r="A17" s="7">
        <v>120</v>
      </c>
      <c r="B17" s="6" t="s">
        <v>1102</v>
      </c>
      <c r="C17" s="6" t="s">
        <v>1090</v>
      </c>
      <c r="D17" s="6" t="s">
        <v>1091</v>
      </c>
      <c r="E17" s="6" t="s">
        <v>1103</v>
      </c>
    </row>
    <row r="18" spans="1:5" x14ac:dyDescent="0.3">
      <c r="A18" s="7">
        <v>130</v>
      </c>
      <c r="B18" s="6" t="s">
        <v>1095</v>
      </c>
      <c r="C18" s="6" t="s">
        <v>1090</v>
      </c>
      <c r="D18" s="6" t="s">
        <v>1091</v>
      </c>
      <c r="E18" s="6" t="s">
        <v>1103</v>
      </c>
    </row>
    <row r="19" spans="1:5" x14ac:dyDescent="0.3">
      <c r="A19" s="7">
        <v>140</v>
      </c>
      <c r="B19" s="6" t="s">
        <v>1096</v>
      </c>
      <c r="C19" s="6" t="s">
        <v>1090</v>
      </c>
      <c r="D19" s="6" t="s">
        <v>1091</v>
      </c>
      <c r="E19" s="6" t="s">
        <v>1103</v>
      </c>
    </row>
    <row r="20" spans="1:5" x14ac:dyDescent="0.3">
      <c r="A20" s="7">
        <v>150</v>
      </c>
      <c r="B20" s="6" t="s">
        <v>1097</v>
      </c>
      <c r="C20" s="6" t="s">
        <v>1090</v>
      </c>
      <c r="D20" s="6" t="s">
        <v>1091</v>
      </c>
      <c r="E20" s="6" t="s">
        <v>1103</v>
      </c>
    </row>
    <row r="21" spans="1:5" x14ac:dyDescent="0.3">
      <c r="A21" s="7">
        <v>160</v>
      </c>
      <c r="B21" s="6" t="s">
        <v>1098</v>
      </c>
      <c r="C21" s="6" t="s">
        <v>1090</v>
      </c>
      <c r="D21" s="6" t="s">
        <v>1091</v>
      </c>
      <c r="E21" s="6" t="s">
        <v>1103</v>
      </c>
    </row>
    <row r="22" spans="1:5" x14ac:dyDescent="0.3">
      <c r="A22" s="7">
        <v>170</v>
      </c>
      <c r="B22" s="6" t="s">
        <v>1099</v>
      </c>
      <c r="C22" s="6" t="s">
        <v>1090</v>
      </c>
      <c r="D22" s="6" t="s">
        <v>1091</v>
      </c>
      <c r="E22" s="6" t="s">
        <v>1103</v>
      </c>
    </row>
    <row r="23" spans="1:5" x14ac:dyDescent="0.3">
      <c r="A23" s="7">
        <v>180</v>
      </c>
      <c r="B23" s="6" t="s">
        <v>1100</v>
      </c>
      <c r="C23" s="6" t="s">
        <v>1090</v>
      </c>
      <c r="D23" s="6" t="s">
        <v>1091</v>
      </c>
      <c r="E23" s="6" t="s">
        <v>1103</v>
      </c>
    </row>
    <row r="24" spans="1:5" x14ac:dyDescent="0.3">
      <c r="A24" s="7">
        <v>190</v>
      </c>
      <c r="B24" s="6" t="s">
        <v>1101</v>
      </c>
      <c r="C24" s="6" t="s">
        <v>1090</v>
      </c>
      <c r="D24" s="6"/>
      <c r="E24" s="6"/>
    </row>
    <row r="25" spans="1:5" x14ac:dyDescent="0.3">
      <c r="A25" s="7">
        <v>200</v>
      </c>
      <c r="B25" s="6" t="s">
        <v>1104</v>
      </c>
      <c r="C25" s="6" t="s">
        <v>1090</v>
      </c>
      <c r="D25" s="6"/>
      <c r="E25" s="6"/>
    </row>
    <row r="26" spans="1:5" x14ac:dyDescent="0.3">
      <c r="A26" s="7">
        <v>210</v>
      </c>
      <c r="B26" s="6" t="s">
        <v>1105</v>
      </c>
      <c r="C26" s="6" t="s">
        <v>1090</v>
      </c>
      <c r="D26" s="6" t="s">
        <v>1106</v>
      </c>
      <c r="E26" s="6" t="s">
        <v>1107</v>
      </c>
    </row>
    <row r="27" spans="1:5" x14ac:dyDescent="0.3">
      <c r="A27" s="7">
        <v>220</v>
      </c>
      <c r="B27" s="6" t="s">
        <v>1108</v>
      </c>
      <c r="C27" s="6" t="s">
        <v>1090</v>
      </c>
      <c r="D27" s="6" t="s">
        <v>1106</v>
      </c>
      <c r="E27" s="6" t="s">
        <v>1107</v>
      </c>
    </row>
    <row r="28" spans="1:5" x14ac:dyDescent="0.3">
      <c r="A28" s="7">
        <v>230</v>
      </c>
      <c r="B28" s="6" t="s">
        <v>1109</v>
      </c>
      <c r="C28" s="6" t="s">
        <v>1090</v>
      </c>
      <c r="D28" s="6"/>
      <c r="E28" s="6" t="s">
        <v>1110</v>
      </c>
    </row>
    <row r="29" spans="1:5" x14ac:dyDescent="0.3">
      <c r="A29" s="7">
        <v>240</v>
      </c>
      <c r="B29" s="6" t="s">
        <v>1104</v>
      </c>
      <c r="C29" s="6" t="s">
        <v>1090</v>
      </c>
      <c r="D29" s="6"/>
      <c r="E29" s="6" t="s">
        <v>1111</v>
      </c>
    </row>
    <row r="30" spans="1:5" x14ac:dyDescent="0.3">
      <c r="A30" s="7">
        <v>250</v>
      </c>
      <c r="B30" s="6" t="s">
        <v>1112</v>
      </c>
      <c r="C30" s="6" t="s">
        <v>1090</v>
      </c>
      <c r="D30" s="6"/>
      <c r="E30" s="6" t="s">
        <v>1113</v>
      </c>
    </row>
    <row r="31" spans="1:5" x14ac:dyDescent="0.3">
      <c r="A31" s="7">
        <v>260</v>
      </c>
      <c r="B31" s="6" t="s">
        <v>1114</v>
      </c>
      <c r="C31" s="6" t="s">
        <v>1090</v>
      </c>
      <c r="D31" s="6"/>
      <c r="E31" s="6"/>
    </row>
    <row r="32" spans="1:5" x14ac:dyDescent="0.3">
      <c r="A32" s="7">
        <v>280</v>
      </c>
      <c r="B32" s="6" t="s">
        <v>1115</v>
      </c>
      <c r="C32" s="6" t="s">
        <v>1087</v>
      </c>
      <c r="D32" s="6" t="s">
        <v>1116</v>
      </c>
      <c r="E32" s="6" t="s">
        <v>1117</v>
      </c>
    </row>
    <row r="33" spans="1:5" x14ac:dyDescent="0.3">
      <c r="A33" s="7">
        <v>290</v>
      </c>
      <c r="B33" s="6" t="s">
        <v>912</v>
      </c>
      <c r="C33" s="6" t="s">
        <v>1118</v>
      </c>
      <c r="D33" s="6" t="s">
        <v>1119</v>
      </c>
      <c r="E33" s="6"/>
    </row>
    <row r="34" spans="1:5" x14ac:dyDescent="0.3">
      <c r="A34" s="7">
        <v>300</v>
      </c>
      <c r="B34" s="6" t="s">
        <v>1120</v>
      </c>
      <c r="C34" s="6" t="s">
        <v>1121</v>
      </c>
      <c r="D34" s="6" t="s">
        <v>1122</v>
      </c>
      <c r="E34" s="6"/>
    </row>
    <row r="36" spans="1:5" x14ac:dyDescent="0.3">
      <c r="A36" s="3" t="s">
        <v>1123</v>
      </c>
      <c r="B36" s="4"/>
      <c r="C36" s="4"/>
      <c r="D36" s="4"/>
      <c r="E36" s="4"/>
    </row>
    <row r="37" spans="1:5" x14ac:dyDescent="0.3">
      <c r="A37" s="5" t="s">
        <v>1083</v>
      </c>
      <c r="B37" s="5" t="s">
        <v>635</v>
      </c>
      <c r="C37" s="5" t="s">
        <v>1084</v>
      </c>
      <c r="D37" s="5" t="s">
        <v>170</v>
      </c>
      <c r="E37" s="5" t="s">
        <v>1085</v>
      </c>
    </row>
    <row r="38" spans="1:5" x14ac:dyDescent="0.3">
      <c r="A38" s="7">
        <v>10</v>
      </c>
      <c r="B38" s="6" t="s">
        <v>1086</v>
      </c>
      <c r="C38" s="6" t="s">
        <v>1087</v>
      </c>
      <c r="D38" s="6" t="s">
        <v>131</v>
      </c>
      <c r="E38" s="6" t="s">
        <v>1124</v>
      </c>
    </row>
    <row r="39" spans="1:5" x14ac:dyDescent="0.3">
      <c r="A39" s="7">
        <v>20</v>
      </c>
      <c r="B39" s="6" t="s">
        <v>659</v>
      </c>
      <c r="C39" s="6" t="s">
        <v>1090</v>
      </c>
      <c r="D39" s="6" t="s">
        <v>1125</v>
      </c>
      <c r="E39" s="6"/>
    </row>
    <row r="40" spans="1:5" x14ac:dyDescent="0.3">
      <c r="A40" s="7">
        <v>30</v>
      </c>
      <c r="B40" s="6" t="s">
        <v>660</v>
      </c>
      <c r="C40" s="6" t="s">
        <v>1090</v>
      </c>
      <c r="D40" s="6" t="s">
        <v>1126</v>
      </c>
      <c r="E40" s="6"/>
    </row>
    <row r="41" spans="1:5" x14ac:dyDescent="0.3">
      <c r="A41" s="7">
        <v>40</v>
      </c>
      <c r="B41" s="6" t="s">
        <v>662</v>
      </c>
      <c r="C41" s="6" t="s">
        <v>1090</v>
      </c>
      <c r="D41" s="6" t="s">
        <v>1127</v>
      </c>
      <c r="E41" s="6"/>
    </row>
    <row r="42" spans="1:5" x14ac:dyDescent="0.3">
      <c r="A42" s="7">
        <v>50</v>
      </c>
      <c r="B42" s="6" t="s">
        <v>664</v>
      </c>
      <c r="C42" s="6" t="s">
        <v>1090</v>
      </c>
      <c r="D42" s="6" t="s">
        <v>1128</v>
      </c>
      <c r="E42" s="6"/>
    </row>
    <row r="43" spans="1:5" x14ac:dyDescent="0.3">
      <c r="A43" s="7">
        <v>60</v>
      </c>
      <c r="B43" s="6" t="s">
        <v>666</v>
      </c>
      <c r="C43" s="6" t="s">
        <v>1090</v>
      </c>
      <c r="D43" s="6" t="s">
        <v>1125</v>
      </c>
      <c r="E43" s="6"/>
    </row>
    <row r="44" spans="1:5" x14ac:dyDescent="0.3">
      <c r="A44" s="7">
        <v>70</v>
      </c>
      <c r="B44" s="6" t="s">
        <v>668</v>
      </c>
      <c r="C44" s="6" t="s">
        <v>1090</v>
      </c>
      <c r="D44" s="6" t="s">
        <v>1129</v>
      </c>
      <c r="E44" s="6"/>
    </row>
    <row r="45" spans="1:5" x14ac:dyDescent="0.3">
      <c r="A45" s="7">
        <v>80</v>
      </c>
      <c r="B45" s="6" t="s">
        <v>670</v>
      </c>
      <c r="C45" s="6" t="s">
        <v>1090</v>
      </c>
      <c r="D45" s="6" t="s">
        <v>1130</v>
      </c>
      <c r="E45" s="6"/>
    </row>
    <row r="46" spans="1:5" x14ac:dyDescent="0.3">
      <c r="A46" s="7">
        <v>90</v>
      </c>
      <c r="B46" s="6" t="s">
        <v>672</v>
      </c>
      <c r="C46" s="6" t="s">
        <v>1090</v>
      </c>
      <c r="D46" s="6" t="s">
        <v>1131</v>
      </c>
      <c r="E46" s="6"/>
    </row>
    <row r="47" spans="1:5" x14ac:dyDescent="0.3">
      <c r="A47" s="7">
        <v>100</v>
      </c>
      <c r="B47" s="6" t="s">
        <v>673</v>
      </c>
      <c r="C47" s="6" t="s">
        <v>1090</v>
      </c>
      <c r="D47" s="6" t="s">
        <v>1132</v>
      </c>
      <c r="E47" s="6"/>
    </row>
    <row r="48" spans="1:5" x14ac:dyDescent="0.3">
      <c r="A48" s="7">
        <v>110</v>
      </c>
      <c r="B48" s="6" t="s">
        <v>674</v>
      </c>
      <c r="C48" s="6"/>
      <c r="D48" s="6" t="s">
        <v>1133</v>
      </c>
      <c r="E48" s="6"/>
    </row>
    <row r="49" spans="1:5" x14ac:dyDescent="0.3">
      <c r="A49" s="7">
        <v>120</v>
      </c>
      <c r="B49" s="6" t="s">
        <v>1115</v>
      </c>
      <c r="C49" s="6" t="s">
        <v>1087</v>
      </c>
      <c r="D49" s="6"/>
      <c r="E49" s="6"/>
    </row>
    <row r="50" spans="1:5" x14ac:dyDescent="0.3">
      <c r="A50" s="7">
        <v>130</v>
      </c>
      <c r="B50" s="6" t="s">
        <v>912</v>
      </c>
      <c r="C50" s="6" t="s">
        <v>1118</v>
      </c>
      <c r="D50" s="6"/>
      <c r="E50" s="6"/>
    </row>
    <row r="51" spans="1:5" x14ac:dyDescent="0.3">
      <c r="A51" s="7">
        <v>140</v>
      </c>
      <c r="B51" s="6" t="s">
        <v>1120</v>
      </c>
      <c r="C51" s="6" t="s">
        <v>1121</v>
      </c>
      <c r="D51" s="6"/>
      <c r="E51" s="6"/>
    </row>
    <row r="53" spans="1:5" x14ac:dyDescent="0.3">
      <c r="A53" s="3" t="s">
        <v>1134</v>
      </c>
      <c r="B53" s="4"/>
      <c r="C53" s="4"/>
      <c r="D53" s="4"/>
      <c r="E53" s="4"/>
    </row>
    <row r="54" spans="1:5" x14ac:dyDescent="0.3">
      <c r="A54" s="5" t="s">
        <v>1083</v>
      </c>
      <c r="B54" s="5" t="s">
        <v>635</v>
      </c>
      <c r="C54" s="5" t="s">
        <v>1084</v>
      </c>
      <c r="D54" s="5" t="s">
        <v>170</v>
      </c>
      <c r="E54" s="5" t="s">
        <v>1085</v>
      </c>
    </row>
    <row r="55" spans="1:5" x14ac:dyDescent="0.3">
      <c r="A55" s="7">
        <v>10</v>
      </c>
      <c r="B55" s="6" t="s">
        <v>1086</v>
      </c>
      <c r="C55" s="6" t="s">
        <v>1087</v>
      </c>
      <c r="D55" s="6" t="s">
        <v>131</v>
      </c>
      <c r="E55" s="6" t="s">
        <v>1124</v>
      </c>
    </row>
    <row r="56" spans="1:5" x14ac:dyDescent="0.3">
      <c r="A56" s="7">
        <v>20</v>
      </c>
      <c r="B56" s="6" t="s">
        <v>1135</v>
      </c>
      <c r="C56" s="6" t="s">
        <v>1090</v>
      </c>
      <c r="D56" s="6" t="s">
        <v>1136</v>
      </c>
      <c r="E56" s="6" t="s">
        <v>1137</v>
      </c>
    </row>
    <row r="57" spans="1:5" x14ac:dyDescent="0.3">
      <c r="A57" s="7">
        <v>30</v>
      </c>
      <c r="B57" s="6" t="s">
        <v>1138</v>
      </c>
      <c r="C57" s="6" t="s">
        <v>1090</v>
      </c>
      <c r="D57" s="6" t="s">
        <v>1139</v>
      </c>
      <c r="E57" s="6" t="s">
        <v>1137</v>
      </c>
    </row>
    <row r="58" spans="1:5" x14ac:dyDescent="0.3">
      <c r="A58" s="7">
        <v>40</v>
      </c>
      <c r="B58" s="6" t="s">
        <v>1140</v>
      </c>
      <c r="C58" s="6" t="s">
        <v>1090</v>
      </c>
      <c r="D58" s="6" t="s">
        <v>1139</v>
      </c>
      <c r="E58" s="6" t="s">
        <v>1137</v>
      </c>
    </row>
    <row r="59" spans="1:5" x14ac:dyDescent="0.3">
      <c r="A59" s="7">
        <v>50</v>
      </c>
      <c r="B59" s="6" t="s">
        <v>1141</v>
      </c>
      <c r="C59" s="6" t="s">
        <v>1090</v>
      </c>
      <c r="D59" s="6" t="s">
        <v>1139</v>
      </c>
      <c r="E59" s="6" t="s">
        <v>1137</v>
      </c>
    </row>
    <row r="60" spans="1:5" x14ac:dyDescent="0.3">
      <c r="A60" s="7">
        <v>60</v>
      </c>
      <c r="B60" s="6" t="s">
        <v>1142</v>
      </c>
      <c r="C60" s="6" t="s">
        <v>1090</v>
      </c>
      <c r="D60" s="6" t="s">
        <v>1143</v>
      </c>
      <c r="E60" s="6"/>
    </row>
    <row r="61" spans="1:5" x14ac:dyDescent="0.3">
      <c r="A61" s="7">
        <v>70</v>
      </c>
      <c r="B61" s="6" t="s">
        <v>1144</v>
      </c>
      <c r="C61" s="6" t="s">
        <v>1090</v>
      </c>
      <c r="D61" s="6" t="s">
        <v>178</v>
      </c>
      <c r="E61" s="6"/>
    </row>
    <row r="62" spans="1:5" x14ac:dyDescent="0.3">
      <c r="A62" s="7">
        <v>80</v>
      </c>
      <c r="B62" s="6" t="s">
        <v>1145</v>
      </c>
      <c r="C62" s="6" t="s">
        <v>1090</v>
      </c>
      <c r="D62" s="6" t="s">
        <v>1136</v>
      </c>
      <c r="E62" s="6" t="s">
        <v>1146</v>
      </c>
    </row>
    <row r="63" spans="1:5" x14ac:dyDescent="0.3">
      <c r="A63" s="7">
        <v>90</v>
      </c>
      <c r="B63" s="6" t="s">
        <v>1147</v>
      </c>
      <c r="C63" s="6" t="s">
        <v>1090</v>
      </c>
      <c r="D63" s="6" t="s">
        <v>178</v>
      </c>
      <c r="E63" s="6"/>
    </row>
    <row r="64" spans="1:5" x14ac:dyDescent="0.3">
      <c r="A64" s="7">
        <v>100</v>
      </c>
      <c r="B64" s="6" t="s">
        <v>1148</v>
      </c>
      <c r="C64" s="6" t="s">
        <v>1090</v>
      </c>
      <c r="D64" s="6" t="s">
        <v>178</v>
      </c>
      <c r="E64" s="6"/>
    </row>
    <row r="65" spans="1:5" x14ac:dyDescent="0.3">
      <c r="A65" s="7">
        <v>110</v>
      </c>
      <c r="B65" s="6" t="s">
        <v>1149</v>
      </c>
      <c r="C65" s="6" t="s">
        <v>1087</v>
      </c>
      <c r="D65" s="6" t="s">
        <v>1116</v>
      </c>
      <c r="E65" s="6" t="s">
        <v>1117</v>
      </c>
    </row>
    <row r="66" spans="1:5" x14ac:dyDescent="0.3">
      <c r="A66" s="7">
        <v>120</v>
      </c>
      <c r="B66" s="6" t="s">
        <v>912</v>
      </c>
      <c r="C66" s="6" t="s">
        <v>1118</v>
      </c>
      <c r="D66" s="6" t="s">
        <v>1119</v>
      </c>
      <c r="E66" s="6"/>
    </row>
    <row r="67" spans="1:5" x14ac:dyDescent="0.3">
      <c r="A67" s="7">
        <v>130</v>
      </c>
      <c r="B67" s="6" t="s">
        <v>1120</v>
      </c>
      <c r="C67" s="6" t="s">
        <v>1121</v>
      </c>
      <c r="D67" s="6" t="s">
        <v>1122</v>
      </c>
      <c r="E67" s="6"/>
    </row>
    <row r="69" spans="1:5" x14ac:dyDescent="0.3">
      <c r="A69" s="3" t="s">
        <v>1150</v>
      </c>
      <c r="B69" s="4"/>
      <c r="C69" s="4"/>
      <c r="D69" s="4"/>
      <c r="E69" s="4"/>
    </row>
    <row r="70" spans="1:5" x14ac:dyDescent="0.3">
      <c r="A70" s="5" t="s">
        <v>1083</v>
      </c>
      <c r="B70" s="5" t="s">
        <v>635</v>
      </c>
      <c r="C70" s="5" t="s">
        <v>1084</v>
      </c>
      <c r="D70" s="5" t="s">
        <v>170</v>
      </c>
      <c r="E70" s="5" t="s">
        <v>1085</v>
      </c>
    </row>
    <row r="71" spans="1:5" x14ac:dyDescent="0.3">
      <c r="A71" s="7">
        <v>10</v>
      </c>
      <c r="B71" s="6" t="s">
        <v>1151</v>
      </c>
      <c r="C71" s="6" t="s">
        <v>789</v>
      </c>
      <c r="D71" s="6" t="s">
        <v>1152</v>
      </c>
      <c r="E71" s="6" t="s">
        <v>1153</v>
      </c>
    </row>
    <row r="72" spans="1:5" x14ac:dyDescent="0.3">
      <c r="A72" s="7">
        <v>20</v>
      </c>
      <c r="B72" s="6" t="s">
        <v>1154</v>
      </c>
      <c r="C72" s="6" t="s">
        <v>1155</v>
      </c>
      <c r="D72" s="6" t="s">
        <v>827</v>
      </c>
      <c r="E72" s="6" t="s">
        <v>1156</v>
      </c>
    </row>
    <row r="73" spans="1:5" x14ac:dyDescent="0.3">
      <c r="A73" s="7">
        <v>30</v>
      </c>
      <c r="B73" s="6" t="s">
        <v>1157</v>
      </c>
      <c r="C73" s="6" t="s">
        <v>1158</v>
      </c>
      <c r="D73" s="6" t="s">
        <v>1159</v>
      </c>
      <c r="E73" s="6" t="s">
        <v>1160</v>
      </c>
    </row>
    <row r="74" spans="1:5" x14ac:dyDescent="0.3">
      <c r="A74" s="7">
        <v>40</v>
      </c>
      <c r="B74" s="6" t="s">
        <v>1161</v>
      </c>
      <c r="C74" s="6" t="s">
        <v>1158</v>
      </c>
      <c r="D74" s="6" t="s">
        <v>1162</v>
      </c>
      <c r="E74" s="6" t="s">
        <v>1160</v>
      </c>
    </row>
    <row r="75" spans="1:5" x14ac:dyDescent="0.3">
      <c r="A75" s="7">
        <v>50</v>
      </c>
      <c r="B75" s="6" t="s">
        <v>780</v>
      </c>
      <c r="C75" s="6" t="s">
        <v>1090</v>
      </c>
      <c r="D75" s="6" t="s">
        <v>1163</v>
      </c>
      <c r="E75" s="6" t="s">
        <v>1137</v>
      </c>
    </row>
    <row r="76" spans="1:5" x14ac:dyDescent="0.3">
      <c r="A76" s="7">
        <v>60</v>
      </c>
      <c r="B76" s="6" t="s">
        <v>1115</v>
      </c>
      <c r="C76" s="6" t="s">
        <v>1087</v>
      </c>
      <c r="D76" s="6" t="s">
        <v>131</v>
      </c>
      <c r="E76" s="6" t="s">
        <v>1164</v>
      </c>
    </row>
    <row r="77" spans="1:5" x14ac:dyDescent="0.3">
      <c r="A77" s="7">
        <v>70</v>
      </c>
      <c r="B77" s="6" t="s">
        <v>912</v>
      </c>
      <c r="C77" s="6" t="s">
        <v>1165</v>
      </c>
      <c r="D77" s="6" t="s">
        <v>131</v>
      </c>
      <c r="E77" s="6" t="s">
        <v>131</v>
      </c>
    </row>
    <row r="78" spans="1:5" x14ac:dyDescent="0.3">
      <c r="A78" s="7">
        <v>80</v>
      </c>
      <c r="B78" s="6" t="s">
        <v>1120</v>
      </c>
      <c r="C78" s="6" t="s">
        <v>1121</v>
      </c>
      <c r="D78" s="6" t="s">
        <v>1166</v>
      </c>
      <c r="E78" s="6" t="s">
        <v>1146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3"/>
  <sheetViews>
    <sheetView showGridLines="0" workbookViewId="0"/>
  </sheetViews>
  <sheetFormatPr defaultRowHeight="14.4" x14ac:dyDescent="0.3"/>
  <cols>
    <col min="1" max="1" width="40" customWidth="1"/>
    <col min="2" max="3" width="22" customWidth="1"/>
    <col min="4" max="4" width="14" customWidth="1"/>
    <col min="5" max="5" width="12" customWidth="1"/>
    <col min="6" max="6" width="14" customWidth="1"/>
    <col min="7" max="7" width="12" customWidth="1"/>
  </cols>
  <sheetData>
    <row r="1" spans="1:3" ht="17.399999999999999" x14ac:dyDescent="0.3">
      <c r="A1" s="1" t="s">
        <v>1167</v>
      </c>
    </row>
    <row r="2" spans="1:3" x14ac:dyDescent="0.3">
      <c r="A2" s="2" t="s">
        <v>1168</v>
      </c>
    </row>
    <row r="4" spans="1:3" x14ac:dyDescent="0.3">
      <c r="A4" s="3" t="s">
        <v>1169</v>
      </c>
      <c r="B4" s="4"/>
      <c r="C4" s="4"/>
    </row>
    <row r="5" spans="1:3" ht="26.4" x14ac:dyDescent="0.3">
      <c r="A5" s="5" t="s">
        <v>1170</v>
      </c>
      <c r="B5" s="5" t="s">
        <v>1171</v>
      </c>
      <c r="C5" s="5" t="s">
        <v>1172</v>
      </c>
    </row>
    <row r="6" spans="1:3" x14ac:dyDescent="0.3">
      <c r="A6" s="6" t="s">
        <v>1173</v>
      </c>
      <c r="B6" s="6" t="s">
        <v>532</v>
      </c>
      <c r="C6" s="6" t="s">
        <v>532</v>
      </c>
    </row>
    <row r="7" spans="1:3" x14ac:dyDescent="0.3">
      <c r="A7" s="6" t="s">
        <v>1174</v>
      </c>
      <c r="B7" s="6" t="s">
        <v>1175</v>
      </c>
      <c r="C7" s="6" t="s">
        <v>1175</v>
      </c>
    </row>
    <row r="8" spans="1:3" x14ac:dyDescent="0.3">
      <c r="A8" s="6" t="s">
        <v>1176</v>
      </c>
      <c r="B8" s="6" t="s">
        <v>1177</v>
      </c>
      <c r="C8" s="6" t="s">
        <v>1177</v>
      </c>
    </row>
    <row r="9" spans="1:3" x14ac:dyDescent="0.3">
      <c r="A9" s="6" t="s">
        <v>1178</v>
      </c>
      <c r="B9" s="6" t="s">
        <v>1179</v>
      </c>
      <c r="C9" s="6" t="s">
        <v>243</v>
      </c>
    </row>
    <row r="10" spans="1:3" x14ac:dyDescent="0.3">
      <c r="A10" s="6" t="s">
        <v>773</v>
      </c>
      <c r="B10" s="6" t="s">
        <v>1180</v>
      </c>
      <c r="C10" s="6" t="s">
        <v>1180</v>
      </c>
    </row>
    <row r="11" spans="1:3" x14ac:dyDescent="0.3">
      <c r="A11" s="6" t="s">
        <v>1039</v>
      </c>
      <c r="B11" s="6" t="s">
        <v>1181</v>
      </c>
      <c r="C11" s="6" t="s">
        <v>1182</v>
      </c>
    </row>
    <row r="12" spans="1:3" x14ac:dyDescent="0.3">
      <c r="A12" s="6" t="s">
        <v>1183</v>
      </c>
      <c r="B12" s="6" t="s">
        <v>1184</v>
      </c>
      <c r="C12" s="6" t="s">
        <v>1184</v>
      </c>
    </row>
    <row r="13" spans="1:3" x14ac:dyDescent="0.3">
      <c r="A13" s="6" t="s">
        <v>667</v>
      </c>
      <c r="B13" s="6" t="s">
        <v>1185</v>
      </c>
      <c r="C13" s="6" t="s">
        <v>1185</v>
      </c>
    </row>
    <row r="14" spans="1:3" x14ac:dyDescent="0.3">
      <c r="A14" s="6" t="s">
        <v>1186</v>
      </c>
      <c r="B14" s="6" t="s">
        <v>1187</v>
      </c>
      <c r="C14" s="6" t="s">
        <v>1187</v>
      </c>
    </row>
    <row r="15" spans="1:3" x14ac:dyDescent="0.3">
      <c r="A15" s="6" t="s">
        <v>1188</v>
      </c>
      <c r="B15" s="6" t="s">
        <v>1189</v>
      </c>
      <c r="C15" s="6" t="s">
        <v>1190</v>
      </c>
    </row>
    <row r="16" spans="1:3" x14ac:dyDescent="0.3">
      <c r="A16" s="6" t="s">
        <v>1191</v>
      </c>
      <c r="B16" s="6" t="s">
        <v>1192</v>
      </c>
      <c r="C16" s="6" t="s">
        <v>1192</v>
      </c>
    </row>
    <row r="17" spans="1:5" x14ac:dyDescent="0.3">
      <c r="A17" s="6" t="s">
        <v>1017</v>
      </c>
      <c r="B17" s="6" t="s">
        <v>1193</v>
      </c>
      <c r="C17" s="6" t="s">
        <v>1193</v>
      </c>
    </row>
    <row r="19" spans="1:5" x14ac:dyDescent="0.3">
      <c r="A19" s="3" t="s">
        <v>1194</v>
      </c>
      <c r="B19" s="4"/>
      <c r="C19" s="4"/>
      <c r="D19" s="4"/>
      <c r="E19" s="4"/>
    </row>
    <row r="20" spans="1:5" x14ac:dyDescent="0.3">
      <c r="A20" s="5" t="s">
        <v>1195</v>
      </c>
      <c r="B20" s="5" t="s">
        <v>1196</v>
      </c>
      <c r="C20" s="5" t="s">
        <v>1197</v>
      </c>
      <c r="D20" s="5" t="s">
        <v>1198</v>
      </c>
      <c r="E20" s="5" t="s">
        <v>1199</v>
      </c>
    </row>
    <row r="21" spans="1:5" x14ac:dyDescent="0.3">
      <c r="A21" s="6" t="s">
        <v>1200</v>
      </c>
      <c r="B21" s="6" t="s">
        <v>1201</v>
      </c>
      <c r="C21" s="6" t="s">
        <v>1202</v>
      </c>
    </row>
    <row r="22" spans="1:5" x14ac:dyDescent="0.3">
      <c r="A22" s="6" t="s">
        <v>1203</v>
      </c>
      <c r="B22" s="6" t="s">
        <v>1177</v>
      </c>
      <c r="C22" s="6" t="s">
        <v>1177</v>
      </c>
    </row>
    <row r="23" spans="1:5" x14ac:dyDescent="0.3">
      <c r="A23" s="6" t="s">
        <v>155</v>
      </c>
      <c r="B23" s="25">
        <v>615.51</v>
      </c>
      <c r="C23" s="25">
        <v>505.93</v>
      </c>
      <c r="D23" s="28">
        <f t="shared" ref="D23:D28" si="0">C23-B23</f>
        <v>-109.57999999999998</v>
      </c>
      <c r="E23" s="20">
        <f t="shared" ref="E23:E28" si="1">IF(B23=0,0,D23/B23)</f>
        <v>-0.17803122613767441</v>
      </c>
    </row>
    <row r="24" spans="1:5" x14ac:dyDescent="0.3">
      <c r="A24" s="6" t="s">
        <v>157</v>
      </c>
      <c r="B24" s="25">
        <v>107.88</v>
      </c>
      <c r="C24" s="25">
        <v>87.49</v>
      </c>
      <c r="D24" s="28">
        <f t="shared" si="0"/>
        <v>-20.39</v>
      </c>
      <c r="E24" s="20">
        <f t="shared" si="1"/>
        <v>-0.18900630329996293</v>
      </c>
    </row>
    <row r="25" spans="1:5" x14ac:dyDescent="0.3">
      <c r="A25" s="6" t="s">
        <v>154</v>
      </c>
      <c r="B25" s="25">
        <v>78.180000000000007</v>
      </c>
      <c r="C25" s="25">
        <v>78.180000000000007</v>
      </c>
      <c r="D25" s="28">
        <f t="shared" si="0"/>
        <v>0</v>
      </c>
      <c r="E25" s="20">
        <f t="shared" si="1"/>
        <v>0</v>
      </c>
    </row>
    <row r="26" spans="1:5" x14ac:dyDescent="0.3">
      <c r="A26" s="6" t="s">
        <v>1204</v>
      </c>
      <c r="B26" s="25">
        <v>11.15</v>
      </c>
      <c r="C26" s="25">
        <v>4.2</v>
      </c>
      <c r="D26" s="28">
        <f t="shared" si="0"/>
        <v>-6.95</v>
      </c>
      <c r="E26" s="20">
        <f t="shared" si="1"/>
        <v>-0.62331838565022424</v>
      </c>
    </row>
    <row r="27" spans="1:5" x14ac:dyDescent="0.3">
      <c r="A27" s="6" t="s">
        <v>1205</v>
      </c>
      <c r="B27" s="25">
        <v>10.06</v>
      </c>
      <c r="C27" s="25">
        <v>6.04</v>
      </c>
      <c r="D27" s="28">
        <f t="shared" si="0"/>
        <v>-4.0200000000000005</v>
      </c>
      <c r="E27" s="20">
        <f t="shared" si="1"/>
        <v>-0.39960238568588474</v>
      </c>
    </row>
    <row r="28" spans="1:5" x14ac:dyDescent="0.3">
      <c r="A28" s="6" t="s">
        <v>1072</v>
      </c>
      <c r="B28" s="25">
        <v>8.7100000000000009</v>
      </c>
      <c r="C28" s="25">
        <v>7.66</v>
      </c>
      <c r="D28" s="28">
        <f t="shared" si="0"/>
        <v>-1.0500000000000007</v>
      </c>
      <c r="E28" s="20">
        <f t="shared" si="1"/>
        <v>-0.1205510907003445</v>
      </c>
    </row>
    <row r="29" spans="1:5" x14ac:dyDescent="0.3">
      <c r="A29" s="10" t="s">
        <v>1206</v>
      </c>
      <c r="B29" s="28">
        <f>SUM(B23:B28)</f>
        <v>831.4899999999999</v>
      </c>
      <c r="C29" s="28">
        <f>SUM(C23:C28)</f>
        <v>689.49999999999989</v>
      </c>
      <c r="D29" s="28">
        <f>SUM(D23:D28)</f>
        <v>-141.98999999999998</v>
      </c>
      <c r="E29" s="20">
        <f>D29/B29</f>
        <v>-0.17076573380317261</v>
      </c>
    </row>
    <row r="30" spans="1:5" x14ac:dyDescent="0.3">
      <c r="A30" s="23" t="s">
        <v>1207</v>
      </c>
    </row>
    <row r="32" spans="1:5" x14ac:dyDescent="0.3">
      <c r="A32" s="3" t="s">
        <v>1208</v>
      </c>
      <c r="B32" s="4"/>
      <c r="C32" s="4"/>
      <c r="D32" s="4"/>
    </row>
    <row r="33" spans="1:6" x14ac:dyDescent="0.3">
      <c r="A33" s="5" t="s">
        <v>1195</v>
      </c>
      <c r="B33" s="5" t="s">
        <v>815</v>
      </c>
      <c r="C33" s="5" t="s">
        <v>1209</v>
      </c>
      <c r="D33" s="5" t="s">
        <v>1210</v>
      </c>
    </row>
    <row r="34" spans="1:6" x14ac:dyDescent="0.3">
      <c r="A34" s="6" t="s">
        <v>155</v>
      </c>
      <c r="B34" s="28">
        <f>C23</f>
        <v>505.93</v>
      </c>
      <c r="C34" s="20">
        <f t="shared" ref="C34:C39" si="2">B34/C$29</f>
        <v>0.73376359680928227</v>
      </c>
      <c r="D34" s="20">
        <f>SUM($C$34:C34)</f>
        <v>0.73376359680928227</v>
      </c>
    </row>
    <row r="35" spans="1:6" x14ac:dyDescent="0.3">
      <c r="A35" s="6" t="s">
        <v>157</v>
      </c>
      <c r="B35" s="28">
        <f>C24</f>
        <v>87.49</v>
      </c>
      <c r="C35" s="20">
        <f t="shared" si="2"/>
        <v>0.12688905003625817</v>
      </c>
      <c r="D35" s="20">
        <f>SUM($C$34:C35)</f>
        <v>0.86065264684554044</v>
      </c>
    </row>
    <row r="36" spans="1:6" x14ac:dyDescent="0.3">
      <c r="A36" s="6" t="s">
        <v>154</v>
      </c>
      <c r="B36" s="28">
        <f>C25</f>
        <v>78.180000000000007</v>
      </c>
      <c r="C36" s="20">
        <f t="shared" si="2"/>
        <v>0.1133865119651922</v>
      </c>
      <c r="D36" s="20">
        <f>SUM($C$34:C36)</f>
        <v>0.97403915881073266</v>
      </c>
    </row>
    <row r="37" spans="1:6" x14ac:dyDescent="0.3">
      <c r="A37" s="6" t="s">
        <v>1072</v>
      </c>
      <c r="B37" s="28">
        <f>C28</f>
        <v>7.66</v>
      </c>
      <c r="C37" s="20">
        <f t="shared" si="2"/>
        <v>1.1109499637418422E-2</v>
      </c>
      <c r="D37" s="20">
        <f>SUM($C$34:C37)</f>
        <v>0.98514865844815114</v>
      </c>
    </row>
    <row r="38" spans="1:6" x14ac:dyDescent="0.3">
      <c r="A38" s="6" t="s">
        <v>1205</v>
      </c>
      <c r="B38" s="28">
        <f>C27</f>
        <v>6.04</v>
      </c>
      <c r="C38" s="20">
        <f t="shared" si="2"/>
        <v>8.7599709934735332E-3</v>
      </c>
      <c r="D38" s="20">
        <f>SUM($C$34:C38)</f>
        <v>0.99390862944162472</v>
      </c>
    </row>
    <row r="39" spans="1:6" x14ac:dyDescent="0.3">
      <c r="A39" s="6" t="s">
        <v>1204</v>
      </c>
      <c r="B39" s="28">
        <f>C26</f>
        <v>4.2</v>
      </c>
      <c r="C39" s="20">
        <f t="shared" si="2"/>
        <v>6.0913705583756361E-3</v>
      </c>
      <c r="D39" s="20">
        <f>SUM($C$34:C39)</f>
        <v>1.0000000000000004</v>
      </c>
    </row>
    <row r="40" spans="1:6" ht="22.8" x14ac:dyDescent="0.3">
      <c r="A40" s="23" t="s">
        <v>1211</v>
      </c>
    </row>
    <row r="42" spans="1:6" x14ac:dyDescent="0.3">
      <c r="A42" s="3" t="s">
        <v>1212</v>
      </c>
      <c r="B42" s="4"/>
      <c r="C42" s="4"/>
      <c r="D42" s="4"/>
      <c r="E42" s="4"/>
      <c r="F42" s="4"/>
    </row>
    <row r="43" spans="1:6" x14ac:dyDescent="0.3">
      <c r="A43" s="5" t="s">
        <v>153</v>
      </c>
      <c r="B43" s="5" t="s">
        <v>117</v>
      </c>
      <c r="C43" s="5" t="s">
        <v>635</v>
      </c>
      <c r="D43" s="5" t="s">
        <v>1213</v>
      </c>
      <c r="E43" s="5" t="s">
        <v>1214</v>
      </c>
      <c r="F43" s="5" t="s">
        <v>1215</v>
      </c>
    </row>
    <row r="44" spans="1:6" x14ac:dyDescent="0.3">
      <c r="A44" s="6" t="s">
        <v>155</v>
      </c>
      <c r="B44" s="25">
        <v>366.81</v>
      </c>
      <c r="C44" s="25">
        <v>66.33</v>
      </c>
      <c r="D44" s="25">
        <v>72.790000000000006</v>
      </c>
      <c r="E44" s="28">
        <f>SUM(B44:D44)</f>
        <v>505.93</v>
      </c>
      <c r="F44" s="20">
        <f>B44/E44</f>
        <v>0.72502124799873502</v>
      </c>
    </row>
    <row r="45" spans="1:6" x14ac:dyDescent="0.3">
      <c r="A45" s="6" t="s">
        <v>157</v>
      </c>
      <c r="B45" s="25">
        <v>53.92</v>
      </c>
      <c r="C45" s="25">
        <v>20.16</v>
      </c>
      <c r="D45" s="25">
        <v>13.41</v>
      </c>
      <c r="E45" s="28">
        <f>SUM(B45:D45)</f>
        <v>87.49</v>
      </c>
      <c r="F45" s="20">
        <f>B45/E45</f>
        <v>0.6162990056006401</v>
      </c>
    </row>
    <row r="46" spans="1:6" x14ac:dyDescent="0.3">
      <c r="A46" s="6" t="s">
        <v>154</v>
      </c>
      <c r="B46" s="25">
        <v>19.71</v>
      </c>
      <c r="C46" s="25">
        <v>45.3</v>
      </c>
      <c r="D46" s="25">
        <v>13.17</v>
      </c>
      <c r="E46" s="28">
        <f>SUM(B46:D46)</f>
        <v>78.179999999999993</v>
      </c>
      <c r="F46" s="20">
        <f>B46/E46</f>
        <v>0.25211051419800462</v>
      </c>
    </row>
    <row r="47" spans="1:6" ht="22.8" x14ac:dyDescent="0.3">
      <c r="A47" s="23" t="s">
        <v>1216</v>
      </c>
    </row>
    <row r="49" spans="1:7" x14ac:dyDescent="0.3">
      <c r="A49" s="3" t="s">
        <v>1217</v>
      </c>
      <c r="B49" s="4"/>
      <c r="C49" s="4"/>
      <c r="D49" s="4"/>
      <c r="E49" s="4"/>
      <c r="F49" s="4"/>
    </row>
    <row r="50" spans="1:7" x14ac:dyDescent="0.3">
      <c r="A50" s="5" t="s">
        <v>1218</v>
      </c>
      <c r="B50" s="5" t="s">
        <v>123</v>
      </c>
      <c r="C50" s="5" t="s">
        <v>1219</v>
      </c>
      <c r="D50" s="5" t="s">
        <v>1220</v>
      </c>
      <c r="E50" s="5" t="s">
        <v>1221</v>
      </c>
      <c r="F50" s="5" t="s">
        <v>1222</v>
      </c>
      <c r="G50" s="5" t="s">
        <v>1223</v>
      </c>
    </row>
    <row r="51" spans="1:7" x14ac:dyDescent="0.3">
      <c r="A51" s="6" t="s">
        <v>135</v>
      </c>
      <c r="B51" s="6" t="s">
        <v>136</v>
      </c>
      <c r="C51" s="13">
        <v>1000</v>
      </c>
      <c r="D51" s="25">
        <v>442.64</v>
      </c>
      <c r="E51" s="13">
        <v>5000</v>
      </c>
      <c r="F51" s="25">
        <v>366.81</v>
      </c>
      <c r="G51" s="30">
        <f>1-F51/D51</f>
        <v>0.17131303090547623</v>
      </c>
    </row>
    <row r="52" spans="1:7" ht="26.4" x14ac:dyDescent="0.3">
      <c r="A52" s="6" t="s">
        <v>138</v>
      </c>
      <c r="B52" s="6" t="s">
        <v>139</v>
      </c>
      <c r="C52" s="13">
        <v>1000</v>
      </c>
      <c r="D52" s="25">
        <v>62.17</v>
      </c>
      <c r="E52" s="13">
        <v>5000</v>
      </c>
      <c r="F52" s="25">
        <v>53.92</v>
      </c>
      <c r="G52" s="30">
        <f>1-F52/D52</f>
        <v>0.13270065948206533</v>
      </c>
    </row>
    <row r="53" spans="1:7" ht="26.4" x14ac:dyDescent="0.3">
      <c r="A53" s="6" t="s">
        <v>129</v>
      </c>
      <c r="B53" s="6" t="s">
        <v>1224</v>
      </c>
      <c r="C53" s="13">
        <v>1000</v>
      </c>
      <c r="D53" s="25">
        <v>831.49</v>
      </c>
      <c r="E53" s="13">
        <v>5000</v>
      </c>
      <c r="F53" s="25">
        <v>689.49</v>
      </c>
      <c r="G53" s="30">
        <f>1-F53/D53</f>
        <v>0.17077776040601811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6"/>
  <sheetViews>
    <sheetView showGridLines="0" workbookViewId="0"/>
  </sheetViews>
  <sheetFormatPr defaultRowHeight="14.4" x14ac:dyDescent="0.3"/>
  <cols>
    <col min="1" max="1" width="34" customWidth="1"/>
    <col min="2" max="2" width="40" customWidth="1"/>
    <col min="3" max="3" width="26" customWidth="1"/>
    <col min="4" max="4" width="40" customWidth="1"/>
    <col min="5" max="6" width="14" customWidth="1"/>
    <col min="7" max="7" width="11" customWidth="1"/>
    <col min="8" max="8" width="13" customWidth="1"/>
    <col min="9" max="9" width="60" customWidth="1"/>
  </cols>
  <sheetData>
    <row r="1" spans="1:7" ht="17.399999999999999" x14ac:dyDescent="0.3">
      <c r="A1" s="1" t="s">
        <v>1225</v>
      </c>
    </row>
    <row r="2" spans="1:7" x14ac:dyDescent="0.3">
      <c r="A2" s="2" t="s">
        <v>1226</v>
      </c>
    </row>
    <row r="4" spans="1:7" x14ac:dyDescent="0.3">
      <c r="A4" s="3" t="s">
        <v>1227</v>
      </c>
      <c r="B4" s="4"/>
      <c r="C4" s="4"/>
      <c r="D4" s="4"/>
      <c r="E4" s="4"/>
      <c r="F4" s="4"/>
      <c r="G4" s="4"/>
    </row>
    <row r="5" spans="1:7" ht="26.4" x14ac:dyDescent="0.3">
      <c r="A5" s="5" t="s">
        <v>120</v>
      </c>
      <c r="B5" s="5" t="s">
        <v>1228</v>
      </c>
      <c r="C5" s="5" t="s">
        <v>1229</v>
      </c>
      <c r="D5" s="5" t="s">
        <v>1230</v>
      </c>
      <c r="E5" s="5" t="s">
        <v>1231</v>
      </c>
      <c r="F5" s="5" t="s">
        <v>1232</v>
      </c>
      <c r="G5" s="5" t="s">
        <v>1233</v>
      </c>
    </row>
    <row r="6" spans="1:7" x14ac:dyDescent="0.3">
      <c r="A6" s="7">
        <v>1</v>
      </c>
      <c r="B6" s="6" t="s">
        <v>1234</v>
      </c>
      <c r="C6" s="6" t="s">
        <v>1235</v>
      </c>
      <c r="D6" s="7">
        <v>0.21199999999999999</v>
      </c>
      <c r="E6" s="6"/>
      <c r="F6" s="6" t="s">
        <v>1236</v>
      </c>
      <c r="G6" s="6" t="s">
        <v>635</v>
      </c>
    </row>
    <row r="7" spans="1:7" ht="26.4" x14ac:dyDescent="0.3">
      <c r="A7" s="7">
        <v>2</v>
      </c>
      <c r="B7" s="6" t="s">
        <v>1237</v>
      </c>
      <c r="C7" s="6" t="s">
        <v>1235</v>
      </c>
      <c r="D7" s="7">
        <v>9.67</v>
      </c>
      <c r="E7" s="6"/>
      <c r="F7" s="6" t="s">
        <v>1236</v>
      </c>
      <c r="G7" s="6" t="s">
        <v>1238</v>
      </c>
    </row>
    <row r="8" spans="1:7" x14ac:dyDescent="0.3">
      <c r="A8" s="7">
        <v>3</v>
      </c>
      <c r="B8" s="6" t="s">
        <v>1239</v>
      </c>
      <c r="C8" s="6" t="s">
        <v>1240</v>
      </c>
      <c r="D8" s="7">
        <v>8.3000000000000007</v>
      </c>
      <c r="E8" s="6"/>
      <c r="F8" s="6" t="s">
        <v>1236</v>
      </c>
      <c r="G8" s="6" t="s">
        <v>1238</v>
      </c>
    </row>
    <row r="9" spans="1:7" x14ac:dyDescent="0.3">
      <c r="A9" s="7">
        <v>4</v>
      </c>
      <c r="B9" s="6" t="s">
        <v>1241</v>
      </c>
      <c r="C9" s="6" t="s">
        <v>135</v>
      </c>
      <c r="D9" s="6"/>
      <c r="E9" s="6"/>
      <c r="F9" s="6" t="s">
        <v>1236</v>
      </c>
      <c r="G9" s="6" t="s">
        <v>1238</v>
      </c>
    </row>
    <row r="10" spans="1:7" x14ac:dyDescent="0.3">
      <c r="A10" s="7">
        <v>5</v>
      </c>
      <c r="B10" s="6" t="s">
        <v>1242</v>
      </c>
      <c r="C10" s="6" t="s">
        <v>356</v>
      </c>
      <c r="D10" s="7">
        <v>89</v>
      </c>
      <c r="E10" s="6"/>
      <c r="F10" s="6" t="s">
        <v>1236</v>
      </c>
      <c r="G10" s="6" t="s">
        <v>1243</v>
      </c>
    </row>
    <row r="11" spans="1:7" x14ac:dyDescent="0.3">
      <c r="A11" s="7">
        <v>6</v>
      </c>
      <c r="B11" s="6" t="s">
        <v>1244</v>
      </c>
      <c r="C11" s="6"/>
      <c r="D11" s="6"/>
      <c r="E11" s="6"/>
      <c r="F11" s="6" t="s">
        <v>1236</v>
      </c>
      <c r="G11" s="6" t="s">
        <v>1243</v>
      </c>
    </row>
    <row r="12" spans="1:7" x14ac:dyDescent="0.3">
      <c r="A12" s="7">
        <v>7</v>
      </c>
      <c r="B12" s="6" t="s">
        <v>1245</v>
      </c>
      <c r="C12" s="6" t="s">
        <v>141</v>
      </c>
      <c r="D12" s="7">
        <v>85.47</v>
      </c>
      <c r="E12" s="6"/>
      <c r="F12" s="6" t="s">
        <v>1236</v>
      </c>
      <c r="G12" s="6" t="s">
        <v>117</v>
      </c>
    </row>
    <row r="13" spans="1:7" x14ac:dyDescent="0.3">
      <c r="A13" s="7">
        <v>8</v>
      </c>
      <c r="B13" s="6" t="s">
        <v>1246</v>
      </c>
      <c r="C13" s="6" t="s">
        <v>141</v>
      </c>
      <c r="D13" s="7">
        <v>85.47</v>
      </c>
      <c r="E13" s="6"/>
      <c r="F13" s="6" t="s">
        <v>1236</v>
      </c>
      <c r="G13" s="6" t="s">
        <v>635</v>
      </c>
    </row>
    <row r="14" spans="1:7" x14ac:dyDescent="0.3">
      <c r="A14" s="7">
        <v>9</v>
      </c>
      <c r="B14" s="6" t="s">
        <v>1247</v>
      </c>
      <c r="C14" s="6" t="s">
        <v>141</v>
      </c>
      <c r="D14" s="7">
        <v>85.47</v>
      </c>
      <c r="E14" s="6"/>
      <c r="F14" s="6" t="s">
        <v>1236</v>
      </c>
      <c r="G14" s="6" t="s">
        <v>635</v>
      </c>
    </row>
    <row r="15" spans="1:7" x14ac:dyDescent="0.3">
      <c r="A15" s="7">
        <v>10</v>
      </c>
      <c r="B15" s="6" t="s">
        <v>1248</v>
      </c>
      <c r="C15" s="6" t="s">
        <v>141</v>
      </c>
      <c r="D15" s="7">
        <v>85.47</v>
      </c>
      <c r="E15" s="6"/>
      <c r="F15" s="6" t="s">
        <v>1236</v>
      </c>
      <c r="G15" s="6" t="s">
        <v>1243</v>
      </c>
    </row>
    <row r="16" spans="1:7" x14ac:dyDescent="0.3">
      <c r="A16" s="7">
        <v>11</v>
      </c>
      <c r="B16" s="6" t="s">
        <v>1249</v>
      </c>
      <c r="C16" s="6" t="s">
        <v>135</v>
      </c>
      <c r="D16" s="7">
        <v>601.52</v>
      </c>
      <c r="E16" s="6"/>
      <c r="F16" s="6" t="s">
        <v>1236</v>
      </c>
      <c r="G16" s="6" t="s">
        <v>1243</v>
      </c>
    </row>
    <row r="17" spans="1:9" x14ac:dyDescent="0.3">
      <c r="A17" s="7">
        <v>12</v>
      </c>
      <c r="B17" s="6" t="s">
        <v>1250</v>
      </c>
      <c r="C17" s="6" t="s">
        <v>138</v>
      </c>
      <c r="D17" s="7">
        <v>118.5</v>
      </c>
      <c r="E17" s="6"/>
      <c r="F17" s="6" t="s">
        <v>1236</v>
      </c>
      <c r="G17" s="6" t="s">
        <v>1243</v>
      </c>
    </row>
    <row r="18" spans="1:9" x14ac:dyDescent="0.3">
      <c r="A18" s="7">
        <v>13</v>
      </c>
      <c r="B18" s="6" t="s">
        <v>1251</v>
      </c>
      <c r="C18" s="6" t="s">
        <v>1252</v>
      </c>
      <c r="D18" s="7">
        <v>10.06</v>
      </c>
      <c r="E18" s="6"/>
      <c r="F18" s="6" t="s">
        <v>1236</v>
      </c>
      <c r="G18" s="6" t="s">
        <v>1238</v>
      </c>
    </row>
    <row r="20" spans="1:9" x14ac:dyDescent="0.3">
      <c r="A20" s="3" t="s">
        <v>1253</v>
      </c>
      <c r="B20" s="4"/>
      <c r="C20" s="4"/>
    </row>
    <row r="21" spans="1:9" x14ac:dyDescent="0.3">
      <c r="A21" s="5" t="s">
        <v>209</v>
      </c>
      <c r="B21" s="5" t="s">
        <v>1254</v>
      </c>
      <c r="C21" s="5" t="s">
        <v>1255</v>
      </c>
    </row>
    <row r="22" spans="1:9" x14ac:dyDescent="0.3">
      <c r="A22" s="6" t="s">
        <v>1256</v>
      </c>
      <c r="B22" s="7">
        <v>1050</v>
      </c>
      <c r="C22" s="30">
        <f>B22/DC_Assembly_Cost!C29-1</f>
        <v>0.5228494517114155</v>
      </c>
    </row>
    <row r="23" spans="1:9" x14ac:dyDescent="0.3">
      <c r="A23" s="6" t="s">
        <v>1257</v>
      </c>
      <c r="B23" s="7">
        <v>1500</v>
      </c>
      <c r="C23" s="30">
        <f>B23/DC_Assembly_Cost!C29-1</f>
        <v>1.1754992167305938</v>
      </c>
    </row>
    <row r="24" spans="1:9" x14ac:dyDescent="0.3">
      <c r="A24" s="6" t="s">
        <v>1258</v>
      </c>
      <c r="B24" s="7">
        <v>780</v>
      </c>
      <c r="C24" s="30">
        <f>B24/DC_Assembly_Cost!C29-1</f>
        <v>0.13125959269990872</v>
      </c>
    </row>
    <row r="26" spans="1:9" x14ac:dyDescent="0.3">
      <c r="A26" s="3" t="s">
        <v>1259</v>
      </c>
      <c r="B26" s="4"/>
      <c r="C26" s="4"/>
      <c r="D26" s="4"/>
      <c r="E26" s="4"/>
      <c r="F26" s="4"/>
      <c r="G26" s="4"/>
      <c r="H26" s="4"/>
    </row>
    <row r="27" spans="1:9" ht="26.4" x14ac:dyDescent="0.3">
      <c r="A27" s="5" t="s">
        <v>1218</v>
      </c>
      <c r="B27" s="5" t="s">
        <v>1243</v>
      </c>
      <c r="C27" s="5" t="s">
        <v>1260</v>
      </c>
      <c r="D27" s="5" t="s">
        <v>74</v>
      </c>
      <c r="E27" s="5" t="s">
        <v>1261</v>
      </c>
      <c r="F27" s="5" t="s">
        <v>1262</v>
      </c>
      <c r="G27" s="5" t="s">
        <v>1223</v>
      </c>
      <c r="H27" s="5" t="s">
        <v>1263</v>
      </c>
      <c r="I27" s="5" t="s">
        <v>1264</v>
      </c>
    </row>
    <row r="28" spans="1:9" ht="26.4" x14ac:dyDescent="0.3">
      <c r="A28" s="6" t="s">
        <v>1265</v>
      </c>
      <c r="B28" s="6" t="s">
        <v>1266</v>
      </c>
      <c r="C28" s="6" t="s">
        <v>1267</v>
      </c>
      <c r="D28" s="6" t="s">
        <v>1268</v>
      </c>
      <c r="E28" s="7">
        <v>115</v>
      </c>
      <c r="F28" s="7">
        <v>70</v>
      </c>
      <c r="G28" s="30">
        <f>1-F28/E28</f>
        <v>0.39130434782608692</v>
      </c>
      <c r="H28" s="7">
        <v>78.180000000000007</v>
      </c>
      <c r="I28" s="6" t="s">
        <v>1269</v>
      </c>
    </row>
    <row r="29" spans="1:9" ht="26.4" x14ac:dyDescent="0.3">
      <c r="A29" s="6" t="s">
        <v>1270</v>
      </c>
      <c r="B29" s="6" t="s">
        <v>1271</v>
      </c>
      <c r="C29" s="6" t="s">
        <v>1272</v>
      </c>
      <c r="D29" s="6" t="s">
        <v>1273</v>
      </c>
      <c r="E29" s="7">
        <v>1450</v>
      </c>
      <c r="F29" s="7">
        <v>1050</v>
      </c>
      <c r="G29" s="30">
        <f>1-F29/E29</f>
        <v>0.27586206896551724</v>
      </c>
      <c r="H29" s="7">
        <v>524</v>
      </c>
      <c r="I29" s="6" t="s">
        <v>1274</v>
      </c>
    </row>
    <row r="30" spans="1:9" ht="26.4" x14ac:dyDescent="0.3">
      <c r="A30" s="6" t="s">
        <v>1275</v>
      </c>
      <c r="B30" s="6" t="s">
        <v>1276</v>
      </c>
      <c r="C30" s="6" t="s">
        <v>1272</v>
      </c>
      <c r="D30" s="6" t="s">
        <v>1277</v>
      </c>
      <c r="E30" s="7">
        <v>98</v>
      </c>
      <c r="F30" s="7">
        <v>76.53</v>
      </c>
      <c r="G30" s="30">
        <f>1-F30/E30</f>
        <v>0.21908163265306124</v>
      </c>
      <c r="H30" s="7">
        <v>87.49</v>
      </c>
      <c r="I30" s="6" t="s">
        <v>1278</v>
      </c>
    </row>
    <row r="32" spans="1:9" ht="26.4" x14ac:dyDescent="0.3">
      <c r="A32" s="10" t="s">
        <v>1279</v>
      </c>
      <c r="E32" s="13">
        <v>1197</v>
      </c>
      <c r="H32" s="13">
        <v>689</v>
      </c>
    </row>
    <row r="34" spans="1:6" x14ac:dyDescent="0.3">
      <c r="A34" s="3" t="s">
        <v>1280</v>
      </c>
      <c r="B34" s="4"/>
      <c r="C34" s="4"/>
    </row>
    <row r="35" spans="1:6" x14ac:dyDescent="0.3">
      <c r="A35" s="33" t="s">
        <v>1281</v>
      </c>
      <c r="B35" s="34"/>
      <c r="C35" s="34"/>
      <c r="D35" s="34"/>
      <c r="E35" s="34"/>
      <c r="F35" s="35"/>
    </row>
    <row r="36" spans="1:6" x14ac:dyDescent="0.3">
      <c r="A36" s="33" t="s">
        <v>1282</v>
      </c>
      <c r="B36" s="34"/>
      <c r="C36" s="34"/>
      <c r="D36" s="34"/>
      <c r="E36" s="34"/>
      <c r="F36" s="35"/>
    </row>
    <row r="37" spans="1:6" x14ac:dyDescent="0.3">
      <c r="A37" s="33" t="s">
        <v>1283</v>
      </c>
      <c r="B37" s="34"/>
      <c r="C37" s="34"/>
      <c r="D37" s="34"/>
      <c r="E37" s="34"/>
      <c r="F37" s="35"/>
    </row>
    <row r="38" spans="1:6" x14ac:dyDescent="0.3">
      <c r="A38" s="33" t="s">
        <v>1284</v>
      </c>
      <c r="B38" s="34"/>
      <c r="C38" s="34"/>
      <c r="D38" s="34"/>
      <c r="E38" s="34"/>
      <c r="F38" s="35"/>
    </row>
    <row r="39" spans="1:6" x14ac:dyDescent="0.3">
      <c r="A39" s="33" t="s">
        <v>1285</v>
      </c>
      <c r="B39" s="34"/>
      <c r="C39" s="34"/>
      <c r="D39" s="34"/>
      <c r="E39" s="34"/>
      <c r="F39" s="35"/>
    </row>
    <row r="41" spans="1:6" x14ac:dyDescent="0.3">
      <c r="A41" s="5" t="s">
        <v>1218</v>
      </c>
      <c r="B41" s="5" t="s">
        <v>123</v>
      </c>
      <c r="C41" s="5" t="s">
        <v>1286</v>
      </c>
    </row>
    <row r="42" spans="1:6" ht="52.8" x14ac:dyDescent="0.3">
      <c r="A42" s="6" t="s">
        <v>135</v>
      </c>
      <c r="B42" s="6" t="s">
        <v>136</v>
      </c>
      <c r="C42" s="6" t="s">
        <v>1287</v>
      </c>
    </row>
    <row r="43" spans="1:6" x14ac:dyDescent="0.3">
      <c r="A43" s="6" t="s">
        <v>138</v>
      </c>
      <c r="B43" s="6" t="s">
        <v>1288</v>
      </c>
      <c r="C43" s="6" t="s">
        <v>1289</v>
      </c>
    </row>
    <row r="44" spans="1:6" ht="26.4" x14ac:dyDescent="0.3">
      <c r="A44" s="6" t="s">
        <v>141</v>
      </c>
      <c r="B44" s="6" t="s">
        <v>1290</v>
      </c>
      <c r="C44" s="6" t="s">
        <v>1291</v>
      </c>
    </row>
    <row r="45" spans="1:6" x14ac:dyDescent="0.3">
      <c r="A45" s="6" t="s">
        <v>1292</v>
      </c>
      <c r="B45" s="6" t="s">
        <v>165</v>
      </c>
      <c r="C45" s="6" t="s">
        <v>1293</v>
      </c>
    </row>
    <row r="46" spans="1:6" ht="26.4" x14ac:dyDescent="0.3">
      <c r="A46" s="6" t="s">
        <v>129</v>
      </c>
      <c r="B46" s="6" t="s">
        <v>1294</v>
      </c>
      <c r="C46" s="6" t="s">
        <v>1295</v>
      </c>
    </row>
  </sheetData>
  <mergeCells count="5">
    <mergeCell ref="A38:F38"/>
    <mergeCell ref="A36:F36"/>
    <mergeCell ref="A37:F37"/>
    <mergeCell ref="A35:F35"/>
    <mergeCell ref="A39:F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8"/>
  <sheetViews>
    <sheetView showGridLines="0" workbookViewId="0"/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70" customWidth="1"/>
    <col min="5" max="5" width="26" customWidth="1"/>
    <col min="6" max="6" width="30" customWidth="1"/>
    <col min="7" max="7" width="10" customWidth="1"/>
    <col min="8" max="8" width="7" customWidth="1"/>
    <col min="9" max="9" width="12" customWidth="1"/>
  </cols>
  <sheetData>
    <row r="1" spans="1:9" ht="17.399999999999999" x14ac:dyDescent="0.3">
      <c r="A1" s="1" t="s">
        <v>1296</v>
      </c>
    </row>
    <row r="2" spans="1:9" x14ac:dyDescent="0.3">
      <c r="A2" s="2" t="s">
        <v>1297</v>
      </c>
    </row>
    <row r="4" spans="1:9" ht="26.4" x14ac:dyDescent="0.3">
      <c r="A4" s="5" t="s">
        <v>1298</v>
      </c>
      <c r="B4" s="5" t="s">
        <v>1299</v>
      </c>
      <c r="C4" s="5" t="s">
        <v>1300</v>
      </c>
      <c r="D4" s="5" t="s">
        <v>1301</v>
      </c>
      <c r="E4" s="5" t="s">
        <v>1302</v>
      </c>
      <c r="F4" s="5" t="s">
        <v>209</v>
      </c>
      <c r="G4" s="5" t="s">
        <v>1303</v>
      </c>
      <c r="H4" s="5" t="s">
        <v>558</v>
      </c>
      <c r="I4" s="5" t="s">
        <v>1304</v>
      </c>
    </row>
    <row r="5" spans="1:9" x14ac:dyDescent="0.3">
      <c r="A5" s="6" t="s">
        <v>1305</v>
      </c>
      <c r="B5" s="6" t="s">
        <v>535</v>
      </c>
      <c r="C5" s="6" t="s">
        <v>1306</v>
      </c>
      <c r="D5" s="6" t="s">
        <v>1307</v>
      </c>
      <c r="E5" s="6" t="s">
        <v>1308</v>
      </c>
      <c r="F5" s="6" t="s">
        <v>1309</v>
      </c>
      <c r="G5" s="6"/>
      <c r="H5" s="6" t="s">
        <v>1310</v>
      </c>
      <c r="I5" s="7">
        <v>1</v>
      </c>
    </row>
    <row r="6" spans="1:9" ht="26.4" x14ac:dyDescent="0.3">
      <c r="A6" s="6" t="s">
        <v>1305</v>
      </c>
      <c r="B6" s="6" t="s">
        <v>1311</v>
      </c>
      <c r="C6" s="6" t="s">
        <v>1312</v>
      </c>
      <c r="D6" s="6" t="s">
        <v>1313</v>
      </c>
      <c r="E6" s="6" t="s">
        <v>1314</v>
      </c>
      <c r="F6" s="6" t="s">
        <v>1315</v>
      </c>
      <c r="G6" s="6" t="s">
        <v>1316</v>
      </c>
      <c r="H6" s="6" t="s">
        <v>1310</v>
      </c>
      <c r="I6" s="7">
        <v>84</v>
      </c>
    </row>
    <row r="7" spans="1:9" x14ac:dyDescent="0.3">
      <c r="A7" s="6" t="s">
        <v>1305</v>
      </c>
      <c r="B7" s="6" t="s">
        <v>266</v>
      </c>
      <c r="C7" s="6" t="s">
        <v>1317</v>
      </c>
      <c r="D7" s="6" t="s">
        <v>1318</v>
      </c>
      <c r="E7" s="6" t="s">
        <v>1319</v>
      </c>
      <c r="F7" s="6" t="s">
        <v>377</v>
      </c>
      <c r="G7" s="6"/>
      <c r="H7" s="6" t="s">
        <v>1310</v>
      </c>
      <c r="I7" s="7">
        <v>12</v>
      </c>
    </row>
    <row r="8" spans="1:9" ht="26.4" x14ac:dyDescent="0.3">
      <c r="A8" s="6" t="s">
        <v>1305</v>
      </c>
      <c r="B8" s="6" t="s">
        <v>1320</v>
      </c>
      <c r="C8" s="6" t="s">
        <v>1321</v>
      </c>
      <c r="D8" s="6" t="s">
        <v>1322</v>
      </c>
      <c r="E8" s="6" t="s">
        <v>1323</v>
      </c>
      <c r="F8" s="6"/>
      <c r="G8" s="6"/>
      <c r="H8" s="6" t="s">
        <v>1310</v>
      </c>
      <c r="I8" s="7">
        <v>1</v>
      </c>
    </row>
    <row r="9" spans="1:9" x14ac:dyDescent="0.3">
      <c r="A9" s="6" t="s">
        <v>1324</v>
      </c>
      <c r="B9" s="6" t="s">
        <v>535</v>
      </c>
      <c r="C9" s="6" t="s">
        <v>1325</v>
      </c>
      <c r="D9" s="6" t="s">
        <v>1326</v>
      </c>
      <c r="E9" s="6" t="s">
        <v>1327</v>
      </c>
      <c r="F9" s="6" t="s">
        <v>1309</v>
      </c>
      <c r="G9" s="6"/>
      <c r="H9" s="6" t="s">
        <v>1310</v>
      </c>
      <c r="I9" s="7">
        <v>1</v>
      </c>
    </row>
    <row r="10" spans="1:9" ht="26.4" x14ac:dyDescent="0.3">
      <c r="A10" s="6" t="s">
        <v>1324</v>
      </c>
      <c r="B10" s="6" t="s">
        <v>1311</v>
      </c>
      <c r="C10" s="6" t="s">
        <v>1328</v>
      </c>
      <c r="D10" s="6" t="s">
        <v>1329</v>
      </c>
      <c r="E10" s="6" t="s">
        <v>1330</v>
      </c>
      <c r="F10" s="6" t="s">
        <v>1315</v>
      </c>
      <c r="G10" s="6" t="s">
        <v>1316</v>
      </c>
      <c r="H10" s="6" t="s">
        <v>1310</v>
      </c>
      <c r="I10" s="7">
        <v>534</v>
      </c>
    </row>
    <row r="11" spans="1:9" x14ac:dyDescent="0.3">
      <c r="A11" s="6" t="s">
        <v>1324</v>
      </c>
      <c r="B11" s="6" t="s">
        <v>266</v>
      </c>
      <c r="C11" s="6" t="s">
        <v>1331</v>
      </c>
      <c r="D11" s="6" t="s">
        <v>1332</v>
      </c>
      <c r="E11" s="6" t="s">
        <v>1333</v>
      </c>
      <c r="F11" s="6" t="s">
        <v>377</v>
      </c>
      <c r="G11" s="6"/>
      <c r="H11" s="6" t="s">
        <v>1310</v>
      </c>
      <c r="I11" s="7">
        <v>89</v>
      </c>
    </row>
    <row r="12" spans="1:9" ht="26.4" x14ac:dyDescent="0.3">
      <c r="A12" s="6" t="s">
        <v>1324</v>
      </c>
      <c r="B12" s="6" t="s">
        <v>1320</v>
      </c>
      <c r="C12" s="6" t="s">
        <v>1334</v>
      </c>
      <c r="D12" s="6" t="s">
        <v>1335</v>
      </c>
      <c r="E12" s="6" t="s">
        <v>1336</v>
      </c>
      <c r="F12" s="6"/>
      <c r="G12" s="6"/>
      <c r="H12" s="6" t="s">
        <v>1310</v>
      </c>
      <c r="I12" s="7">
        <v>1</v>
      </c>
    </row>
    <row r="13" spans="1:9" x14ac:dyDescent="0.3">
      <c r="A13" s="6" t="s">
        <v>1324</v>
      </c>
      <c r="B13" s="6" t="s">
        <v>1337</v>
      </c>
      <c r="C13" s="6" t="s">
        <v>1338</v>
      </c>
      <c r="D13" s="6" t="s">
        <v>1339</v>
      </c>
      <c r="E13" s="6" t="s">
        <v>1340</v>
      </c>
      <c r="F13" s="6"/>
      <c r="G13" s="6"/>
      <c r="H13" s="6" t="s">
        <v>1310</v>
      </c>
      <c r="I13" s="7">
        <v>0.01</v>
      </c>
    </row>
    <row r="15" spans="1:9" x14ac:dyDescent="0.3">
      <c r="A15" s="3" t="s">
        <v>1341</v>
      </c>
      <c r="B15" s="4"/>
      <c r="C15" s="4"/>
      <c r="D15" s="4"/>
      <c r="E15" s="4"/>
      <c r="F15" s="4"/>
      <c r="G15" s="4"/>
    </row>
    <row r="16" spans="1:9" ht="52.8" x14ac:dyDescent="0.3">
      <c r="A16" s="5" t="s">
        <v>1298</v>
      </c>
      <c r="B16" s="5" t="s">
        <v>1342</v>
      </c>
      <c r="C16" s="5" t="s">
        <v>1343</v>
      </c>
      <c r="D16" s="5" t="s">
        <v>1344</v>
      </c>
      <c r="E16" s="5" t="s">
        <v>1345</v>
      </c>
      <c r="F16" s="5" t="s">
        <v>1346</v>
      </c>
      <c r="G16" s="5" t="s">
        <v>1347</v>
      </c>
    </row>
    <row r="17" spans="1:7" ht="26.4" x14ac:dyDescent="0.3">
      <c r="A17" s="6" t="s">
        <v>1305</v>
      </c>
      <c r="B17" s="6" t="s">
        <v>1308</v>
      </c>
      <c r="C17" s="6" t="s">
        <v>1314</v>
      </c>
      <c r="D17" s="6" t="s">
        <v>1315</v>
      </c>
      <c r="E17" s="7">
        <v>84</v>
      </c>
      <c r="F17" s="6" t="s">
        <v>1348</v>
      </c>
      <c r="G17" s="7">
        <v>12</v>
      </c>
    </row>
    <row r="18" spans="1:7" ht="26.4" x14ac:dyDescent="0.3">
      <c r="A18" s="6" t="s">
        <v>1324</v>
      </c>
      <c r="B18" s="6" t="s">
        <v>1327</v>
      </c>
      <c r="C18" s="6" t="s">
        <v>1330</v>
      </c>
      <c r="D18" s="6" t="s">
        <v>1315</v>
      </c>
      <c r="E18" s="7">
        <v>534</v>
      </c>
      <c r="F18" s="6" t="s">
        <v>1349</v>
      </c>
      <c r="G18" s="7">
        <v>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3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1" customWidth="1"/>
    <col min="2" max="2" width="10" customWidth="1"/>
    <col min="3" max="3" width="11" customWidth="1"/>
    <col min="4" max="4" width="16" customWidth="1"/>
    <col min="5" max="6" width="13" customWidth="1"/>
    <col min="7" max="7" width="10" customWidth="1"/>
    <col min="8" max="8" width="12" customWidth="1"/>
    <col min="9" max="10" width="10" customWidth="1"/>
  </cols>
  <sheetData>
    <row r="1" spans="1:10" ht="17.399999999999999" x14ac:dyDescent="0.3">
      <c r="A1" s="1" t="s">
        <v>1350</v>
      </c>
    </row>
    <row r="2" spans="1:10" x14ac:dyDescent="0.3">
      <c r="A2" s="2" t="s">
        <v>1351</v>
      </c>
    </row>
    <row r="4" spans="1:10" ht="26.4" x14ac:dyDescent="0.3">
      <c r="A4" s="5" t="s">
        <v>1352</v>
      </c>
      <c r="B4" s="5" t="s">
        <v>1353</v>
      </c>
      <c r="C4" s="5" t="s">
        <v>1354</v>
      </c>
      <c r="D4" s="5" t="s">
        <v>1355</v>
      </c>
      <c r="E4" s="5" t="s">
        <v>1356</v>
      </c>
      <c r="F4" s="5" t="s">
        <v>1357</v>
      </c>
      <c r="G4" s="5" t="s">
        <v>1358</v>
      </c>
      <c r="H4" s="5" t="s">
        <v>123</v>
      </c>
      <c r="I4" s="5" t="s">
        <v>1359</v>
      </c>
      <c r="J4" s="5" t="s">
        <v>1360</v>
      </c>
    </row>
    <row r="5" spans="1:10" x14ac:dyDescent="0.3">
      <c r="A5" s="6" t="s">
        <v>1361</v>
      </c>
      <c r="B5" s="6"/>
      <c r="C5" s="6" t="s">
        <v>1362</v>
      </c>
      <c r="D5" s="6" t="s">
        <v>1363</v>
      </c>
      <c r="E5" s="16">
        <v>206.11099999999999</v>
      </c>
      <c r="F5" s="16">
        <v>162.93299999999999</v>
      </c>
      <c r="G5" s="7">
        <v>180</v>
      </c>
      <c r="H5" s="6"/>
      <c r="I5" s="6" t="s">
        <v>266</v>
      </c>
      <c r="J5" s="7">
        <v>1</v>
      </c>
    </row>
    <row r="6" spans="1:10" x14ac:dyDescent="0.3">
      <c r="A6" s="6" t="s">
        <v>1364</v>
      </c>
      <c r="B6" s="6"/>
      <c r="C6" s="6" t="s">
        <v>1362</v>
      </c>
      <c r="D6" s="6" t="s">
        <v>1363</v>
      </c>
      <c r="E6" s="16">
        <v>211.33199999999999</v>
      </c>
      <c r="F6" s="16">
        <v>156.44999999999999</v>
      </c>
      <c r="G6" s="7">
        <v>180</v>
      </c>
      <c r="H6" s="6"/>
      <c r="I6" s="6" t="s">
        <v>266</v>
      </c>
      <c r="J6" s="7">
        <v>1</v>
      </c>
    </row>
    <row r="7" spans="1:10" x14ac:dyDescent="0.3">
      <c r="A7" s="6" t="s">
        <v>1365</v>
      </c>
      <c r="B7" s="6"/>
      <c r="C7" s="6" t="s">
        <v>1362</v>
      </c>
      <c r="D7" s="6" t="s">
        <v>1363</v>
      </c>
      <c r="E7" s="16">
        <v>218.15600000000001</v>
      </c>
      <c r="F7" s="16">
        <v>150.10300000000001</v>
      </c>
      <c r="G7" s="7">
        <v>180</v>
      </c>
      <c r="H7" s="6"/>
      <c r="I7" s="6" t="s">
        <v>266</v>
      </c>
      <c r="J7" s="7">
        <v>1</v>
      </c>
    </row>
    <row r="8" spans="1:10" x14ac:dyDescent="0.3">
      <c r="A8" s="6" t="s">
        <v>1366</v>
      </c>
      <c r="B8" s="6"/>
      <c r="C8" s="6" t="s">
        <v>1362</v>
      </c>
      <c r="D8" s="6" t="s">
        <v>1363</v>
      </c>
      <c r="E8" s="16">
        <v>224.53700000000001</v>
      </c>
      <c r="F8" s="16">
        <v>143.55199999999999</v>
      </c>
      <c r="G8" s="7">
        <v>180</v>
      </c>
      <c r="H8" s="6"/>
      <c r="I8" s="6" t="s">
        <v>266</v>
      </c>
      <c r="J8" s="7">
        <v>1</v>
      </c>
    </row>
    <row r="9" spans="1:10" x14ac:dyDescent="0.3">
      <c r="A9" s="6" t="s">
        <v>1367</v>
      </c>
      <c r="B9" s="6"/>
      <c r="C9" s="6" t="s">
        <v>1362</v>
      </c>
      <c r="D9" s="6" t="s">
        <v>1363</v>
      </c>
      <c r="E9" s="16">
        <v>214.79300000000001</v>
      </c>
      <c r="F9" s="16">
        <v>136.16399999999999</v>
      </c>
      <c r="G9" s="7">
        <v>0</v>
      </c>
      <c r="H9" s="6"/>
      <c r="I9" s="6" t="s">
        <v>266</v>
      </c>
      <c r="J9" s="7">
        <v>1</v>
      </c>
    </row>
    <row r="10" spans="1:10" x14ac:dyDescent="0.3">
      <c r="A10" s="6" t="s">
        <v>1368</v>
      </c>
      <c r="B10" s="6"/>
      <c r="C10" s="6" t="s">
        <v>1362</v>
      </c>
      <c r="D10" s="6" t="s">
        <v>1363</v>
      </c>
      <c r="E10" s="16">
        <v>205.97499999999999</v>
      </c>
      <c r="F10" s="16">
        <v>123.898</v>
      </c>
      <c r="G10" s="7">
        <v>180</v>
      </c>
      <c r="H10" s="6"/>
      <c r="I10" s="6" t="s">
        <v>266</v>
      </c>
      <c r="J10" s="7">
        <v>1</v>
      </c>
    </row>
    <row r="11" spans="1:10" x14ac:dyDescent="0.3">
      <c r="A11" s="6" t="s">
        <v>1369</v>
      </c>
      <c r="B11" s="6"/>
      <c r="C11" s="6" t="s">
        <v>1362</v>
      </c>
      <c r="D11" s="6" t="s">
        <v>1363</v>
      </c>
      <c r="E11" s="16">
        <v>211.554</v>
      </c>
      <c r="F11" s="16">
        <v>117.586</v>
      </c>
      <c r="G11" s="7">
        <v>180</v>
      </c>
      <c r="H11" s="6"/>
      <c r="I11" s="6" t="s">
        <v>266</v>
      </c>
      <c r="J11" s="7">
        <v>1</v>
      </c>
    </row>
    <row r="12" spans="1:10" x14ac:dyDescent="0.3">
      <c r="A12" s="6" t="s">
        <v>1370</v>
      </c>
      <c r="B12" s="6"/>
      <c r="C12" s="6" t="s">
        <v>1362</v>
      </c>
      <c r="D12" s="6" t="s">
        <v>1363</v>
      </c>
      <c r="E12" s="16">
        <v>218.054</v>
      </c>
      <c r="F12" s="16">
        <v>111.086</v>
      </c>
      <c r="G12" s="7">
        <v>180</v>
      </c>
      <c r="H12" s="6"/>
      <c r="I12" s="6" t="s">
        <v>266</v>
      </c>
      <c r="J12" s="7">
        <v>1</v>
      </c>
    </row>
    <row r="13" spans="1:10" x14ac:dyDescent="0.3">
      <c r="A13" s="6" t="s">
        <v>1371</v>
      </c>
      <c r="B13" s="6"/>
      <c r="C13" s="6" t="s">
        <v>1362</v>
      </c>
      <c r="D13" s="6" t="s">
        <v>1363</v>
      </c>
      <c r="E13" s="16">
        <v>224.571</v>
      </c>
      <c r="F13" s="16">
        <v>104.60299999999999</v>
      </c>
      <c r="G13" s="7">
        <v>180</v>
      </c>
      <c r="H13" s="6"/>
      <c r="I13" s="6" t="s">
        <v>266</v>
      </c>
      <c r="J13" s="7">
        <v>1</v>
      </c>
    </row>
    <row r="14" spans="1:10" x14ac:dyDescent="0.3">
      <c r="A14" s="6" t="s">
        <v>1372</v>
      </c>
      <c r="B14" s="6"/>
      <c r="C14" s="6" t="s">
        <v>1362</v>
      </c>
      <c r="D14" s="6" t="s">
        <v>1363</v>
      </c>
      <c r="E14" s="16">
        <v>214.79300000000001</v>
      </c>
      <c r="F14" s="16">
        <v>97.164000000000001</v>
      </c>
      <c r="G14" s="7">
        <v>360</v>
      </c>
      <c r="H14" s="6"/>
      <c r="I14" s="6" t="s">
        <v>266</v>
      </c>
      <c r="J14" s="7">
        <v>1</v>
      </c>
    </row>
    <row r="15" spans="1:10" x14ac:dyDescent="0.3">
      <c r="A15" s="6" t="s">
        <v>1373</v>
      </c>
      <c r="B15" s="6"/>
      <c r="C15" s="6" t="s">
        <v>1362</v>
      </c>
      <c r="D15" s="6" t="s">
        <v>1363</v>
      </c>
      <c r="E15" s="16">
        <v>205.6</v>
      </c>
      <c r="F15" s="16">
        <v>84.795000000000002</v>
      </c>
      <c r="G15" s="7">
        <v>180</v>
      </c>
      <c r="H15" s="6"/>
      <c r="I15" s="6" t="s">
        <v>266</v>
      </c>
      <c r="J15" s="7">
        <v>1</v>
      </c>
    </row>
    <row r="16" spans="1:10" x14ac:dyDescent="0.3">
      <c r="A16" s="6" t="s">
        <v>1374</v>
      </c>
      <c r="B16" s="6"/>
      <c r="C16" s="6" t="s">
        <v>1362</v>
      </c>
      <c r="D16" s="6" t="s">
        <v>1363</v>
      </c>
      <c r="E16" s="16">
        <v>211.52199999999999</v>
      </c>
      <c r="F16" s="16">
        <v>78.62</v>
      </c>
      <c r="G16" s="7">
        <v>180</v>
      </c>
      <c r="H16" s="6"/>
      <c r="I16" s="6" t="s">
        <v>266</v>
      </c>
      <c r="J16" s="7">
        <v>1</v>
      </c>
    </row>
    <row r="17" spans="1:10" x14ac:dyDescent="0.3">
      <c r="A17" s="6" t="s">
        <v>1375</v>
      </c>
      <c r="B17" s="6"/>
      <c r="C17" s="6" t="s">
        <v>1362</v>
      </c>
      <c r="D17" s="6" t="s">
        <v>1363</v>
      </c>
      <c r="E17" s="16">
        <v>218.03899999999999</v>
      </c>
      <c r="F17" s="16">
        <v>72.102000000000004</v>
      </c>
      <c r="G17" s="7">
        <v>180</v>
      </c>
      <c r="H17" s="6"/>
      <c r="I17" s="6" t="s">
        <v>266</v>
      </c>
      <c r="J17" s="7">
        <v>1</v>
      </c>
    </row>
    <row r="18" spans="1:10" x14ac:dyDescent="0.3">
      <c r="A18" s="6" t="s">
        <v>1376</v>
      </c>
      <c r="B18" s="6"/>
      <c r="C18" s="6" t="s">
        <v>1362</v>
      </c>
      <c r="D18" s="6" t="s">
        <v>1363</v>
      </c>
      <c r="E18" s="16">
        <v>224.53700000000001</v>
      </c>
      <c r="F18" s="16">
        <v>65.551000000000002</v>
      </c>
      <c r="G18" s="7">
        <v>180</v>
      </c>
      <c r="H18" s="6"/>
      <c r="I18" s="6" t="s">
        <v>266</v>
      </c>
      <c r="J18" s="7">
        <v>1</v>
      </c>
    </row>
    <row r="19" spans="1:10" x14ac:dyDescent="0.3">
      <c r="A19" s="6" t="s">
        <v>1377</v>
      </c>
      <c r="B19" s="6"/>
      <c r="C19" s="6" t="s">
        <v>1362</v>
      </c>
      <c r="D19" s="6" t="s">
        <v>1363</v>
      </c>
      <c r="E19" s="16">
        <v>214.79300000000001</v>
      </c>
      <c r="F19" s="16">
        <v>58.164000000000001</v>
      </c>
      <c r="G19" s="7">
        <v>360</v>
      </c>
      <c r="H19" s="6"/>
      <c r="I19" s="6" t="s">
        <v>266</v>
      </c>
      <c r="J19" s="7">
        <v>1</v>
      </c>
    </row>
    <row r="20" spans="1:10" x14ac:dyDescent="0.3">
      <c r="A20" s="6" t="s">
        <v>1378</v>
      </c>
      <c r="B20" s="6"/>
      <c r="C20" s="6" t="s">
        <v>1362</v>
      </c>
      <c r="D20" s="6" t="s">
        <v>1363</v>
      </c>
      <c r="E20" s="16">
        <v>240.81</v>
      </c>
      <c r="F20" s="16">
        <v>163.71700000000001</v>
      </c>
      <c r="G20" s="7">
        <v>360</v>
      </c>
      <c r="H20" s="6"/>
      <c r="I20" s="6" t="s">
        <v>266</v>
      </c>
      <c r="J20" s="7">
        <v>1</v>
      </c>
    </row>
    <row r="21" spans="1:10" x14ac:dyDescent="0.3">
      <c r="A21" s="6" t="s">
        <v>1379</v>
      </c>
      <c r="B21" s="6"/>
      <c r="C21" s="6" t="s">
        <v>1362</v>
      </c>
      <c r="D21" s="6" t="s">
        <v>1363</v>
      </c>
      <c r="E21" s="16">
        <v>247.29300000000001</v>
      </c>
      <c r="F21" s="16">
        <v>162.16399999999999</v>
      </c>
      <c r="G21" s="7">
        <v>360</v>
      </c>
      <c r="H21" s="6"/>
      <c r="I21" s="6" t="s">
        <v>266</v>
      </c>
      <c r="J21" s="7">
        <v>1</v>
      </c>
    </row>
    <row r="22" spans="1:10" x14ac:dyDescent="0.3">
      <c r="A22" s="6" t="s">
        <v>1380</v>
      </c>
      <c r="B22" s="6"/>
      <c r="C22" s="6" t="s">
        <v>1362</v>
      </c>
      <c r="D22" s="6" t="s">
        <v>1363</v>
      </c>
      <c r="E22" s="16">
        <v>247.29300000000001</v>
      </c>
      <c r="F22" s="16">
        <v>155.66399999999999</v>
      </c>
      <c r="G22" s="7">
        <v>360</v>
      </c>
      <c r="H22" s="6"/>
      <c r="I22" s="6" t="s">
        <v>266</v>
      </c>
      <c r="J22" s="7">
        <v>1</v>
      </c>
    </row>
    <row r="23" spans="1:10" x14ac:dyDescent="0.3">
      <c r="A23" s="6" t="s">
        <v>1381</v>
      </c>
      <c r="B23" s="6"/>
      <c r="C23" s="6" t="s">
        <v>1362</v>
      </c>
      <c r="D23" s="6" t="s">
        <v>1363</v>
      </c>
      <c r="E23" s="16">
        <v>247.29300000000001</v>
      </c>
      <c r="F23" s="16">
        <v>149.16399999999999</v>
      </c>
      <c r="G23" s="7">
        <v>360</v>
      </c>
      <c r="H23" s="6"/>
      <c r="I23" s="6" t="s">
        <v>266</v>
      </c>
      <c r="J23" s="7">
        <v>1</v>
      </c>
    </row>
    <row r="24" spans="1:10" x14ac:dyDescent="0.3">
      <c r="A24" s="6" t="s">
        <v>1382</v>
      </c>
      <c r="B24" s="6"/>
      <c r="C24" s="6" t="s">
        <v>1362</v>
      </c>
      <c r="D24" s="6" t="s">
        <v>1363</v>
      </c>
      <c r="E24" s="16">
        <v>247.29300000000001</v>
      </c>
      <c r="F24" s="16">
        <v>142.66399999999999</v>
      </c>
      <c r="G24" s="7">
        <v>360</v>
      </c>
      <c r="H24" s="6"/>
      <c r="I24" s="6" t="s">
        <v>266</v>
      </c>
      <c r="J24" s="7">
        <v>1</v>
      </c>
    </row>
    <row r="25" spans="1:10" x14ac:dyDescent="0.3">
      <c r="A25" s="6" t="s">
        <v>1383</v>
      </c>
      <c r="B25" s="6"/>
      <c r="C25" s="6" t="s">
        <v>1362</v>
      </c>
      <c r="D25" s="6" t="s">
        <v>1363</v>
      </c>
      <c r="E25" s="16">
        <v>247.29300000000001</v>
      </c>
      <c r="F25" s="16">
        <v>136.16399999999999</v>
      </c>
      <c r="G25" s="7">
        <v>360</v>
      </c>
      <c r="H25" s="6"/>
      <c r="I25" s="6" t="s">
        <v>266</v>
      </c>
      <c r="J25" s="7">
        <v>1</v>
      </c>
    </row>
    <row r="26" spans="1:10" x14ac:dyDescent="0.3">
      <c r="A26" s="6" t="s">
        <v>1384</v>
      </c>
      <c r="B26" s="6"/>
      <c r="C26" s="6" t="s">
        <v>1362</v>
      </c>
      <c r="D26" s="6" t="s">
        <v>1363</v>
      </c>
      <c r="E26" s="16">
        <v>247.29300000000001</v>
      </c>
      <c r="F26" s="16">
        <v>129.66399999999999</v>
      </c>
      <c r="G26" s="7">
        <v>360</v>
      </c>
      <c r="H26" s="6"/>
      <c r="I26" s="6" t="s">
        <v>266</v>
      </c>
      <c r="J26" s="7">
        <v>1</v>
      </c>
    </row>
    <row r="27" spans="1:10" x14ac:dyDescent="0.3">
      <c r="A27" s="6" t="s">
        <v>1385</v>
      </c>
      <c r="B27" s="6"/>
      <c r="C27" s="6" t="s">
        <v>1362</v>
      </c>
      <c r="D27" s="6" t="s">
        <v>1363</v>
      </c>
      <c r="E27" s="16">
        <v>247.29300000000001</v>
      </c>
      <c r="F27" s="16">
        <v>123.164</v>
      </c>
      <c r="G27" s="7">
        <v>360</v>
      </c>
      <c r="H27" s="6"/>
      <c r="I27" s="6" t="s">
        <v>266</v>
      </c>
      <c r="J27" s="7">
        <v>1</v>
      </c>
    </row>
    <row r="28" spans="1:10" x14ac:dyDescent="0.3">
      <c r="A28" s="6" t="s">
        <v>1386</v>
      </c>
      <c r="B28" s="6"/>
      <c r="C28" s="6" t="s">
        <v>1362</v>
      </c>
      <c r="D28" s="6" t="s">
        <v>1363</v>
      </c>
      <c r="E28" s="16">
        <v>247.29300000000001</v>
      </c>
      <c r="F28" s="16">
        <v>116.664</v>
      </c>
      <c r="G28" s="7">
        <v>360</v>
      </c>
      <c r="H28" s="6"/>
      <c r="I28" s="6" t="s">
        <v>266</v>
      </c>
      <c r="J28" s="7">
        <v>1</v>
      </c>
    </row>
    <row r="29" spans="1:10" x14ac:dyDescent="0.3">
      <c r="A29" s="6" t="s">
        <v>1387</v>
      </c>
      <c r="B29" s="6"/>
      <c r="C29" s="6" t="s">
        <v>1362</v>
      </c>
      <c r="D29" s="6" t="s">
        <v>1363</v>
      </c>
      <c r="E29" s="16">
        <v>247.29300000000001</v>
      </c>
      <c r="F29" s="16">
        <v>110.164</v>
      </c>
      <c r="G29" s="7">
        <v>360</v>
      </c>
      <c r="H29" s="6"/>
      <c r="I29" s="6" t="s">
        <v>266</v>
      </c>
      <c r="J29" s="7">
        <v>1</v>
      </c>
    </row>
    <row r="30" spans="1:10" x14ac:dyDescent="0.3">
      <c r="A30" s="6" t="s">
        <v>1388</v>
      </c>
      <c r="B30" s="6"/>
      <c r="C30" s="6" t="s">
        <v>1362</v>
      </c>
      <c r="D30" s="6" t="s">
        <v>1363</v>
      </c>
      <c r="E30" s="16">
        <v>247.29300000000001</v>
      </c>
      <c r="F30" s="16">
        <v>103.664</v>
      </c>
      <c r="G30" s="7">
        <v>360</v>
      </c>
      <c r="H30" s="6"/>
      <c r="I30" s="6" t="s">
        <v>266</v>
      </c>
      <c r="J30" s="7">
        <v>1</v>
      </c>
    </row>
    <row r="31" spans="1:10" x14ac:dyDescent="0.3">
      <c r="A31" s="6" t="s">
        <v>1389</v>
      </c>
      <c r="B31" s="6"/>
      <c r="C31" s="6" t="s">
        <v>1362</v>
      </c>
      <c r="D31" s="6" t="s">
        <v>1363</v>
      </c>
      <c r="E31" s="16">
        <v>247.29300000000001</v>
      </c>
      <c r="F31" s="16">
        <v>97.164000000000001</v>
      </c>
      <c r="G31" s="7">
        <v>360</v>
      </c>
      <c r="H31" s="6"/>
      <c r="I31" s="6" t="s">
        <v>266</v>
      </c>
      <c r="J31" s="7">
        <v>1</v>
      </c>
    </row>
    <row r="32" spans="1:10" x14ac:dyDescent="0.3">
      <c r="A32" s="6" t="s">
        <v>1390</v>
      </c>
      <c r="B32" s="6"/>
      <c r="C32" s="6" t="s">
        <v>1362</v>
      </c>
      <c r="D32" s="6" t="s">
        <v>1363</v>
      </c>
      <c r="E32" s="16">
        <v>247.29300000000001</v>
      </c>
      <c r="F32" s="16">
        <v>90.664000000000001</v>
      </c>
      <c r="G32" s="7">
        <v>360</v>
      </c>
      <c r="H32" s="6"/>
      <c r="I32" s="6" t="s">
        <v>266</v>
      </c>
      <c r="J32" s="7">
        <v>1</v>
      </c>
    </row>
    <row r="33" spans="1:10" x14ac:dyDescent="0.3">
      <c r="A33" s="6" t="s">
        <v>1391</v>
      </c>
      <c r="B33" s="6"/>
      <c r="C33" s="6" t="s">
        <v>1362</v>
      </c>
      <c r="D33" s="6" t="s">
        <v>1363</v>
      </c>
      <c r="E33" s="16">
        <v>247.29300000000001</v>
      </c>
      <c r="F33" s="16">
        <v>84.164000000000001</v>
      </c>
      <c r="G33" s="7">
        <v>360</v>
      </c>
      <c r="H33" s="6"/>
      <c r="I33" s="6" t="s">
        <v>266</v>
      </c>
      <c r="J33" s="7">
        <v>1</v>
      </c>
    </row>
    <row r="34" spans="1:10" x14ac:dyDescent="0.3">
      <c r="A34" s="6" t="s">
        <v>1392</v>
      </c>
      <c r="B34" s="6"/>
      <c r="C34" s="6" t="s">
        <v>1362</v>
      </c>
      <c r="D34" s="6" t="s">
        <v>1363</v>
      </c>
      <c r="E34" s="16">
        <v>247.29300000000001</v>
      </c>
      <c r="F34" s="16">
        <v>77.664000000000001</v>
      </c>
      <c r="G34" s="7">
        <v>360</v>
      </c>
      <c r="H34" s="6"/>
      <c r="I34" s="6" t="s">
        <v>266</v>
      </c>
      <c r="J34" s="7">
        <v>1</v>
      </c>
    </row>
    <row r="35" spans="1:10" x14ac:dyDescent="0.3">
      <c r="A35" s="6" t="s">
        <v>1393</v>
      </c>
      <c r="B35" s="6"/>
      <c r="C35" s="6" t="s">
        <v>1362</v>
      </c>
      <c r="D35" s="6" t="s">
        <v>1363</v>
      </c>
      <c r="E35" s="16">
        <v>240.77600000000001</v>
      </c>
      <c r="F35" s="16">
        <v>66.335999999999999</v>
      </c>
      <c r="G35" s="7">
        <v>360</v>
      </c>
      <c r="H35" s="6"/>
      <c r="I35" s="6" t="s">
        <v>266</v>
      </c>
      <c r="J35" s="7">
        <v>1</v>
      </c>
    </row>
    <row r="36" spans="1:10" x14ac:dyDescent="0.3">
      <c r="A36" s="6" t="s">
        <v>1394</v>
      </c>
      <c r="B36" s="6"/>
      <c r="C36" s="6" t="s">
        <v>1362</v>
      </c>
      <c r="D36" s="6" t="s">
        <v>1363</v>
      </c>
      <c r="E36" s="16">
        <v>247.29300000000001</v>
      </c>
      <c r="F36" s="16">
        <v>64.664000000000001</v>
      </c>
      <c r="G36" s="7">
        <v>360</v>
      </c>
      <c r="H36" s="6"/>
      <c r="I36" s="6" t="s">
        <v>266</v>
      </c>
      <c r="J36" s="7">
        <v>1</v>
      </c>
    </row>
    <row r="37" spans="1:10" x14ac:dyDescent="0.3">
      <c r="A37" s="6" t="s">
        <v>1395</v>
      </c>
      <c r="B37" s="6"/>
      <c r="C37" s="6" t="s">
        <v>1362</v>
      </c>
      <c r="D37" s="6" t="s">
        <v>1363</v>
      </c>
      <c r="E37" s="16">
        <v>247.29300000000001</v>
      </c>
      <c r="F37" s="16">
        <v>58.164000000000001</v>
      </c>
      <c r="G37" s="7">
        <v>360</v>
      </c>
      <c r="H37" s="6"/>
      <c r="I37" s="6" t="s">
        <v>266</v>
      </c>
      <c r="J37" s="7">
        <v>1</v>
      </c>
    </row>
    <row r="38" spans="1:10" x14ac:dyDescent="0.3">
      <c r="A38" s="6" t="s">
        <v>1396</v>
      </c>
      <c r="B38" s="6"/>
      <c r="C38" s="6" t="s">
        <v>1362</v>
      </c>
      <c r="D38" s="6" t="s">
        <v>1363</v>
      </c>
      <c r="E38" s="16">
        <v>240.77600000000001</v>
      </c>
      <c r="F38" s="16">
        <v>46.835999999999999</v>
      </c>
      <c r="G38" s="7">
        <v>360</v>
      </c>
      <c r="H38" s="6"/>
      <c r="I38" s="6" t="s">
        <v>266</v>
      </c>
      <c r="J38" s="7">
        <v>1</v>
      </c>
    </row>
    <row r="39" spans="1:10" x14ac:dyDescent="0.3">
      <c r="A39" s="6" t="s">
        <v>1397</v>
      </c>
      <c r="B39" s="6"/>
      <c r="C39" s="6" t="s">
        <v>1362</v>
      </c>
      <c r="D39" s="6" t="s">
        <v>1363</v>
      </c>
      <c r="E39" s="16">
        <v>201.77600000000001</v>
      </c>
      <c r="F39" s="16">
        <v>46.835999999999999</v>
      </c>
      <c r="G39" s="7">
        <v>360</v>
      </c>
      <c r="H39" s="6"/>
      <c r="I39" s="6" t="s">
        <v>266</v>
      </c>
      <c r="J39" s="7">
        <v>1</v>
      </c>
    </row>
    <row r="40" spans="1:10" x14ac:dyDescent="0.3">
      <c r="A40" s="6" t="s">
        <v>1398</v>
      </c>
      <c r="B40" s="6"/>
      <c r="C40" s="6" t="s">
        <v>1362</v>
      </c>
      <c r="D40" s="6" t="s">
        <v>1363</v>
      </c>
      <c r="E40" s="16">
        <v>162.77600000000001</v>
      </c>
      <c r="F40" s="16">
        <v>46.835999999999999</v>
      </c>
      <c r="G40" s="7">
        <v>360</v>
      </c>
      <c r="H40" s="6"/>
      <c r="I40" s="6" t="s">
        <v>266</v>
      </c>
      <c r="J40" s="7">
        <v>1</v>
      </c>
    </row>
    <row r="41" spans="1:10" x14ac:dyDescent="0.3">
      <c r="A41" s="6" t="s">
        <v>1399</v>
      </c>
      <c r="B41" s="6"/>
      <c r="C41" s="6" t="s">
        <v>1362</v>
      </c>
      <c r="D41" s="6" t="s">
        <v>1363</v>
      </c>
      <c r="E41" s="16">
        <v>123.776</v>
      </c>
      <c r="F41" s="16">
        <v>46.835999999999999</v>
      </c>
      <c r="G41" s="7">
        <v>360</v>
      </c>
      <c r="H41" s="6"/>
      <c r="I41" s="6" t="s">
        <v>266</v>
      </c>
      <c r="J41" s="7">
        <v>1</v>
      </c>
    </row>
    <row r="42" spans="1:10" x14ac:dyDescent="0.3">
      <c r="A42" s="6" t="s">
        <v>1400</v>
      </c>
      <c r="B42" s="6"/>
      <c r="C42" s="6" t="s">
        <v>1362</v>
      </c>
      <c r="D42" s="6" t="s">
        <v>1363</v>
      </c>
      <c r="E42" s="16">
        <v>84.775999999999996</v>
      </c>
      <c r="F42" s="16">
        <v>46.835999999999999</v>
      </c>
      <c r="G42" s="7">
        <v>360</v>
      </c>
      <c r="H42" s="6"/>
      <c r="I42" s="6" t="s">
        <v>266</v>
      </c>
      <c r="J42" s="7">
        <v>1</v>
      </c>
    </row>
    <row r="43" spans="1:10" x14ac:dyDescent="0.3">
      <c r="A43" s="6" t="s">
        <v>1401</v>
      </c>
      <c r="B43" s="6"/>
      <c r="C43" s="6" t="s">
        <v>1362</v>
      </c>
      <c r="D43" s="6" t="s">
        <v>1363</v>
      </c>
      <c r="E43" s="16">
        <v>45.776000000000003</v>
      </c>
      <c r="F43" s="16">
        <v>46.835999999999999</v>
      </c>
      <c r="G43" s="7">
        <v>360</v>
      </c>
      <c r="H43" s="6"/>
      <c r="I43" s="6" t="s">
        <v>266</v>
      </c>
      <c r="J43" s="7">
        <v>1</v>
      </c>
    </row>
    <row r="44" spans="1:10" x14ac:dyDescent="0.3">
      <c r="A44" s="6" t="s">
        <v>1402</v>
      </c>
      <c r="B44" s="6"/>
      <c r="C44" s="6" t="s">
        <v>1362</v>
      </c>
      <c r="D44" s="6" t="s">
        <v>1363</v>
      </c>
      <c r="E44" s="16">
        <v>6.7759999999999998</v>
      </c>
      <c r="F44" s="16">
        <v>46.835999999999999</v>
      </c>
      <c r="G44" s="7">
        <v>360</v>
      </c>
      <c r="H44" s="6"/>
      <c r="I44" s="6" t="s">
        <v>266</v>
      </c>
      <c r="J44" s="7">
        <v>1</v>
      </c>
    </row>
    <row r="45" spans="1:10" x14ac:dyDescent="0.3">
      <c r="A45" s="6" t="s">
        <v>1403</v>
      </c>
      <c r="B45" s="6"/>
      <c r="C45" s="6" t="s">
        <v>1362</v>
      </c>
      <c r="D45" s="6" t="s">
        <v>1363</v>
      </c>
      <c r="E45" s="16">
        <v>247.29300000000001</v>
      </c>
      <c r="F45" s="16">
        <v>45.164000000000001</v>
      </c>
      <c r="G45" s="7">
        <v>360</v>
      </c>
      <c r="H45" s="6"/>
      <c r="I45" s="6" t="s">
        <v>266</v>
      </c>
      <c r="J45" s="7">
        <v>1</v>
      </c>
    </row>
    <row r="46" spans="1:10" x14ac:dyDescent="0.3">
      <c r="A46" s="6" t="s">
        <v>1404</v>
      </c>
      <c r="B46" s="6"/>
      <c r="C46" s="6" t="s">
        <v>1362</v>
      </c>
      <c r="D46" s="6" t="s">
        <v>1363</v>
      </c>
      <c r="E46" s="16">
        <v>208.29300000000001</v>
      </c>
      <c r="F46" s="16">
        <v>45.164000000000001</v>
      </c>
      <c r="G46" s="7">
        <v>360</v>
      </c>
      <c r="H46" s="6"/>
      <c r="I46" s="6" t="s">
        <v>266</v>
      </c>
      <c r="J46" s="7">
        <v>1</v>
      </c>
    </row>
    <row r="47" spans="1:10" x14ac:dyDescent="0.3">
      <c r="A47" s="6" t="s">
        <v>1405</v>
      </c>
      <c r="B47" s="6"/>
      <c r="C47" s="6" t="s">
        <v>1362</v>
      </c>
      <c r="D47" s="6" t="s">
        <v>1363</v>
      </c>
      <c r="E47" s="16">
        <v>169.29300000000001</v>
      </c>
      <c r="F47" s="16">
        <v>45.164000000000001</v>
      </c>
      <c r="G47" s="7">
        <v>360</v>
      </c>
      <c r="H47" s="6"/>
      <c r="I47" s="6" t="s">
        <v>266</v>
      </c>
      <c r="J47" s="7">
        <v>1</v>
      </c>
    </row>
    <row r="48" spans="1:10" x14ac:dyDescent="0.3">
      <c r="A48" s="6" t="s">
        <v>1406</v>
      </c>
      <c r="B48" s="6"/>
      <c r="C48" s="6" t="s">
        <v>1362</v>
      </c>
      <c r="D48" s="6" t="s">
        <v>1363</v>
      </c>
      <c r="E48" s="16">
        <v>130.29300000000001</v>
      </c>
      <c r="F48" s="16">
        <v>45.164000000000001</v>
      </c>
      <c r="G48" s="7">
        <v>360</v>
      </c>
      <c r="H48" s="6"/>
      <c r="I48" s="6" t="s">
        <v>266</v>
      </c>
      <c r="J48" s="7">
        <v>1</v>
      </c>
    </row>
    <row r="49" spans="1:10" x14ac:dyDescent="0.3">
      <c r="A49" s="6" t="s">
        <v>1407</v>
      </c>
      <c r="B49" s="6"/>
      <c r="C49" s="6" t="s">
        <v>1362</v>
      </c>
      <c r="D49" s="6" t="s">
        <v>1363</v>
      </c>
      <c r="E49" s="16">
        <v>91.293000000000006</v>
      </c>
      <c r="F49" s="16">
        <v>45.164000000000001</v>
      </c>
      <c r="G49" s="7">
        <v>360</v>
      </c>
      <c r="H49" s="6"/>
      <c r="I49" s="6" t="s">
        <v>266</v>
      </c>
      <c r="J49" s="7">
        <v>1</v>
      </c>
    </row>
    <row r="50" spans="1:10" x14ac:dyDescent="0.3">
      <c r="A50" s="6" t="s">
        <v>1408</v>
      </c>
      <c r="B50" s="6"/>
      <c r="C50" s="6" t="s">
        <v>1362</v>
      </c>
      <c r="D50" s="6" t="s">
        <v>1363</v>
      </c>
      <c r="E50" s="16">
        <v>52.292999999999999</v>
      </c>
      <c r="F50" s="16">
        <v>45.164000000000001</v>
      </c>
      <c r="G50" s="7">
        <v>360</v>
      </c>
      <c r="H50" s="6"/>
      <c r="I50" s="6" t="s">
        <v>266</v>
      </c>
      <c r="J50" s="7">
        <v>1</v>
      </c>
    </row>
    <row r="51" spans="1:10" x14ac:dyDescent="0.3">
      <c r="A51" s="6" t="s">
        <v>1409</v>
      </c>
      <c r="B51" s="6"/>
      <c r="C51" s="6" t="s">
        <v>1362</v>
      </c>
      <c r="D51" s="6" t="s">
        <v>1363</v>
      </c>
      <c r="E51" s="16">
        <v>13.292999999999999</v>
      </c>
      <c r="F51" s="16">
        <v>45.164000000000001</v>
      </c>
      <c r="G51" s="7">
        <v>360</v>
      </c>
      <c r="H51" s="6"/>
      <c r="I51" s="6" t="s">
        <v>266</v>
      </c>
      <c r="J51" s="7">
        <v>1</v>
      </c>
    </row>
    <row r="52" spans="1:10" x14ac:dyDescent="0.3">
      <c r="A52" s="6" t="s">
        <v>1410</v>
      </c>
      <c r="B52" s="6"/>
      <c r="C52" s="6" t="s">
        <v>1362</v>
      </c>
      <c r="D52" s="6" t="s">
        <v>1363</v>
      </c>
      <c r="E52" s="16">
        <v>247.29300000000001</v>
      </c>
      <c r="F52" s="16">
        <v>38.664000000000001</v>
      </c>
      <c r="G52" s="7">
        <v>360</v>
      </c>
      <c r="H52" s="6"/>
      <c r="I52" s="6" t="s">
        <v>266</v>
      </c>
      <c r="J52" s="7">
        <v>1</v>
      </c>
    </row>
    <row r="53" spans="1:10" x14ac:dyDescent="0.3">
      <c r="A53" s="6" t="s">
        <v>1411</v>
      </c>
      <c r="B53" s="6"/>
      <c r="C53" s="6" t="s">
        <v>1362</v>
      </c>
      <c r="D53" s="6" t="s">
        <v>1363</v>
      </c>
      <c r="E53" s="16">
        <v>208.29300000000001</v>
      </c>
      <c r="F53" s="16">
        <v>38.664000000000001</v>
      </c>
      <c r="G53" s="7">
        <v>360</v>
      </c>
      <c r="H53" s="6"/>
      <c r="I53" s="6" t="s">
        <v>266</v>
      </c>
      <c r="J53" s="7">
        <v>1</v>
      </c>
    </row>
    <row r="54" spans="1:10" x14ac:dyDescent="0.3">
      <c r="A54" s="6" t="s">
        <v>1412</v>
      </c>
      <c r="B54" s="6"/>
      <c r="C54" s="6" t="s">
        <v>1362</v>
      </c>
      <c r="D54" s="6" t="s">
        <v>1363</v>
      </c>
      <c r="E54" s="16">
        <v>169.29300000000001</v>
      </c>
      <c r="F54" s="16">
        <v>38.664000000000001</v>
      </c>
      <c r="G54" s="7">
        <v>360</v>
      </c>
      <c r="H54" s="6"/>
      <c r="I54" s="6" t="s">
        <v>266</v>
      </c>
      <c r="J54" s="7">
        <v>1</v>
      </c>
    </row>
    <row r="55" spans="1:10" x14ac:dyDescent="0.3">
      <c r="A55" s="6" t="s">
        <v>1413</v>
      </c>
      <c r="B55" s="6"/>
      <c r="C55" s="6" t="s">
        <v>1362</v>
      </c>
      <c r="D55" s="6" t="s">
        <v>1363</v>
      </c>
      <c r="E55" s="16">
        <v>130.29300000000001</v>
      </c>
      <c r="F55" s="16">
        <v>38.664000000000001</v>
      </c>
      <c r="G55" s="7">
        <v>360</v>
      </c>
      <c r="H55" s="6"/>
      <c r="I55" s="6" t="s">
        <v>266</v>
      </c>
      <c r="J55" s="7">
        <v>1</v>
      </c>
    </row>
    <row r="56" spans="1:10" x14ac:dyDescent="0.3">
      <c r="A56" s="6" t="s">
        <v>1414</v>
      </c>
      <c r="B56" s="6"/>
      <c r="C56" s="6" t="s">
        <v>1362</v>
      </c>
      <c r="D56" s="6" t="s">
        <v>1363</v>
      </c>
      <c r="E56" s="16">
        <v>91.293000000000006</v>
      </c>
      <c r="F56" s="16">
        <v>38.664000000000001</v>
      </c>
      <c r="G56" s="7">
        <v>360</v>
      </c>
      <c r="H56" s="6"/>
      <c r="I56" s="6" t="s">
        <v>266</v>
      </c>
      <c r="J56" s="7">
        <v>1</v>
      </c>
    </row>
    <row r="57" spans="1:10" x14ac:dyDescent="0.3">
      <c r="A57" s="6" t="s">
        <v>1415</v>
      </c>
      <c r="B57" s="6"/>
      <c r="C57" s="6" t="s">
        <v>1362</v>
      </c>
      <c r="D57" s="6" t="s">
        <v>1363</v>
      </c>
      <c r="E57" s="16">
        <v>52.292999999999999</v>
      </c>
      <c r="F57" s="16">
        <v>38.664000000000001</v>
      </c>
      <c r="G57" s="7">
        <v>360</v>
      </c>
      <c r="H57" s="6"/>
      <c r="I57" s="6" t="s">
        <v>266</v>
      </c>
      <c r="J57" s="7">
        <v>1</v>
      </c>
    </row>
    <row r="58" spans="1:10" x14ac:dyDescent="0.3">
      <c r="A58" s="6" t="s">
        <v>1416</v>
      </c>
      <c r="B58" s="6"/>
      <c r="C58" s="6" t="s">
        <v>1362</v>
      </c>
      <c r="D58" s="6" t="s">
        <v>1363</v>
      </c>
      <c r="E58" s="16">
        <v>13.292999999999999</v>
      </c>
      <c r="F58" s="16">
        <v>38.664000000000001</v>
      </c>
      <c r="G58" s="7">
        <v>360</v>
      </c>
      <c r="H58" s="6"/>
      <c r="I58" s="6" t="s">
        <v>266</v>
      </c>
      <c r="J58" s="7">
        <v>1</v>
      </c>
    </row>
    <row r="59" spans="1:10" x14ac:dyDescent="0.3">
      <c r="A59" s="6" t="s">
        <v>1417</v>
      </c>
      <c r="B59" s="6"/>
      <c r="C59" s="6" t="s">
        <v>1362</v>
      </c>
      <c r="D59" s="6" t="s">
        <v>1363</v>
      </c>
      <c r="E59" s="16">
        <v>247.29300000000001</v>
      </c>
      <c r="F59" s="16">
        <v>32.164000000000001</v>
      </c>
      <c r="G59" s="7">
        <v>360</v>
      </c>
      <c r="H59" s="6"/>
      <c r="I59" s="6" t="s">
        <v>266</v>
      </c>
      <c r="J59" s="7">
        <v>1</v>
      </c>
    </row>
    <row r="60" spans="1:10" x14ac:dyDescent="0.3">
      <c r="A60" s="6" t="s">
        <v>1418</v>
      </c>
      <c r="B60" s="6"/>
      <c r="C60" s="6" t="s">
        <v>1362</v>
      </c>
      <c r="D60" s="6" t="s">
        <v>1363</v>
      </c>
      <c r="E60" s="16">
        <v>208.29300000000001</v>
      </c>
      <c r="F60" s="16">
        <v>32.164000000000001</v>
      </c>
      <c r="G60" s="7">
        <v>360</v>
      </c>
      <c r="H60" s="6"/>
      <c r="I60" s="6" t="s">
        <v>266</v>
      </c>
      <c r="J60" s="7">
        <v>1</v>
      </c>
    </row>
    <row r="61" spans="1:10" x14ac:dyDescent="0.3">
      <c r="A61" s="6" t="s">
        <v>1419</v>
      </c>
      <c r="B61" s="6"/>
      <c r="C61" s="6" t="s">
        <v>1362</v>
      </c>
      <c r="D61" s="6" t="s">
        <v>1363</v>
      </c>
      <c r="E61" s="16">
        <v>169.29300000000001</v>
      </c>
      <c r="F61" s="16">
        <v>32.164000000000001</v>
      </c>
      <c r="G61" s="7">
        <v>360</v>
      </c>
      <c r="H61" s="6"/>
      <c r="I61" s="6" t="s">
        <v>266</v>
      </c>
      <c r="J61" s="7">
        <v>1</v>
      </c>
    </row>
    <row r="62" spans="1:10" x14ac:dyDescent="0.3">
      <c r="A62" s="6" t="s">
        <v>1420</v>
      </c>
      <c r="B62" s="6"/>
      <c r="C62" s="6" t="s">
        <v>1362</v>
      </c>
      <c r="D62" s="6" t="s">
        <v>1363</v>
      </c>
      <c r="E62" s="16">
        <v>130.29300000000001</v>
      </c>
      <c r="F62" s="16">
        <v>32.164000000000001</v>
      </c>
      <c r="G62" s="7">
        <v>360</v>
      </c>
      <c r="H62" s="6"/>
      <c r="I62" s="6" t="s">
        <v>266</v>
      </c>
      <c r="J62" s="7">
        <v>1</v>
      </c>
    </row>
    <row r="63" spans="1:10" x14ac:dyDescent="0.3">
      <c r="A63" s="6" t="s">
        <v>1421</v>
      </c>
      <c r="B63" s="6"/>
      <c r="C63" s="6" t="s">
        <v>1362</v>
      </c>
      <c r="D63" s="6" t="s">
        <v>1363</v>
      </c>
      <c r="E63" s="16">
        <v>91.293000000000006</v>
      </c>
      <c r="F63" s="16">
        <v>32.164000000000001</v>
      </c>
      <c r="G63" s="7">
        <v>360</v>
      </c>
      <c r="H63" s="6"/>
      <c r="I63" s="6" t="s">
        <v>266</v>
      </c>
      <c r="J63" s="7">
        <v>1</v>
      </c>
    </row>
    <row r="64" spans="1:10" x14ac:dyDescent="0.3">
      <c r="A64" s="6" t="s">
        <v>1422</v>
      </c>
      <c r="B64" s="6"/>
      <c r="C64" s="6" t="s">
        <v>1362</v>
      </c>
      <c r="D64" s="6" t="s">
        <v>1363</v>
      </c>
      <c r="E64" s="16">
        <v>52.292999999999999</v>
      </c>
      <c r="F64" s="16">
        <v>32.164000000000001</v>
      </c>
      <c r="G64" s="7">
        <v>360</v>
      </c>
      <c r="H64" s="6"/>
      <c r="I64" s="6" t="s">
        <v>266</v>
      </c>
      <c r="J64" s="7">
        <v>1</v>
      </c>
    </row>
    <row r="65" spans="1:10" x14ac:dyDescent="0.3">
      <c r="A65" s="6" t="s">
        <v>1423</v>
      </c>
      <c r="B65" s="6"/>
      <c r="C65" s="6" t="s">
        <v>1362</v>
      </c>
      <c r="D65" s="6" t="s">
        <v>1363</v>
      </c>
      <c r="E65" s="16">
        <v>13.292999999999999</v>
      </c>
      <c r="F65" s="16">
        <v>32.164000000000001</v>
      </c>
      <c r="G65" s="7">
        <v>360</v>
      </c>
      <c r="H65" s="6"/>
      <c r="I65" s="6" t="s">
        <v>266</v>
      </c>
      <c r="J65" s="7">
        <v>1</v>
      </c>
    </row>
    <row r="66" spans="1:10" x14ac:dyDescent="0.3">
      <c r="A66" s="6" t="s">
        <v>1424</v>
      </c>
      <c r="B66" s="6"/>
      <c r="C66" s="6" t="s">
        <v>1362</v>
      </c>
      <c r="D66" s="6" t="s">
        <v>1363</v>
      </c>
      <c r="E66" s="16">
        <v>247.29300000000001</v>
      </c>
      <c r="F66" s="16">
        <v>25.664000000000001</v>
      </c>
      <c r="G66" s="7">
        <v>360</v>
      </c>
      <c r="H66" s="6"/>
      <c r="I66" s="6" t="s">
        <v>266</v>
      </c>
      <c r="J66" s="7">
        <v>1</v>
      </c>
    </row>
    <row r="67" spans="1:10" x14ac:dyDescent="0.3">
      <c r="A67" s="6" t="s">
        <v>1425</v>
      </c>
      <c r="B67" s="6"/>
      <c r="C67" s="6" t="s">
        <v>1362</v>
      </c>
      <c r="D67" s="6" t="s">
        <v>1363</v>
      </c>
      <c r="E67" s="16">
        <v>208.29300000000001</v>
      </c>
      <c r="F67" s="16">
        <v>25.664000000000001</v>
      </c>
      <c r="G67" s="7">
        <v>360</v>
      </c>
      <c r="H67" s="6"/>
      <c r="I67" s="6" t="s">
        <v>266</v>
      </c>
      <c r="J67" s="7">
        <v>1</v>
      </c>
    </row>
    <row r="68" spans="1:10" x14ac:dyDescent="0.3">
      <c r="A68" s="6" t="s">
        <v>1426</v>
      </c>
      <c r="B68" s="6"/>
      <c r="C68" s="6" t="s">
        <v>1362</v>
      </c>
      <c r="D68" s="6" t="s">
        <v>1363</v>
      </c>
      <c r="E68" s="16">
        <v>169.29300000000001</v>
      </c>
      <c r="F68" s="16">
        <v>25.664000000000001</v>
      </c>
      <c r="G68" s="7">
        <v>360</v>
      </c>
      <c r="H68" s="6"/>
      <c r="I68" s="6" t="s">
        <v>266</v>
      </c>
      <c r="J68" s="7">
        <v>1</v>
      </c>
    </row>
    <row r="69" spans="1:10" x14ac:dyDescent="0.3">
      <c r="A69" s="6" t="s">
        <v>1427</v>
      </c>
      <c r="B69" s="6"/>
      <c r="C69" s="6" t="s">
        <v>1362</v>
      </c>
      <c r="D69" s="6" t="s">
        <v>1363</v>
      </c>
      <c r="E69" s="16">
        <v>130.29300000000001</v>
      </c>
      <c r="F69" s="16">
        <v>25.664000000000001</v>
      </c>
      <c r="G69" s="7">
        <v>360</v>
      </c>
      <c r="H69" s="6"/>
      <c r="I69" s="6" t="s">
        <v>266</v>
      </c>
      <c r="J69" s="7">
        <v>1</v>
      </c>
    </row>
    <row r="70" spans="1:10" x14ac:dyDescent="0.3">
      <c r="A70" s="6" t="s">
        <v>1428</v>
      </c>
      <c r="B70" s="6"/>
      <c r="C70" s="6" t="s">
        <v>1362</v>
      </c>
      <c r="D70" s="6" t="s">
        <v>1363</v>
      </c>
      <c r="E70" s="16">
        <v>91.293000000000006</v>
      </c>
      <c r="F70" s="16">
        <v>25.664000000000001</v>
      </c>
      <c r="G70" s="7">
        <v>360</v>
      </c>
      <c r="H70" s="6"/>
      <c r="I70" s="6" t="s">
        <v>266</v>
      </c>
      <c r="J70" s="7">
        <v>1</v>
      </c>
    </row>
    <row r="71" spans="1:10" x14ac:dyDescent="0.3">
      <c r="A71" s="6" t="s">
        <v>1429</v>
      </c>
      <c r="B71" s="6"/>
      <c r="C71" s="6" t="s">
        <v>1362</v>
      </c>
      <c r="D71" s="6" t="s">
        <v>1363</v>
      </c>
      <c r="E71" s="16">
        <v>52.292999999999999</v>
      </c>
      <c r="F71" s="16">
        <v>25.664000000000001</v>
      </c>
      <c r="G71" s="7">
        <v>360</v>
      </c>
      <c r="H71" s="6"/>
      <c r="I71" s="6" t="s">
        <v>266</v>
      </c>
      <c r="J71" s="7">
        <v>1</v>
      </c>
    </row>
    <row r="72" spans="1:10" x14ac:dyDescent="0.3">
      <c r="A72" s="6" t="s">
        <v>1430</v>
      </c>
      <c r="B72" s="6"/>
      <c r="C72" s="6" t="s">
        <v>1362</v>
      </c>
      <c r="D72" s="6" t="s">
        <v>1363</v>
      </c>
      <c r="E72" s="16">
        <v>13.292999999999999</v>
      </c>
      <c r="F72" s="16">
        <v>25.664000000000001</v>
      </c>
      <c r="G72" s="7">
        <v>360</v>
      </c>
      <c r="H72" s="6"/>
      <c r="I72" s="6" t="s">
        <v>266</v>
      </c>
      <c r="J72" s="7">
        <v>1</v>
      </c>
    </row>
    <row r="73" spans="1:10" x14ac:dyDescent="0.3">
      <c r="A73" s="6" t="s">
        <v>1431</v>
      </c>
      <c r="B73" s="6"/>
      <c r="C73" s="6" t="s">
        <v>1362</v>
      </c>
      <c r="D73" s="6" t="s">
        <v>1363</v>
      </c>
      <c r="E73" s="16">
        <v>247.29300000000001</v>
      </c>
      <c r="F73" s="16">
        <v>19.164000000000001</v>
      </c>
      <c r="G73" s="7">
        <v>360</v>
      </c>
      <c r="H73" s="6"/>
      <c r="I73" s="6" t="s">
        <v>266</v>
      </c>
      <c r="J73" s="7">
        <v>1</v>
      </c>
    </row>
    <row r="74" spans="1:10" x14ac:dyDescent="0.3">
      <c r="A74" s="6" t="s">
        <v>1432</v>
      </c>
      <c r="B74" s="6"/>
      <c r="C74" s="6" t="s">
        <v>1362</v>
      </c>
      <c r="D74" s="6" t="s">
        <v>1363</v>
      </c>
      <c r="E74" s="16">
        <v>208.29300000000001</v>
      </c>
      <c r="F74" s="16">
        <v>19.164000000000001</v>
      </c>
      <c r="G74" s="7">
        <v>360</v>
      </c>
      <c r="H74" s="6"/>
      <c r="I74" s="6" t="s">
        <v>266</v>
      </c>
      <c r="J74" s="7">
        <v>1</v>
      </c>
    </row>
    <row r="75" spans="1:10" x14ac:dyDescent="0.3">
      <c r="A75" s="6" t="s">
        <v>1433</v>
      </c>
      <c r="B75" s="6"/>
      <c r="C75" s="6" t="s">
        <v>1362</v>
      </c>
      <c r="D75" s="6" t="s">
        <v>1363</v>
      </c>
      <c r="E75" s="16">
        <v>169.29300000000001</v>
      </c>
      <c r="F75" s="16">
        <v>19.164000000000001</v>
      </c>
      <c r="G75" s="7">
        <v>360</v>
      </c>
      <c r="H75" s="6"/>
      <c r="I75" s="6" t="s">
        <v>266</v>
      </c>
      <c r="J75" s="7">
        <v>1</v>
      </c>
    </row>
    <row r="76" spans="1:10" x14ac:dyDescent="0.3">
      <c r="A76" s="6" t="s">
        <v>1434</v>
      </c>
      <c r="B76" s="6"/>
      <c r="C76" s="6" t="s">
        <v>1362</v>
      </c>
      <c r="D76" s="6" t="s">
        <v>1363</v>
      </c>
      <c r="E76" s="16">
        <v>130.29300000000001</v>
      </c>
      <c r="F76" s="16">
        <v>19.164000000000001</v>
      </c>
      <c r="G76" s="7">
        <v>360</v>
      </c>
      <c r="H76" s="6"/>
      <c r="I76" s="6" t="s">
        <v>266</v>
      </c>
      <c r="J76" s="7">
        <v>1</v>
      </c>
    </row>
    <row r="77" spans="1:10" x14ac:dyDescent="0.3">
      <c r="A77" s="6" t="s">
        <v>1435</v>
      </c>
      <c r="B77" s="6"/>
      <c r="C77" s="6" t="s">
        <v>1362</v>
      </c>
      <c r="D77" s="6" t="s">
        <v>1363</v>
      </c>
      <c r="E77" s="16">
        <v>91.293000000000006</v>
      </c>
      <c r="F77" s="16">
        <v>19.164000000000001</v>
      </c>
      <c r="G77" s="7">
        <v>360</v>
      </c>
      <c r="H77" s="6"/>
      <c r="I77" s="6" t="s">
        <v>266</v>
      </c>
      <c r="J77" s="7">
        <v>1</v>
      </c>
    </row>
    <row r="78" spans="1:10" x14ac:dyDescent="0.3">
      <c r="A78" s="6" t="s">
        <v>1436</v>
      </c>
      <c r="B78" s="6"/>
      <c r="C78" s="6" t="s">
        <v>1362</v>
      </c>
      <c r="D78" s="6" t="s">
        <v>1363</v>
      </c>
      <c r="E78" s="16">
        <v>52.292999999999999</v>
      </c>
      <c r="F78" s="16">
        <v>19.164000000000001</v>
      </c>
      <c r="G78" s="7">
        <v>360</v>
      </c>
      <c r="H78" s="6"/>
      <c r="I78" s="6" t="s">
        <v>266</v>
      </c>
      <c r="J78" s="7">
        <v>1</v>
      </c>
    </row>
    <row r="79" spans="1:10" x14ac:dyDescent="0.3">
      <c r="A79" s="6" t="s">
        <v>1437</v>
      </c>
      <c r="B79" s="6"/>
      <c r="C79" s="6" t="s">
        <v>1362</v>
      </c>
      <c r="D79" s="6" t="s">
        <v>1363</v>
      </c>
      <c r="E79" s="16">
        <v>13.292999999999999</v>
      </c>
      <c r="F79" s="16">
        <v>19.164000000000001</v>
      </c>
      <c r="G79" s="7">
        <v>360</v>
      </c>
      <c r="H79" s="6"/>
      <c r="I79" s="6" t="s">
        <v>266</v>
      </c>
      <c r="J79" s="7">
        <v>1</v>
      </c>
    </row>
    <row r="80" spans="1:10" x14ac:dyDescent="0.3">
      <c r="A80" s="6" t="s">
        <v>1438</v>
      </c>
      <c r="B80" s="6"/>
      <c r="C80" s="6" t="s">
        <v>1362</v>
      </c>
      <c r="D80" s="6" t="s">
        <v>1363</v>
      </c>
      <c r="E80" s="16">
        <v>247.29300000000001</v>
      </c>
      <c r="F80" s="16">
        <v>12.664</v>
      </c>
      <c r="G80" s="7">
        <v>360</v>
      </c>
      <c r="H80" s="6"/>
      <c r="I80" s="6" t="s">
        <v>266</v>
      </c>
      <c r="J80" s="7">
        <v>1</v>
      </c>
    </row>
    <row r="81" spans="1:10" x14ac:dyDescent="0.3">
      <c r="A81" s="6" t="s">
        <v>1439</v>
      </c>
      <c r="B81" s="6"/>
      <c r="C81" s="6" t="s">
        <v>1362</v>
      </c>
      <c r="D81" s="6" t="s">
        <v>1363</v>
      </c>
      <c r="E81" s="16">
        <v>208.29300000000001</v>
      </c>
      <c r="F81" s="16">
        <v>12.664</v>
      </c>
      <c r="G81" s="7">
        <v>360</v>
      </c>
      <c r="H81" s="6"/>
      <c r="I81" s="6" t="s">
        <v>266</v>
      </c>
      <c r="J81" s="7">
        <v>1</v>
      </c>
    </row>
    <row r="82" spans="1:10" x14ac:dyDescent="0.3">
      <c r="A82" s="6" t="s">
        <v>1440</v>
      </c>
      <c r="B82" s="6"/>
      <c r="C82" s="6" t="s">
        <v>1362</v>
      </c>
      <c r="D82" s="6" t="s">
        <v>1363</v>
      </c>
      <c r="E82" s="16">
        <v>169.29300000000001</v>
      </c>
      <c r="F82" s="16">
        <v>12.664</v>
      </c>
      <c r="G82" s="7">
        <v>360</v>
      </c>
      <c r="H82" s="6"/>
      <c r="I82" s="6" t="s">
        <v>266</v>
      </c>
      <c r="J82" s="7">
        <v>1</v>
      </c>
    </row>
    <row r="83" spans="1:10" x14ac:dyDescent="0.3">
      <c r="A83" s="6" t="s">
        <v>1441</v>
      </c>
      <c r="B83" s="6"/>
      <c r="C83" s="6" t="s">
        <v>1362</v>
      </c>
      <c r="D83" s="6" t="s">
        <v>1363</v>
      </c>
      <c r="E83" s="16">
        <v>130.29300000000001</v>
      </c>
      <c r="F83" s="16">
        <v>12.664</v>
      </c>
      <c r="G83" s="7">
        <v>360</v>
      </c>
      <c r="H83" s="6"/>
      <c r="I83" s="6" t="s">
        <v>266</v>
      </c>
      <c r="J83" s="7">
        <v>1</v>
      </c>
    </row>
    <row r="84" spans="1:10" x14ac:dyDescent="0.3">
      <c r="A84" s="6" t="s">
        <v>1442</v>
      </c>
      <c r="B84" s="6"/>
      <c r="C84" s="6" t="s">
        <v>1362</v>
      </c>
      <c r="D84" s="6" t="s">
        <v>1363</v>
      </c>
      <c r="E84" s="16">
        <v>91.293000000000006</v>
      </c>
      <c r="F84" s="16">
        <v>12.664</v>
      </c>
      <c r="G84" s="7">
        <v>360</v>
      </c>
      <c r="H84" s="6"/>
      <c r="I84" s="6" t="s">
        <v>266</v>
      </c>
      <c r="J84" s="7">
        <v>1</v>
      </c>
    </row>
    <row r="85" spans="1:10" x14ac:dyDescent="0.3">
      <c r="A85" s="6" t="s">
        <v>1443</v>
      </c>
      <c r="B85" s="6"/>
      <c r="C85" s="6" t="s">
        <v>1362</v>
      </c>
      <c r="D85" s="6" t="s">
        <v>1363</v>
      </c>
      <c r="E85" s="16">
        <v>52.292999999999999</v>
      </c>
      <c r="F85" s="16">
        <v>12.664</v>
      </c>
      <c r="G85" s="7">
        <v>360</v>
      </c>
      <c r="H85" s="6"/>
      <c r="I85" s="6" t="s">
        <v>266</v>
      </c>
      <c r="J85" s="7">
        <v>1</v>
      </c>
    </row>
    <row r="86" spans="1:10" x14ac:dyDescent="0.3">
      <c r="A86" s="6" t="s">
        <v>1444</v>
      </c>
      <c r="B86" s="6"/>
      <c r="C86" s="6" t="s">
        <v>1362</v>
      </c>
      <c r="D86" s="6" t="s">
        <v>1363</v>
      </c>
      <c r="E86" s="16">
        <v>13.292999999999999</v>
      </c>
      <c r="F86" s="16">
        <v>12.664</v>
      </c>
      <c r="G86" s="7">
        <v>360</v>
      </c>
      <c r="H86" s="6"/>
      <c r="I86" s="6" t="s">
        <v>266</v>
      </c>
      <c r="J86" s="7">
        <v>1</v>
      </c>
    </row>
    <row r="87" spans="1:10" x14ac:dyDescent="0.3">
      <c r="A87" s="6" t="s">
        <v>1445</v>
      </c>
      <c r="B87" s="6"/>
      <c r="C87" s="6" t="s">
        <v>1362</v>
      </c>
      <c r="D87" s="6" t="s">
        <v>1363</v>
      </c>
      <c r="E87" s="16">
        <v>247.29300000000001</v>
      </c>
      <c r="F87" s="16">
        <v>6.1639999999999997</v>
      </c>
      <c r="G87" s="7">
        <v>360</v>
      </c>
      <c r="H87" s="6"/>
      <c r="I87" s="6" t="s">
        <v>266</v>
      </c>
      <c r="J87" s="7">
        <v>1</v>
      </c>
    </row>
    <row r="88" spans="1:10" x14ac:dyDescent="0.3">
      <c r="A88" s="6" t="s">
        <v>1446</v>
      </c>
      <c r="B88" s="6"/>
      <c r="C88" s="6" t="s">
        <v>1362</v>
      </c>
      <c r="D88" s="6" t="s">
        <v>1363</v>
      </c>
      <c r="E88" s="16">
        <v>208.29300000000001</v>
      </c>
      <c r="F88" s="16">
        <v>6.1639999999999997</v>
      </c>
      <c r="G88" s="7">
        <v>360</v>
      </c>
      <c r="H88" s="6"/>
      <c r="I88" s="6" t="s">
        <v>266</v>
      </c>
      <c r="J88" s="7">
        <v>1</v>
      </c>
    </row>
    <row r="89" spans="1:10" x14ac:dyDescent="0.3">
      <c r="A89" s="6" t="s">
        <v>1447</v>
      </c>
      <c r="B89" s="6"/>
      <c r="C89" s="6" t="s">
        <v>1362</v>
      </c>
      <c r="D89" s="6" t="s">
        <v>1363</v>
      </c>
      <c r="E89" s="16">
        <v>169.29300000000001</v>
      </c>
      <c r="F89" s="16">
        <v>6.1639999999999997</v>
      </c>
      <c r="G89" s="7">
        <v>360</v>
      </c>
      <c r="H89" s="6"/>
      <c r="I89" s="6" t="s">
        <v>266</v>
      </c>
      <c r="J89" s="7">
        <v>1</v>
      </c>
    </row>
    <row r="90" spans="1:10" x14ac:dyDescent="0.3">
      <c r="A90" s="6" t="s">
        <v>1448</v>
      </c>
      <c r="B90" s="6"/>
      <c r="C90" s="6" t="s">
        <v>1362</v>
      </c>
      <c r="D90" s="6" t="s">
        <v>1363</v>
      </c>
      <c r="E90" s="16">
        <v>130.29300000000001</v>
      </c>
      <c r="F90" s="16">
        <v>6.1639999999999997</v>
      </c>
      <c r="G90" s="7">
        <v>360</v>
      </c>
      <c r="H90" s="6"/>
      <c r="I90" s="6" t="s">
        <v>266</v>
      </c>
      <c r="J90" s="7">
        <v>1</v>
      </c>
    </row>
    <row r="91" spans="1:10" x14ac:dyDescent="0.3">
      <c r="A91" s="6" t="s">
        <v>1449</v>
      </c>
      <c r="B91" s="6"/>
      <c r="C91" s="6" t="s">
        <v>1362</v>
      </c>
      <c r="D91" s="6" t="s">
        <v>1363</v>
      </c>
      <c r="E91" s="16">
        <v>91.293000000000006</v>
      </c>
      <c r="F91" s="16">
        <v>6.1639999999999997</v>
      </c>
      <c r="G91" s="7">
        <v>360</v>
      </c>
      <c r="H91" s="6"/>
      <c r="I91" s="6" t="s">
        <v>266</v>
      </c>
      <c r="J91" s="7">
        <v>1</v>
      </c>
    </row>
    <row r="92" spans="1:10" x14ac:dyDescent="0.3">
      <c r="A92" s="6" t="s">
        <v>1450</v>
      </c>
      <c r="B92" s="6"/>
      <c r="C92" s="6" t="s">
        <v>1362</v>
      </c>
      <c r="D92" s="6" t="s">
        <v>1363</v>
      </c>
      <c r="E92" s="16">
        <v>52.292999999999999</v>
      </c>
      <c r="F92" s="16">
        <v>6.1639999999999997</v>
      </c>
      <c r="G92" s="7">
        <v>360</v>
      </c>
      <c r="H92" s="6"/>
      <c r="I92" s="6" t="s">
        <v>266</v>
      </c>
      <c r="J92" s="7">
        <v>1</v>
      </c>
    </row>
    <row r="93" spans="1:10" x14ac:dyDescent="0.3">
      <c r="A93" s="6" t="s">
        <v>1451</v>
      </c>
      <c r="B93" s="6"/>
      <c r="C93" s="6" t="s">
        <v>1362</v>
      </c>
      <c r="D93" s="6" t="s">
        <v>1363</v>
      </c>
      <c r="E93" s="16">
        <v>13.292999999999999</v>
      </c>
      <c r="F93" s="16">
        <v>6.1639999999999997</v>
      </c>
      <c r="G93" s="7">
        <v>360</v>
      </c>
      <c r="H93" s="6"/>
      <c r="I93" s="6" t="s">
        <v>266</v>
      </c>
      <c r="J93" s="7">
        <v>1</v>
      </c>
    </row>
    <row r="94" spans="1:10" x14ac:dyDescent="0.3">
      <c r="A94" s="6" t="s">
        <v>1452</v>
      </c>
      <c r="B94" s="6"/>
      <c r="C94" s="6" t="s">
        <v>1362</v>
      </c>
      <c r="D94" s="6" t="s">
        <v>1453</v>
      </c>
      <c r="E94" s="16">
        <v>270.05</v>
      </c>
      <c r="F94" s="16">
        <v>166.35</v>
      </c>
      <c r="G94" s="7">
        <v>360</v>
      </c>
      <c r="H94" s="6"/>
      <c r="I94" s="6" t="s">
        <v>1311</v>
      </c>
      <c r="J94" s="7">
        <v>1</v>
      </c>
    </row>
    <row r="95" spans="1:10" x14ac:dyDescent="0.3">
      <c r="A95" s="6" t="s">
        <v>1454</v>
      </c>
      <c r="B95" s="6"/>
      <c r="C95" s="6" t="s">
        <v>1362</v>
      </c>
      <c r="D95" s="6" t="s">
        <v>1453</v>
      </c>
      <c r="E95" s="16">
        <v>263.55</v>
      </c>
      <c r="F95" s="16">
        <v>166.35</v>
      </c>
      <c r="G95" s="7">
        <v>360</v>
      </c>
      <c r="H95" s="6"/>
      <c r="I95" s="6" t="s">
        <v>1311</v>
      </c>
      <c r="J95" s="7">
        <v>1</v>
      </c>
    </row>
    <row r="96" spans="1:10" x14ac:dyDescent="0.3">
      <c r="A96" s="6" t="s">
        <v>1455</v>
      </c>
      <c r="B96" s="6"/>
      <c r="C96" s="6" t="s">
        <v>1362</v>
      </c>
      <c r="D96" s="6" t="s">
        <v>1453</v>
      </c>
      <c r="E96" s="16">
        <v>257.05</v>
      </c>
      <c r="F96" s="16">
        <v>166.35</v>
      </c>
      <c r="G96" s="7">
        <v>360</v>
      </c>
      <c r="H96" s="6"/>
      <c r="I96" s="6" t="s">
        <v>1311</v>
      </c>
      <c r="J96" s="7">
        <v>1</v>
      </c>
    </row>
    <row r="97" spans="1:10" x14ac:dyDescent="0.3">
      <c r="A97" s="6" t="s">
        <v>1456</v>
      </c>
      <c r="B97" s="6"/>
      <c r="C97" s="6" t="s">
        <v>1362</v>
      </c>
      <c r="D97" s="6" t="s">
        <v>1453</v>
      </c>
      <c r="E97" s="16">
        <v>250.55</v>
      </c>
      <c r="F97" s="16">
        <v>166.35</v>
      </c>
      <c r="G97" s="7">
        <v>360</v>
      </c>
      <c r="H97" s="6"/>
      <c r="I97" s="6" t="s">
        <v>1311</v>
      </c>
      <c r="J97" s="7">
        <v>1</v>
      </c>
    </row>
    <row r="98" spans="1:10" x14ac:dyDescent="0.3">
      <c r="A98" s="6" t="s">
        <v>1457</v>
      </c>
      <c r="B98" s="6"/>
      <c r="C98" s="6" t="s">
        <v>1362</v>
      </c>
      <c r="D98" s="6" t="s">
        <v>1453</v>
      </c>
      <c r="E98" s="16">
        <v>244.05</v>
      </c>
      <c r="F98" s="16">
        <v>166.35</v>
      </c>
      <c r="G98" s="7">
        <v>360</v>
      </c>
      <c r="H98" s="6"/>
      <c r="I98" s="6" t="s">
        <v>1311</v>
      </c>
      <c r="J98" s="7">
        <v>1</v>
      </c>
    </row>
    <row r="99" spans="1:10" x14ac:dyDescent="0.3">
      <c r="A99" s="6" t="s">
        <v>1458</v>
      </c>
      <c r="B99" s="6"/>
      <c r="C99" s="6" t="s">
        <v>1362</v>
      </c>
      <c r="D99" s="6" t="s">
        <v>1453</v>
      </c>
      <c r="E99" s="16">
        <v>237.55</v>
      </c>
      <c r="F99" s="16">
        <v>166.35</v>
      </c>
      <c r="G99" s="7">
        <v>360</v>
      </c>
      <c r="H99" s="6"/>
      <c r="I99" s="6" t="s">
        <v>1311</v>
      </c>
      <c r="J99" s="7">
        <v>1</v>
      </c>
    </row>
    <row r="100" spans="1:10" x14ac:dyDescent="0.3">
      <c r="A100" s="6" t="s">
        <v>1459</v>
      </c>
      <c r="B100" s="6"/>
      <c r="C100" s="6" t="s">
        <v>1362</v>
      </c>
      <c r="D100" s="6" t="s">
        <v>1453</v>
      </c>
      <c r="E100" s="16">
        <v>231.05</v>
      </c>
      <c r="F100" s="16">
        <v>166.35</v>
      </c>
      <c r="G100" s="7">
        <v>360</v>
      </c>
      <c r="H100" s="6"/>
      <c r="I100" s="6" t="s">
        <v>1311</v>
      </c>
      <c r="J100" s="7">
        <v>1</v>
      </c>
    </row>
    <row r="101" spans="1:10" x14ac:dyDescent="0.3">
      <c r="A101" s="6" t="s">
        <v>1460</v>
      </c>
      <c r="B101" s="6"/>
      <c r="C101" s="6" t="s">
        <v>1362</v>
      </c>
      <c r="D101" s="6" t="s">
        <v>1453</v>
      </c>
      <c r="E101" s="16">
        <v>224.55</v>
      </c>
      <c r="F101" s="16">
        <v>166.35</v>
      </c>
      <c r="G101" s="7">
        <v>360</v>
      </c>
      <c r="H101" s="6"/>
      <c r="I101" s="6" t="s">
        <v>1311</v>
      </c>
      <c r="J101" s="7">
        <v>1</v>
      </c>
    </row>
    <row r="102" spans="1:10" x14ac:dyDescent="0.3">
      <c r="A102" s="6" t="s">
        <v>1461</v>
      </c>
      <c r="B102" s="6"/>
      <c r="C102" s="6" t="s">
        <v>1362</v>
      </c>
      <c r="D102" s="6" t="s">
        <v>1453</v>
      </c>
      <c r="E102" s="16">
        <v>218.05</v>
      </c>
      <c r="F102" s="16">
        <v>166.35</v>
      </c>
      <c r="G102" s="7">
        <v>360</v>
      </c>
      <c r="H102" s="6"/>
      <c r="I102" s="6" t="s">
        <v>1311</v>
      </c>
      <c r="J102" s="7">
        <v>1</v>
      </c>
    </row>
    <row r="103" spans="1:10" x14ac:dyDescent="0.3">
      <c r="A103" s="6" t="s">
        <v>1462</v>
      </c>
      <c r="B103" s="6"/>
      <c r="C103" s="6" t="s">
        <v>1362</v>
      </c>
      <c r="D103" s="6" t="s">
        <v>1453</v>
      </c>
      <c r="E103" s="16">
        <v>211.55</v>
      </c>
      <c r="F103" s="16">
        <v>166.35</v>
      </c>
      <c r="G103" s="7">
        <v>360</v>
      </c>
      <c r="H103" s="6"/>
      <c r="I103" s="6" t="s">
        <v>1311</v>
      </c>
      <c r="J103" s="7">
        <v>1</v>
      </c>
    </row>
    <row r="104" spans="1:10" x14ac:dyDescent="0.3">
      <c r="A104" s="6" t="s">
        <v>1463</v>
      </c>
      <c r="B104" s="6"/>
      <c r="C104" s="6" t="s">
        <v>1362</v>
      </c>
      <c r="D104" s="6" t="s">
        <v>1453</v>
      </c>
      <c r="E104" s="16">
        <v>205.05</v>
      </c>
      <c r="F104" s="16">
        <v>166.35</v>
      </c>
      <c r="G104" s="7">
        <v>360</v>
      </c>
      <c r="H104" s="6"/>
      <c r="I104" s="6" t="s">
        <v>1311</v>
      </c>
      <c r="J104" s="7">
        <v>1</v>
      </c>
    </row>
    <row r="105" spans="1:10" x14ac:dyDescent="0.3">
      <c r="A105" s="6" t="s">
        <v>1464</v>
      </c>
      <c r="B105" s="6"/>
      <c r="C105" s="6" t="s">
        <v>1362</v>
      </c>
      <c r="D105" s="6" t="s">
        <v>1453</v>
      </c>
      <c r="E105" s="16">
        <v>270.05</v>
      </c>
      <c r="F105" s="16">
        <v>159.85</v>
      </c>
      <c r="G105" s="7">
        <v>360</v>
      </c>
      <c r="H105" s="6"/>
      <c r="I105" s="6" t="s">
        <v>1311</v>
      </c>
      <c r="J105" s="7">
        <v>1</v>
      </c>
    </row>
    <row r="106" spans="1:10" x14ac:dyDescent="0.3">
      <c r="A106" s="6" t="s">
        <v>1465</v>
      </c>
      <c r="B106" s="6"/>
      <c r="C106" s="6" t="s">
        <v>1362</v>
      </c>
      <c r="D106" s="6" t="s">
        <v>1453</v>
      </c>
      <c r="E106" s="16">
        <v>263.55</v>
      </c>
      <c r="F106" s="16">
        <v>159.85</v>
      </c>
      <c r="G106" s="7">
        <v>360</v>
      </c>
      <c r="H106" s="6"/>
      <c r="I106" s="6" t="s">
        <v>1311</v>
      </c>
      <c r="J106" s="7">
        <v>1</v>
      </c>
    </row>
    <row r="107" spans="1:10" x14ac:dyDescent="0.3">
      <c r="A107" s="6" t="s">
        <v>1466</v>
      </c>
      <c r="B107" s="6"/>
      <c r="C107" s="6" t="s">
        <v>1362</v>
      </c>
      <c r="D107" s="6" t="s">
        <v>1453</v>
      </c>
      <c r="E107" s="16">
        <v>257.05</v>
      </c>
      <c r="F107" s="16">
        <v>159.85</v>
      </c>
      <c r="G107" s="7">
        <v>360</v>
      </c>
      <c r="H107" s="6"/>
      <c r="I107" s="6" t="s">
        <v>1311</v>
      </c>
      <c r="J107" s="7">
        <v>1</v>
      </c>
    </row>
    <row r="108" spans="1:10" x14ac:dyDescent="0.3">
      <c r="A108" s="6" t="s">
        <v>1467</v>
      </c>
      <c r="B108" s="6"/>
      <c r="C108" s="6" t="s">
        <v>1362</v>
      </c>
      <c r="D108" s="6" t="s">
        <v>1453</v>
      </c>
      <c r="E108" s="16">
        <v>250.55</v>
      </c>
      <c r="F108" s="16">
        <v>159.85</v>
      </c>
      <c r="G108" s="7">
        <v>360</v>
      </c>
      <c r="H108" s="6"/>
      <c r="I108" s="6" t="s">
        <v>1311</v>
      </c>
      <c r="J108" s="7">
        <v>1</v>
      </c>
    </row>
    <row r="109" spans="1:10" x14ac:dyDescent="0.3">
      <c r="A109" s="6" t="s">
        <v>1468</v>
      </c>
      <c r="B109" s="6"/>
      <c r="C109" s="6" t="s">
        <v>1362</v>
      </c>
      <c r="D109" s="6" t="s">
        <v>1453</v>
      </c>
      <c r="E109" s="16">
        <v>244.05</v>
      </c>
      <c r="F109" s="16">
        <v>159.85</v>
      </c>
      <c r="G109" s="7">
        <v>360</v>
      </c>
      <c r="H109" s="6"/>
      <c r="I109" s="6" t="s">
        <v>1311</v>
      </c>
      <c r="J109" s="7">
        <v>1</v>
      </c>
    </row>
    <row r="110" spans="1:10" x14ac:dyDescent="0.3">
      <c r="A110" s="6" t="s">
        <v>1469</v>
      </c>
      <c r="B110" s="6"/>
      <c r="C110" s="6" t="s">
        <v>1362</v>
      </c>
      <c r="D110" s="6" t="s">
        <v>1453</v>
      </c>
      <c r="E110" s="16">
        <v>237.55</v>
      </c>
      <c r="F110" s="16">
        <v>159.85</v>
      </c>
      <c r="G110" s="7">
        <v>360</v>
      </c>
      <c r="H110" s="6"/>
      <c r="I110" s="6" t="s">
        <v>1311</v>
      </c>
      <c r="J110" s="7">
        <v>1</v>
      </c>
    </row>
    <row r="111" spans="1:10" x14ac:dyDescent="0.3">
      <c r="A111" s="6" t="s">
        <v>1470</v>
      </c>
      <c r="B111" s="6"/>
      <c r="C111" s="6" t="s">
        <v>1362</v>
      </c>
      <c r="D111" s="6" t="s">
        <v>1453</v>
      </c>
      <c r="E111" s="16">
        <v>231.05</v>
      </c>
      <c r="F111" s="16">
        <v>159.85</v>
      </c>
      <c r="G111" s="7">
        <v>360</v>
      </c>
      <c r="H111" s="6"/>
      <c r="I111" s="6" t="s">
        <v>1311</v>
      </c>
      <c r="J111" s="7">
        <v>1</v>
      </c>
    </row>
    <row r="112" spans="1:10" x14ac:dyDescent="0.3">
      <c r="A112" s="6" t="s">
        <v>1471</v>
      </c>
      <c r="B112" s="6"/>
      <c r="C112" s="6" t="s">
        <v>1362</v>
      </c>
      <c r="D112" s="6" t="s">
        <v>1453</v>
      </c>
      <c r="E112" s="16">
        <v>224.55</v>
      </c>
      <c r="F112" s="16">
        <v>159.85</v>
      </c>
      <c r="G112" s="7">
        <v>360</v>
      </c>
      <c r="H112" s="6"/>
      <c r="I112" s="6" t="s">
        <v>1311</v>
      </c>
      <c r="J112" s="7">
        <v>1</v>
      </c>
    </row>
    <row r="113" spans="1:10" x14ac:dyDescent="0.3">
      <c r="A113" s="6" t="s">
        <v>1472</v>
      </c>
      <c r="B113" s="6"/>
      <c r="C113" s="6" t="s">
        <v>1362</v>
      </c>
      <c r="D113" s="6" t="s">
        <v>1453</v>
      </c>
      <c r="E113" s="16">
        <v>218.05</v>
      </c>
      <c r="F113" s="16">
        <v>159.85</v>
      </c>
      <c r="G113" s="7">
        <v>360</v>
      </c>
      <c r="H113" s="6"/>
      <c r="I113" s="6" t="s">
        <v>1311</v>
      </c>
      <c r="J113" s="7">
        <v>1</v>
      </c>
    </row>
    <row r="114" spans="1:10" x14ac:dyDescent="0.3">
      <c r="A114" s="6" t="s">
        <v>1473</v>
      </c>
      <c r="B114" s="6"/>
      <c r="C114" s="6" t="s">
        <v>1362</v>
      </c>
      <c r="D114" s="6" t="s">
        <v>1453</v>
      </c>
      <c r="E114" s="16">
        <v>211.55</v>
      </c>
      <c r="F114" s="16">
        <v>159.85</v>
      </c>
      <c r="G114" s="7">
        <v>360</v>
      </c>
      <c r="H114" s="6"/>
      <c r="I114" s="6" t="s">
        <v>1311</v>
      </c>
      <c r="J114" s="7">
        <v>1</v>
      </c>
    </row>
    <row r="115" spans="1:10" x14ac:dyDescent="0.3">
      <c r="A115" s="6" t="s">
        <v>1474</v>
      </c>
      <c r="B115" s="6"/>
      <c r="C115" s="6" t="s">
        <v>1362</v>
      </c>
      <c r="D115" s="6" t="s">
        <v>1453</v>
      </c>
      <c r="E115" s="16">
        <v>205.05</v>
      </c>
      <c r="F115" s="16">
        <v>159.85</v>
      </c>
      <c r="G115" s="7">
        <v>360</v>
      </c>
      <c r="H115" s="6"/>
      <c r="I115" s="6" t="s">
        <v>1311</v>
      </c>
      <c r="J115" s="7">
        <v>1</v>
      </c>
    </row>
    <row r="116" spans="1:10" x14ac:dyDescent="0.3">
      <c r="A116" s="6" t="s">
        <v>1475</v>
      </c>
      <c r="B116" s="6"/>
      <c r="C116" s="6" t="s">
        <v>1362</v>
      </c>
      <c r="D116" s="6" t="s">
        <v>1453</v>
      </c>
      <c r="E116" s="16">
        <v>270.05</v>
      </c>
      <c r="F116" s="16">
        <v>153.35</v>
      </c>
      <c r="G116" s="7">
        <v>360</v>
      </c>
      <c r="H116" s="6"/>
      <c r="I116" s="6" t="s">
        <v>1311</v>
      </c>
      <c r="J116" s="7">
        <v>1</v>
      </c>
    </row>
    <row r="117" spans="1:10" x14ac:dyDescent="0.3">
      <c r="A117" s="6" t="s">
        <v>1476</v>
      </c>
      <c r="B117" s="6"/>
      <c r="C117" s="6" t="s">
        <v>1362</v>
      </c>
      <c r="D117" s="6" t="s">
        <v>1453</v>
      </c>
      <c r="E117" s="16">
        <v>263.55</v>
      </c>
      <c r="F117" s="16">
        <v>153.35</v>
      </c>
      <c r="G117" s="7">
        <v>360</v>
      </c>
      <c r="H117" s="6"/>
      <c r="I117" s="6" t="s">
        <v>1311</v>
      </c>
      <c r="J117" s="7">
        <v>1</v>
      </c>
    </row>
    <row r="118" spans="1:10" x14ac:dyDescent="0.3">
      <c r="A118" s="6" t="s">
        <v>1477</v>
      </c>
      <c r="B118" s="6"/>
      <c r="C118" s="6" t="s">
        <v>1362</v>
      </c>
      <c r="D118" s="6" t="s">
        <v>1453</v>
      </c>
      <c r="E118" s="16">
        <v>257.05</v>
      </c>
      <c r="F118" s="16">
        <v>153.35</v>
      </c>
      <c r="G118" s="7">
        <v>360</v>
      </c>
      <c r="H118" s="6"/>
      <c r="I118" s="6" t="s">
        <v>1311</v>
      </c>
      <c r="J118" s="7">
        <v>1</v>
      </c>
    </row>
    <row r="119" spans="1:10" x14ac:dyDescent="0.3">
      <c r="A119" s="6" t="s">
        <v>1478</v>
      </c>
      <c r="B119" s="6"/>
      <c r="C119" s="6" t="s">
        <v>1362</v>
      </c>
      <c r="D119" s="6" t="s">
        <v>1453</v>
      </c>
      <c r="E119" s="16">
        <v>250.55</v>
      </c>
      <c r="F119" s="16">
        <v>153.35</v>
      </c>
      <c r="G119" s="7">
        <v>360</v>
      </c>
      <c r="H119" s="6"/>
      <c r="I119" s="6" t="s">
        <v>1311</v>
      </c>
      <c r="J119" s="7">
        <v>1</v>
      </c>
    </row>
    <row r="120" spans="1:10" x14ac:dyDescent="0.3">
      <c r="A120" s="6" t="s">
        <v>1479</v>
      </c>
      <c r="B120" s="6"/>
      <c r="C120" s="6" t="s">
        <v>1362</v>
      </c>
      <c r="D120" s="6" t="s">
        <v>1453</v>
      </c>
      <c r="E120" s="16">
        <v>244.05</v>
      </c>
      <c r="F120" s="16">
        <v>153.35</v>
      </c>
      <c r="G120" s="7">
        <v>360</v>
      </c>
      <c r="H120" s="6"/>
      <c r="I120" s="6" t="s">
        <v>1311</v>
      </c>
      <c r="J120" s="7">
        <v>1</v>
      </c>
    </row>
    <row r="121" spans="1:10" x14ac:dyDescent="0.3">
      <c r="A121" s="6" t="s">
        <v>1480</v>
      </c>
      <c r="B121" s="6"/>
      <c r="C121" s="6" t="s">
        <v>1362</v>
      </c>
      <c r="D121" s="6" t="s">
        <v>1453</v>
      </c>
      <c r="E121" s="16">
        <v>237.55</v>
      </c>
      <c r="F121" s="16">
        <v>153.35</v>
      </c>
      <c r="G121" s="7">
        <v>360</v>
      </c>
      <c r="H121" s="6"/>
      <c r="I121" s="6" t="s">
        <v>1311</v>
      </c>
      <c r="J121" s="7">
        <v>1</v>
      </c>
    </row>
    <row r="122" spans="1:10" x14ac:dyDescent="0.3">
      <c r="A122" s="6" t="s">
        <v>1481</v>
      </c>
      <c r="B122" s="6"/>
      <c r="C122" s="6" t="s">
        <v>1362</v>
      </c>
      <c r="D122" s="6" t="s">
        <v>1453</v>
      </c>
      <c r="E122" s="16">
        <v>231.05</v>
      </c>
      <c r="F122" s="16">
        <v>153.35</v>
      </c>
      <c r="G122" s="7">
        <v>360</v>
      </c>
      <c r="H122" s="6"/>
      <c r="I122" s="6" t="s">
        <v>1311</v>
      </c>
      <c r="J122" s="7">
        <v>1</v>
      </c>
    </row>
    <row r="123" spans="1:10" x14ac:dyDescent="0.3">
      <c r="A123" s="6" t="s">
        <v>1482</v>
      </c>
      <c r="B123" s="6"/>
      <c r="C123" s="6" t="s">
        <v>1362</v>
      </c>
      <c r="D123" s="6" t="s">
        <v>1453</v>
      </c>
      <c r="E123" s="16">
        <v>224.55</v>
      </c>
      <c r="F123" s="16">
        <v>153.35</v>
      </c>
      <c r="G123" s="7">
        <v>360</v>
      </c>
      <c r="H123" s="6"/>
      <c r="I123" s="6" t="s">
        <v>1311</v>
      </c>
      <c r="J123" s="7">
        <v>1</v>
      </c>
    </row>
    <row r="124" spans="1:10" x14ac:dyDescent="0.3">
      <c r="A124" s="6" t="s">
        <v>1483</v>
      </c>
      <c r="B124" s="6"/>
      <c r="C124" s="6" t="s">
        <v>1362</v>
      </c>
      <c r="D124" s="6" t="s">
        <v>1453</v>
      </c>
      <c r="E124" s="16">
        <v>218.05</v>
      </c>
      <c r="F124" s="16">
        <v>153.35</v>
      </c>
      <c r="G124" s="7">
        <v>360</v>
      </c>
      <c r="H124" s="6"/>
      <c r="I124" s="6" t="s">
        <v>1311</v>
      </c>
      <c r="J124" s="7">
        <v>1</v>
      </c>
    </row>
    <row r="125" spans="1:10" x14ac:dyDescent="0.3">
      <c r="A125" s="6" t="s">
        <v>1484</v>
      </c>
      <c r="B125" s="6"/>
      <c r="C125" s="6" t="s">
        <v>1362</v>
      </c>
      <c r="D125" s="6" t="s">
        <v>1453</v>
      </c>
      <c r="E125" s="16">
        <v>211.55</v>
      </c>
      <c r="F125" s="16">
        <v>153.35</v>
      </c>
      <c r="G125" s="7">
        <v>360</v>
      </c>
      <c r="H125" s="6"/>
      <c r="I125" s="6" t="s">
        <v>1311</v>
      </c>
      <c r="J125" s="7">
        <v>1</v>
      </c>
    </row>
    <row r="126" spans="1:10" x14ac:dyDescent="0.3">
      <c r="A126" s="6" t="s">
        <v>1485</v>
      </c>
      <c r="B126" s="6"/>
      <c r="C126" s="6" t="s">
        <v>1362</v>
      </c>
      <c r="D126" s="6" t="s">
        <v>1453</v>
      </c>
      <c r="E126" s="16">
        <v>205.05</v>
      </c>
      <c r="F126" s="16">
        <v>153.35</v>
      </c>
      <c r="G126" s="7">
        <v>360</v>
      </c>
      <c r="H126" s="6"/>
      <c r="I126" s="6" t="s">
        <v>1311</v>
      </c>
      <c r="J126" s="7">
        <v>1</v>
      </c>
    </row>
    <row r="127" spans="1:10" x14ac:dyDescent="0.3">
      <c r="A127" s="6" t="s">
        <v>1486</v>
      </c>
      <c r="B127" s="6"/>
      <c r="C127" s="6" t="s">
        <v>1362</v>
      </c>
      <c r="D127" s="6" t="s">
        <v>1453</v>
      </c>
      <c r="E127" s="16">
        <v>270.05</v>
      </c>
      <c r="F127" s="16">
        <v>146.85</v>
      </c>
      <c r="G127" s="7">
        <v>360</v>
      </c>
      <c r="H127" s="6"/>
      <c r="I127" s="6" t="s">
        <v>1311</v>
      </c>
      <c r="J127" s="7">
        <v>1</v>
      </c>
    </row>
    <row r="128" spans="1:10" x14ac:dyDescent="0.3">
      <c r="A128" s="6" t="s">
        <v>1487</v>
      </c>
      <c r="B128" s="6"/>
      <c r="C128" s="6" t="s">
        <v>1362</v>
      </c>
      <c r="D128" s="6" t="s">
        <v>1453</v>
      </c>
      <c r="E128" s="16">
        <v>263.55</v>
      </c>
      <c r="F128" s="16">
        <v>146.85</v>
      </c>
      <c r="G128" s="7">
        <v>360</v>
      </c>
      <c r="H128" s="6"/>
      <c r="I128" s="6" t="s">
        <v>1311</v>
      </c>
      <c r="J128" s="7">
        <v>1</v>
      </c>
    </row>
    <row r="129" spans="1:10" x14ac:dyDescent="0.3">
      <c r="A129" s="6" t="s">
        <v>1488</v>
      </c>
      <c r="B129" s="6"/>
      <c r="C129" s="6" t="s">
        <v>1362</v>
      </c>
      <c r="D129" s="6" t="s">
        <v>1453</v>
      </c>
      <c r="E129" s="16">
        <v>257.05</v>
      </c>
      <c r="F129" s="16">
        <v>146.85</v>
      </c>
      <c r="G129" s="7">
        <v>360</v>
      </c>
      <c r="H129" s="6"/>
      <c r="I129" s="6" t="s">
        <v>1311</v>
      </c>
      <c r="J129" s="7">
        <v>1</v>
      </c>
    </row>
    <row r="130" spans="1:10" x14ac:dyDescent="0.3">
      <c r="A130" s="6" t="s">
        <v>1489</v>
      </c>
      <c r="B130" s="6"/>
      <c r="C130" s="6" t="s">
        <v>1362</v>
      </c>
      <c r="D130" s="6" t="s">
        <v>1453</v>
      </c>
      <c r="E130" s="16">
        <v>250.55</v>
      </c>
      <c r="F130" s="16">
        <v>146.85</v>
      </c>
      <c r="G130" s="7">
        <v>360</v>
      </c>
      <c r="H130" s="6"/>
      <c r="I130" s="6" t="s">
        <v>1311</v>
      </c>
      <c r="J130" s="7">
        <v>1</v>
      </c>
    </row>
    <row r="131" spans="1:10" x14ac:dyDescent="0.3">
      <c r="A131" s="6" t="s">
        <v>1490</v>
      </c>
      <c r="B131" s="6"/>
      <c r="C131" s="6" t="s">
        <v>1362</v>
      </c>
      <c r="D131" s="6" t="s">
        <v>1453</v>
      </c>
      <c r="E131" s="16">
        <v>244.05</v>
      </c>
      <c r="F131" s="16">
        <v>146.85</v>
      </c>
      <c r="G131" s="7">
        <v>360</v>
      </c>
      <c r="H131" s="6"/>
      <c r="I131" s="6" t="s">
        <v>1311</v>
      </c>
      <c r="J131" s="7">
        <v>1</v>
      </c>
    </row>
    <row r="132" spans="1:10" x14ac:dyDescent="0.3">
      <c r="A132" s="6" t="s">
        <v>1491</v>
      </c>
      <c r="B132" s="6"/>
      <c r="C132" s="6" t="s">
        <v>1362</v>
      </c>
      <c r="D132" s="6" t="s">
        <v>1453</v>
      </c>
      <c r="E132" s="16">
        <v>237.55</v>
      </c>
      <c r="F132" s="16">
        <v>146.85</v>
      </c>
      <c r="G132" s="7">
        <v>360</v>
      </c>
      <c r="H132" s="6"/>
      <c r="I132" s="6" t="s">
        <v>1311</v>
      </c>
      <c r="J132" s="7">
        <v>1</v>
      </c>
    </row>
    <row r="133" spans="1:10" x14ac:dyDescent="0.3">
      <c r="A133" s="6" t="s">
        <v>1492</v>
      </c>
      <c r="B133" s="6"/>
      <c r="C133" s="6" t="s">
        <v>1362</v>
      </c>
      <c r="D133" s="6" t="s">
        <v>1453</v>
      </c>
      <c r="E133" s="16">
        <v>231.05</v>
      </c>
      <c r="F133" s="16">
        <v>146.85</v>
      </c>
      <c r="G133" s="7">
        <v>360</v>
      </c>
      <c r="H133" s="6"/>
      <c r="I133" s="6" t="s">
        <v>1311</v>
      </c>
      <c r="J133" s="7">
        <v>1</v>
      </c>
    </row>
    <row r="134" spans="1:10" x14ac:dyDescent="0.3">
      <c r="A134" s="6" t="s">
        <v>1493</v>
      </c>
      <c r="B134" s="6"/>
      <c r="C134" s="6" t="s">
        <v>1362</v>
      </c>
      <c r="D134" s="6" t="s">
        <v>1453</v>
      </c>
      <c r="E134" s="16">
        <v>224.55</v>
      </c>
      <c r="F134" s="16">
        <v>146.85</v>
      </c>
      <c r="G134" s="7">
        <v>360</v>
      </c>
      <c r="H134" s="6"/>
      <c r="I134" s="6" t="s">
        <v>1311</v>
      </c>
      <c r="J134" s="7">
        <v>1</v>
      </c>
    </row>
    <row r="135" spans="1:10" x14ac:dyDescent="0.3">
      <c r="A135" s="6" t="s">
        <v>1494</v>
      </c>
      <c r="B135" s="6"/>
      <c r="C135" s="6" t="s">
        <v>1362</v>
      </c>
      <c r="D135" s="6" t="s">
        <v>1453</v>
      </c>
      <c r="E135" s="16">
        <v>218.05</v>
      </c>
      <c r="F135" s="16">
        <v>146.85</v>
      </c>
      <c r="G135" s="7">
        <v>360</v>
      </c>
      <c r="H135" s="6"/>
      <c r="I135" s="6" t="s">
        <v>1311</v>
      </c>
      <c r="J135" s="7">
        <v>1</v>
      </c>
    </row>
    <row r="136" spans="1:10" x14ac:dyDescent="0.3">
      <c r="A136" s="6" t="s">
        <v>1495</v>
      </c>
      <c r="B136" s="6"/>
      <c r="C136" s="6" t="s">
        <v>1362</v>
      </c>
      <c r="D136" s="6" t="s">
        <v>1453</v>
      </c>
      <c r="E136" s="16">
        <v>211.55</v>
      </c>
      <c r="F136" s="16">
        <v>146.85</v>
      </c>
      <c r="G136" s="7">
        <v>360</v>
      </c>
      <c r="H136" s="6"/>
      <c r="I136" s="6" t="s">
        <v>1311</v>
      </c>
      <c r="J136" s="7">
        <v>1</v>
      </c>
    </row>
    <row r="137" spans="1:10" x14ac:dyDescent="0.3">
      <c r="A137" s="6" t="s">
        <v>1496</v>
      </c>
      <c r="B137" s="6"/>
      <c r="C137" s="6" t="s">
        <v>1362</v>
      </c>
      <c r="D137" s="6" t="s">
        <v>1453</v>
      </c>
      <c r="E137" s="16">
        <v>205.05</v>
      </c>
      <c r="F137" s="16">
        <v>146.85</v>
      </c>
      <c r="G137" s="7">
        <v>360</v>
      </c>
      <c r="H137" s="6"/>
      <c r="I137" s="6" t="s">
        <v>1311</v>
      </c>
      <c r="J137" s="7">
        <v>1</v>
      </c>
    </row>
    <row r="138" spans="1:10" x14ac:dyDescent="0.3">
      <c r="A138" s="6" t="s">
        <v>1497</v>
      </c>
      <c r="B138" s="6"/>
      <c r="C138" s="6" t="s">
        <v>1362</v>
      </c>
      <c r="D138" s="6" t="s">
        <v>1453</v>
      </c>
      <c r="E138" s="16">
        <v>270.05</v>
      </c>
      <c r="F138" s="16">
        <v>140.35</v>
      </c>
      <c r="G138" s="7">
        <v>360</v>
      </c>
      <c r="H138" s="6"/>
      <c r="I138" s="6" t="s">
        <v>1311</v>
      </c>
      <c r="J138" s="7">
        <v>1</v>
      </c>
    </row>
    <row r="139" spans="1:10" x14ac:dyDescent="0.3">
      <c r="A139" s="6" t="s">
        <v>1498</v>
      </c>
      <c r="B139" s="6"/>
      <c r="C139" s="6" t="s">
        <v>1362</v>
      </c>
      <c r="D139" s="6" t="s">
        <v>1453</v>
      </c>
      <c r="E139" s="16">
        <v>263.55</v>
      </c>
      <c r="F139" s="16">
        <v>140.35</v>
      </c>
      <c r="G139" s="7">
        <v>360</v>
      </c>
      <c r="H139" s="6"/>
      <c r="I139" s="6" t="s">
        <v>1311</v>
      </c>
      <c r="J139" s="7">
        <v>1</v>
      </c>
    </row>
    <row r="140" spans="1:10" x14ac:dyDescent="0.3">
      <c r="A140" s="6" t="s">
        <v>1499</v>
      </c>
      <c r="B140" s="6"/>
      <c r="C140" s="6" t="s">
        <v>1362</v>
      </c>
      <c r="D140" s="6" t="s">
        <v>1453</v>
      </c>
      <c r="E140" s="16">
        <v>257.05</v>
      </c>
      <c r="F140" s="16">
        <v>140.35</v>
      </c>
      <c r="G140" s="7">
        <v>360</v>
      </c>
      <c r="H140" s="6"/>
      <c r="I140" s="6" t="s">
        <v>1311</v>
      </c>
      <c r="J140" s="7">
        <v>1</v>
      </c>
    </row>
    <row r="141" spans="1:10" x14ac:dyDescent="0.3">
      <c r="A141" s="6" t="s">
        <v>1500</v>
      </c>
      <c r="B141" s="6"/>
      <c r="C141" s="6" t="s">
        <v>1362</v>
      </c>
      <c r="D141" s="6" t="s">
        <v>1453</v>
      </c>
      <c r="E141" s="16">
        <v>250.55</v>
      </c>
      <c r="F141" s="16">
        <v>140.35</v>
      </c>
      <c r="G141" s="7">
        <v>360</v>
      </c>
      <c r="H141" s="6"/>
      <c r="I141" s="6" t="s">
        <v>1311</v>
      </c>
      <c r="J141" s="7">
        <v>1</v>
      </c>
    </row>
    <row r="142" spans="1:10" x14ac:dyDescent="0.3">
      <c r="A142" s="6" t="s">
        <v>1501</v>
      </c>
      <c r="B142" s="6"/>
      <c r="C142" s="6" t="s">
        <v>1362</v>
      </c>
      <c r="D142" s="6" t="s">
        <v>1453</v>
      </c>
      <c r="E142" s="16">
        <v>244.05</v>
      </c>
      <c r="F142" s="16">
        <v>140.35</v>
      </c>
      <c r="G142" s="7">
        <v>360</v>
      </c>
      <c r="H142" s="6"/>
      <c r="I142" s="6" t="s">
        <v>1311</v>
      </c>
      <c r="J142" s="7">
        <v>1</v>
      </c>
    </row>
    <row r="143" spans="1:10" x14ac:dyDescent="0.3">
      <c r="A143" s="6" t="s">
        <v>1502</v>
      </c>
      <c r="B143" s="6"/>
      <c r="C143" s="6" t="s">
        <v>1362</v>
      </c>
      <c r="D143" s="6" t="s">
        <v>1453</v>
      </c>
      <c r="E143" s="16">
        <v>237.55</v>
      </c>
      <c r="F143" s="16">
        <v>140.35</v>
      </c>
      <c r="G143" s="7">
        <v>360</v>
      </c>
      <c r="H143" s="6"/>
      <c r="I143" s="6" t="s">
        <v>1311</v>
      </c>
      <c r="J143" s="7">
        <v>1</v>
      </c>
    </row>
    <row r="144" spans="1:10" x14ac:dyDescent="0.3">
      <c r="A144" s="6" t="s">
        <v>1503</v>
      </c>
      <c r="B144" s="6"/>
      <c r="C144" s="6" t="s">
        <v>1362</v>
      </c>
      <c r="D144" s="6" t="s">
        <v>1453</v>
      </c>
      <c r="E144" s="16">
        <v>231.05</v>
      </c>
      <c r="F144" s="16">
        <v>140.35</v>
      </c>
      <c r="G144" s="7">
        <v>360</v>
      </c>
      <c r="H144" s="6"/>
      <c r="I144" s="6" t="s">
        <v>1311</v>
      </c>
      <c r="J144" s="7">
        <v>1</v>
      </c>
    </row>
    <row r="145" spans="1:10" x14ac:dyDescent="0.3">
      <c r="A145" s="6" t="s">
        <v>1504</v>
      </c>
      <c r="B145" s="6"/>
      <c r="C145" s="6" t="s">
        <v>1362</v>
      </c>
      <c r="D145" s="6" t="s">
        <v>1453</v>
      </c>
      <c r="E145" s="16">
        <v>224.55</v>
      </c>
      <c r="F145" s="16">
        <v>140.35</v>
      </c>
      <c r="G145" s="7">
        <v>360</v>
      </c>
      <c r="H145" s="6"/>
      <c r="I145" s="6" t="s">
        <v>1311</v>
      </c>
      <c r="J145" s="7">
        <v>1</v>
      </c>
    </row>
    <row r="146" spans="1:10" x14ac:dyDescent="0.3">
      <c r="A146" s="6" t="s">
        <v>1505</v>
      </c>
      <c r="B146" s="6"/>
      <c r="C146" s="6" t="s">
        <v>1362</v>
      </c>
      <c r="D146" s="6" t="s">
        <v>1453</v>
      </c>
      <c r="E146" s="16">
        <v>218.05</v>
      </c>
      <c r="F146" s="16">
        <v>140.35</v>
      </c>
      <c r="G146" s="7">
        <v>360</v>
      </c>
      <c r="H146" s="6"/>
      <c r="I146" s="6" t="s">
        <v>1311</v>
      </c>
      <c r="J146" s="7">
        <v>1</v>
      </c>
    </row>
    <row r="147" spans="1:10" x14ac:dyDescent="0.3">
      <c r="A147" s="6" t="s">
        <v>1506</v>
      </c>
      <c r="B147" s="6"/>
      <c r="C147" s="6" t="s">
        <v>1362</v>
      </c>
      <c r="D147" s="6" t="s">
        <v>1453</v>
      </c>
      <c r="E147" s="16">
        <v>211.55</v>
      </c>
      <c r="F147" s="16">
        <v>140.35</v>
      </c>
      <c r="G147" s="7">
        <v>360</v>
      </c>
      <c r="H147" s="6"/>
      <c r="I147" s="6" t="s">
        <v>1311</v>
      </c>
      <c r="J147" s="7">
        <v>1</v>
      </c>
    </row>
    <row r="148" spans="1:10" x14ac:dyDescent="0.3">
      <c r="A148" s="6" t="s">
        <v>1507</v>
      </c>
      <c r="B148" s="6"/>
      <c r="C148" s="6" t="s">
        <v>1362</v>
      </c>
      <c r="D148" s="6" t="s">
        <v>1453</v>
      </c>
      <c r="E148" s="16">
        <v>205.05</v>
      </c>
      <c r="F148" s="16">
        <v>140.35</v>
      </c>
      <c r="G148" s="7">
        <v>360</v>
      </c>
      <c r="H148" s="6"/>
      <c r="I148" s="6" t="s">
        <v>1311</v>
      </c>
      <c r="J148" s="7">
        <v>1</v>
      </c>
    </row>
    <row r="149" spans="1:10" x14ac:dyDescent="0.3">
      <c r="A149" s="6" t="s">
        <v>1508</v>
      </c>
      <c r="B149" s="6"/>
      <c r="C149" s="6" t="s">
        <v>1362</v>
      </c>
      <c r="D149" s="6" t="s">
        <v>1453</v>
      </c>
      <c r="E149" s="16">
        <v>270.05</v>
      </c>
      <c r="F149" s="16">
        <v>133.85</v>
      </c>
      <c r="G149" s="7">
        <v>360</v>
      </c>
      <c r="H149" s="6"/>
      <c r="I149" s="6" t="s">
        <v>1311</v>
      </c>
      <c r="J149" s="7">
        <v>1</v>
      </c>
    </row>
    <row r="150" spans="1:10" x14ac:dyDescent="0.3">
      <c r="A150" s="6" t="s">
        <v>1509</v>
      </c>
      <c r="B150" s="6"/>
      <c r="C150" s="6" t="s">
        <v>1362</v>
      </c>
      <c r="D150" s="6" t="s">
        <v>1453</v>
      </c>
      <c r="E150" s="16">
        <v>263.55</v>
      </c>
      <c r="F150" s="16">
        <v>133.85</v>
      </c>
      <c r="G150" s="7">
        <v>360</v>
      </c>
      <c r="H150" s="6"/>
      <c r="I150" s="6" t="s">
        <v>1311</v>
      </c>
      <c r="J150" s="7">
        <v>1</v>
      </c>
    </row>
    <row r="151" spans="1:10" x14ac:dyDescent="0.3">
      <c r="A151" s="6" t="s">
        <v>1510</v>
      </c>
      <c r="B151" s="6"/>
      <c r="C151" s="6" t="s">
        <v>1362</v>
      </c>
      <c r="D151" s="6" t="s">
        <v>1453</v>
      </c>
      <c r="E151" s="16">
        <v>257.05</v>
      </c>
      <c r="F151" s="16">
        <v>133.85</v>
      </c>
      <c r="G151" s="7">
        <v>360</v>
      </c>
      <c r="H151" s="6"/>
      <c r="I151" s="6" t="s">
        <v>1311</v>
      </c>
      <c r="J151" s="7">
        <v>1</v>
      </c>
    </row>
    <row r="152" spans="1:10" x14ac:dyDescent="0.3">
      <c r="A152" s="6" t="s">
        <v>1511</v>
      </c>
      <c r="B152" s="6"/>
      <c r="C152" s="6" t="s">
        <v>1362</v>
      </c>
      <c r="D152" s="6" t="s">
        <v>1453</v>
      </c>
      <c r="E152" s="16">
        <v>250.55</v>
      </c>
      <c r="F152" s="16">
        <v>133.85</v>
      </c>
      <c r="G152" s="7">
        <v>360</v>
      </c>
      <c r="H152" s="6"/>
      <c r="I152" s="6" t="s">
        <v>1311</v>
      </c>
      <c r="J152" s="7">
        <v>1</v>
      </c>
    </row>
    <row r="153" spans="1:10" x14ac:dyDescent="0.3">
      <c r="A153" s="6" t="s">
        <v>1512</v>
      </c>
      <c r="B153" s="6"/>
      <c r="C153" s="6" t="s">
        <v>1362</v>
      </c>
      <c r="D153" s="6" t="s">
        <v>1453</v>
      </c>
      <c r="E153" s="16">
        <v>244.05</v>
      </c>
      <c r="F153" s="16">
        <v>133.85</v>
      </c>
      <c r="G153" s="7">
        <v>360</v>
      </c>
      <c r="H153" s="6"/>
      <c r="I153" s="6" t="s">
        <v>1311</v>
      </c>
      <c r="J153" s="7">
        <v>1</v>
      </c>
    </row>
    <row r="154" spans="1:10" x14ac:dyDescent="0.3">
      <c r="A154" s="6" t="s">
        <v>1513</v>
      </c>
      <c r="B154" s="6"/>
      <c r="C154" s="6" t="s">
        <v>1362</v>
      </c>
      <c r="D154" s="6" t="s">
        <v>1453</v>
      </c>
      <c r="E154" s="16">
        <v>237.55</v>
      </c>
      <c r="F154" s="16">
        <v>133.85</v>
      </c>
      <c r="G154" s="7">
        <v>360</v>
      </c>
      <c r="H154" s="6"/>
      <c r="I154" s="6" t="s">
        <v>1311</v>
      </c>
      <c r="J154" s="7">
        <v>1</v>
      </c>
    </row>
    <row r="155" spans="1:10" x14ac:dyDescent="0.3">
      <c r="A155" s="6" t="s">
        <v>1514</v>
      </c>
      <c r="B155" s="6"/>
      <c r="C155" s="6" t="s">
        <v>1362</v>
      </c>
      <c r="D155" s="6" t="s">
        <v>1453</v>
      </c>
      <c r="E155" s="16">
        <v>231.05</v>
      </c>
      <c r="F155" s="16">
        <v>133.85</v>
      </c>
      <c r="G155" s="7">
        <v>360</v>
      </c>
      <c r="H155" s="6"/>
      <c r="I155" s="6" t="s">
        <v>1311</v>
      </c>
      <c r="J155" s="7">
        <v>1</v>
      </c>
    </row>
    <row r="156" spans="1:10" x14ac:dyDescent="0.3">
      <c r="A156" s="6" t="s">
        <v>1515</v>
      </c>
      <c r="B156" s="6"/>
      <c r="C156" s="6" t="s">
        <v>1362</v>
      </c>
      <c r="D156" s="6" t="s">
        <v>1453</v>
      </c>
      <c r="E156" s="16">
        <v>224.55</v>
      </c>
      <c r="F156" s="16">
        <v>133.85</v>
      </c>
      <c r="G156" s="7">
        <v>360</v>
      </c>
      <c r="H156" s="6"/>
      <c r="I156" s="6" t="s">
        <v>1311</v>
      </c>
      <c r="J156" s="7">
        <v>1</v>
      </c>
    </row>
    <row r="157" spans="1:10" x14ac:dyDescent="0.3">
      <c r="A157" s="6" t="s">
        <v>1516</v>
      </c>
      <c r="B157" s="6"/>
      <c r="C157" s="6" t="s">
        <v>1362</v>
      </c>
      <c r="D157" s="6" t="s">
        <v>1453</v>
      </c>
      <c r="E157" s="16">
        <v>218.05</v>
      </c>
      <c r="F157" s="16">
        <v>133.85</v>
      </c>
      <c r="G157" s="7">
        <v>360</v>
      </c>
      <c r="H157" s="6"/>
      <c r="I157" s="6" t="s">
        <v>1311</v>
      </c>
      <c r="J157" s="7">
        <v>1</v>
      </c>
    </row>
    <row r="158" spans="1:10" x14ac:dyDescent="0.3">
      <c r="A158" s="6" t="s">
        <v>1517</v>
      </c>
      <c r="B158" s="6"/>
      <c r="C158" s="6" t="s">
        <v>1362</v>
      </c>
      <c r="D158" s="6" t="s">
        <v>1453</v>
      </c>
      <c r="E158" s="16">
        <v>211.55</v>
      </c>
      <c r="F158" s="16">
        <v>133.85</v>
      </c>
      <c r="G158" s="7">
        <v>360</v>
      </c>
      <c r="H158" s="6"/>
      <c r="I158" s="6" t="s">
        <v>1311</v>
      </c>
      <c r="J158" s="7">
        <v>1</v>
      </c>
    </row>
    <row r="159" spans="1:10" x14ac:dyDescent="0.3">
      <c r="A159" s="6" t="s">
        <v>1518</v>
      </c>
      <c r="B159" s="6"/>
      <c r="C159" s="6" t="s">
        <v>1362</v>
      </c>
      <c r="D159" s="6" t="s">
        <v>1453</v>
      </c>
      <c r="E159" s="16">
        <v>205.05</v>
      </c>
      <c r="F159" s="16">
        <v>133.85</v>
      </c>
      <c r="G159" s="7">
        <v>360</v>
      </c>
      <c r="H159" s="6"/>
      <c r="I159" s="6" t="s">
        <v>1311</v>
      </c>
      <c r="J159" s="7">
        <v>1</v>
      </c>
    </row>
    <row r="160" spans="1:10" x14ac:dyDescent="0.3">
      <c r="A160" s="6" t="s">
        <v>1519</v>
      </c>
      <c r="B160" s="6"/>
      <c r="C160" s="6" t="s">
        <v>1362</v>
      </c>
      <c r="D160" s="6" t="s">
        <v>1453</v>
      </c>
      <c r="E160" s="16">
        <v>270.05</v>
      </c>
      <c r="F160" s="16">
        <v>127.35</v>
      </c>
      <c r="G160" s="7">
        <v>360</v>
      </c>
      <c r="H160" s="6"/>
      <c r="I160" s="6" t="s">
        <v>1311</v>
      </c>
      <c r="J160" s="7">
        <v>1</v>
      </c>
    </row>
    <row r="161" spans="1:10" x14ac:dyDescent="0.3">
      <c r="A161" s="6" t="s">
        <v>1520</v>
      </c>
      <c r="B161" s="6"/>
      <c r="C161" s="6" t="s">
        <v>1362</v>
      </c>
      <c r="D161" s="6" t="s">
        <v>1453</v>
      </c>
      <c r="E161" s="16">
        <v>263.55</v>
      </c>
      <c r="F161" s="16">
        <v>127.35</v>
      </c>
      <c r="G161" s="7">
        <v>360</v>
      </c>
      <c r="H161" s="6"/>
      <c r="I161" s="6" t="s">
        <v>1311</v>
      </c>
      <c r="J161" s="7">
        <v>1</v>
      </c>
    </row>
    <row r="162" spans="1:10" x14ac:dyDescent="0.3">
      <c r="A162" s="6" t="s">
        <v>1521</v>
      </c>
      <c r="B162" s="6"/>
      <c r="C162" s="6" t="s">
        <v>1362</v>
      </c>
      <c r="D162" s="6" t="s">
        <v>1453</v>
      </c>
      <c r="E162" s="16">
        <v>257.05</v>
      </c>
      <c r="F162" s="16">
        <v>127.35</v>
      </c>
      <c r="G162" s="7">
        <v>360</v>
      </c>
      <c r="H162" s="6"/>
      <c r="I162" s="6" t="s">
        <v>1311</v>
      </c>
      <c r="J162" s="7">
        <v>1</v>
      </c>
    </row>
    <row r="163" spans="1:10" x14ac:dyDescent="0.3">
      <c r="A163" s="6" t="s">
        <v>1522</v>
      </c>
      <c r="B163" s="6"/>
      <c r="C163" s="6" t="s">
        <v>1362</v>
      </c>
      <c r="D163" s="6" t="s">
        <v>1453</v>
      </c>
      <c r="E163" s="16">
        <v>250.55</v>
      </c>
      <c r="F163" s="16">
        <v>127.35</v>
      </c>
      <c r="G163" s="7">
        <v>360</v>
      </c>
      <c r="H163" s="6"/>
      <c r="I163" s="6" t="s">
        <v>1311</v>
      </c>
      <c r="J163" s="7">
        <v>1</v>
      </c>
    </row>
    <row r="164" spans="1:10" x14ac:dyDescent="0.3">
      <c r="A164" s="6" t="s">
        <v>1523</v>
      </c>
      <c r="B164" s="6"/>
      <c r="C164" s="6" t="s">
        <v>1362</v>
      </c>
      <c r="D164" s="6" t="s">
        <v>1453</v>
      </c>
      <c r="E164" s="16">
        <v>244.05</v>
      </c>
      <c r="F164" s="16">
        <v>127.35</v>
      </c>
      <c r="G164" s="7">
        <v>360</v>
      </c>
      <c r="H164" s="6"/>
      <c r="I164" s="6" t="s">
        <v>1311</v>
      </c>
      <c r="J164" s="7">
        <v>1</v>
      </c>
    </row>
    <row r="165" spans="1:10" x14ac:dyDescent="0.3">
      <c r="A165" s="6" t="s">
        <v>1524</v>
      </c>
      <c r="B165" s="6"/>
      <c r="C165" s="6" t="s">
        <v>1362</v>
      </c>
      <c r="D165" s="6" t="s">
        <v>1453</v>
      </c>
      <c r="E165" s="16">
        <v>237.55</v>
      </c>
      <c r="F165" s="16">
        <v>127.35</v>
      </c>
      <c r="G165" s="7">
        <v>360</v>
      </c>
      <c r="H165" s="6"/>
      <c r="I165" s="6" t="s">
        <v>1311</v>
      </c>
      <c r="J165" s="7">
        <v>1</v>
      </c>
    </row>
    <row r="166" spans="1:10" x14ac:dyDescent="0.3">
      <c r="A166" s="6" t="s">
        <v>1525</v>
      </c>
      <c r="B166" s="6"/>
      <c r="C166" s="6" t="s">
        <v>1362</v>
      </c>
      <c r="D166" s="6" t="s">
        <v>1453</v>
      </c>
      <c r="E166" s="16">
        <v>231.05</v>
      </c>
      <c r="F166" s="16">
        <v>127.35</v>
      </c>
      <c r="G166" s="7">
        <v>360</v>
      </c>
      <c r="H166" s="6"/>
      <c r="I166" s="6" t="s">
        <v>1311</v>
      </c>
      <c r="J166" s="7">
        <v>1</v>
      </c>
    </row>
    <row r="167" spans="1:10" x14ac:dyDescent="0.3">
      <c r="A167" s="6" t="s">
        <v>1526</v>
      </c>
      <c r="B167" s="6"/>
      <c r="C167" s="6" t="s">
        <v>1362</v>
      </c>
      <c r="D167" s="6" t="s">
        <v>1453</v>
      </c>
      <c r="E167" s="16">
        <v>224.55</v>
      </c>
      <c r="F167" s="16">
        <v>127.35</v>
      </c>
      <c r="G167" s="7">
        <v>360</v>
      </c>
      <c r="H167" s="6"/>
      <c r="I167" s="6" t="s">
        <v>1311</v>
      </c>
      <c r="J167" s="7">
        <v>1</v>
      </c>
    </row>
    <row r="168" spans="1:10" x14ac:dyDescent="0.3">
      <c r="A168" s="6" t="s">
        <v>1527</v>
      </c>
      <c r="B168" s="6"/>
      <c r="C168" s="6" t="s">
        <v>1362</v>
      </c>
      <c r="D168" s="6" t="s">
        <v>1453</v>
      </c>
      <c r="E168" s="16">
        <v>218.05</v>
      </c>
      <c r="F168" s="16">
        <v>127.35</v>
      </c>
      <c r="G168" s="7">
        <v>360</v>
      </c>
      <c r="H168" s="6"/>
      <c r="I168" s="6" t="s">
        <v>1311</v>
      </c>
      <c r="J168" s="7">
        <v>1</v>
      </c>
    </row>
    <row r="169" spans="1:10" x14ac:dyDescent="0.3">
      <c r="A169" s="6" t="s">
        <v>1528</v>
      </c>
      <c r="B169" s="6"/>
      <c r="C169" s="6" t="s">
        <v>1362</v>
      </c>
      <c r="D169" s="6" t="s">
        <v>1453</v>
      </c>
      <c r="E169" s="16">
        <v>211.55</v>
      </c>
      <c r="F169" s="16">
        <v>127.35</v>
      </c>
      <c r="G169" s="7">
        <v>360</v>
      </c>
      <c r="H169" s="6"/>
      <c r="I169" s="6" t="s">
        <v>1311</v>
      </c>
      <c r="J169" s="7">
        <v>1</v>
      </c>
    </row>
    <row r="170" spans="1:10" x14ac:dyDescent="0.3">
      <c r="A170" s="6" t="s">
        <v>1529</v>
      </c>
      <c r="B170" s="6"/>
      <c r="C170" s="6" t="s">
        <v>1362</v>
      </c>
      <c r="D170" s="6" t="s">
        <v>1453</v>
      </c>
      <c r="E170" s="16">
        <v>205.05</v>
      </c>
      <c r="F170" s="16">
        <v>127.35</v>
      </c>
      <c r="G170" s="7">
        <v>360</v>
      </c>
      <c r="H170" s="6"/>
      <c r="I170" s="6" t="s">
        <v>1311</v>
      </c>
      <c r="J170" s="7">
        <v>1</v>
      </c>
    </row>
    <row r="171" spans="1:10" x14ac:dyDescent="0.3">
      <c r="A171" s="6" t="s">
        <v>1530</v>
      </c>
      <c r="B171" s="6"/>
      <c r="C171" s="6" t="s">
        <v>1362</v>
      </c>
      <c r="D171" s="6" t="s">
        <v>1453</v>
      </c>
      <c r="E171" s="16">
        <v>270.05</v>
      </c>
      <c r="F171" s="16">
        <v>120.85</v>
      </c>
      <c r="G171" s="7">
        <v>360</v>
      </c>
      <c r="H171" s="6"/>
      <c r="I171" s="6" t="s">
        <v>1311</v>
      </c>
      <c r="J171" s="7">
        <v>1</v>
      </c>
    </row>
    <row r="172" spans="1:10" x14ac:dyDescent="0.3">
      <c r="A172" s="6" t="s">
        <v>1531</v>
      </c>
      <c r="B172" s="6"/>
      <c r="C172" s="6" t="s">
        <v>1362</v>
      </c>
      <c r="D172" s="6" t="s">
        <v>1453</v>
      </c>
      <c r="E172" s="16">
        <v>263.55</v>
      </c>
      <c r="F172" s="16">
        <v>120.85</v>
      </c>
      <c r="G172" s="7">
        <v>360</v>
      </c>
      <c r="H172" s="6"/>
      <c r="I172" s="6" t="s">
        <v>1311</v>
      </c>
      <c r="J172" s="7">
        <v>1</v>
      </c>
    </row>
    <row r="173" spans="1:10" x14ac:dyDescent="0.3">
      <c r="A173" s="6" t="s">
        <v>1532</v>
      </c>
      <c r="B173" s="6"/>
      <c r="C173" s="6" t="s">
        <v>1362</v>
      </c>
      <c r="D173" s="6" t="s">
        <v>1453</v>
      </c>
      <c r="E173" s="16">
        <v>257.05</v>
      </c>
      <c r="F173" s="16">
        <v>120.85</v>
      </c>
      <c r="G173" s="7">
        <v>360</v>
      </c>
      <c r="H173" s="6"/>
      <c r="I173" s="6" t="s">
        <v>1311</v>
      </c>
      <c r="J173" s="7">
        <v>1</v>
      </c>
    </row>
    <row r="174" spans="1:10" x14ac:dyDescent="0.3">
      <c r="A174" s="6" t="s">
        <v>1533</v>
      </c>
      <c r="B174" s="6"/>
      <c r="C174" s="6" t="s">
        <v>1362</v>
      </c>
      <c r="D174" s="6" t="s">
        <v>1453</v>
      </c>
      <c r="E174" s="16">
        <v>250.55</v>
      </c>
      <c r="F174" s="16">
        <v>120.85</v>
      </c>
      <c r="G174" s="7">
        <v>360</v>
      </c>
      <c r="H174" s="6"/>
      <c r="I174" s="6" t="s">
        <v>1311</v>
      </c>
      <c r="J174" s="7">
        <v>1</v>
      </c>
    </row>
    <row r="175" spans="1:10" x14ac:dyDescent="0.3">
      <c r="A175" s="6" t="s">
        <v>1534</v>
      </c>
      <c r="B175" s="6"/>
      <c r="C175" s="6" t="s">
        <v>1362</v>
      </c>
      <c r="D175" s="6" t="s">
        <v>1453</v>
      </c>
      <c r="E175" s="16">
        <v>244.05</v>
      </c>
      <c r="F175" s="16">
        <v>120.85</v>
      </c>
      <c r="G175" s="7">
        <v>360</v>
      </c>
      <c r="H175" s="6"/>
      <c r="I175" s="6" t="s">
        <v>1311</v>
      </c>
      <c r="J175" s="7">
        <v>1</v>
      </c>
    </row>
    <row r="176" spans="1:10" x14ac:dyDescent="0.3">
      <c r="A176" s="6" t="s">
        <v>1535</v>
      </c>
      <c r="B176" s="6"/>
      <c r="C176" s="6" t="s">
        <v>1362</v>
      </c>
      <c r="D176" s="6" t="s">
        <v>1453</v>
      </c>
      <c r="E176" s="16">
        <v>237.55</v>
      </c>
      <c r="F176" s="16">
        <v>120.85</v>
      </c>
      <c r="G176" s="7">
        <v>360</v>
      </c>
      <c r="H176" s="6"/>
      <c r="I176" s="6" t="s">
        <v>1311</v>
      </c>
      <c r="J176" s="7">
        <v>1</v>
      </c>
    </row>
    <row r="177" spans="1:10" x14ac:dyDescent="0.3">
      <c r="A177" s="6" t="s">
        <v>1536</v>
      </c>
      <c r="B177" s="6"/>
      <c r="C177" s="6" t="s">
        <v>1362</v>
      </c>
      <c r="D177" s="6" t="s">
        <v>1453</v>
      </c>
      <c r="E177" s="16">
        <v>231.05</v>
      </c>
      <c r="F177" s="16">
        <v>120.85</v>
      </c>
      <c r="G177" s="7">
        <v>360</v>
      </c>
      <c r="H177" s="6"/>
      <c r="I177" s="6" t="s">
        <v>1311</v>
      </c>
      <c r="J177" s="7">
        <v>1</v>
      </c>
    </row>
    <row r="178" spans="1:10" x14ac:dyDescent="0.3">
      <c r="A178" s="6" t="s">
        <v>1537</v>
      </c>
      <c r="B178" s="6"/>
      <c r="C178" s="6" t="s">
        <v>1362</v>
      </c>
      <c r="D178" s="6" t="s">
        <v>1453</v>
      </c>
      <c r="E178" s="16">
        <v>224.55</v>
      </c>
      <c r="F178" s="16">
        <v>120.85</v>
      </c>
      <c r="G178" s="7">
        <v>360</v>
      </c>
      <c r="H178" s="6"/>
      <c r="I178" s="6" t="s">
        <v>1311</v>
      </c>
      <c r="J178" s="7">
        <v>1</v>
      </c>
    </row>
    <row r="179" spans="1:10" x14ac:dyDescent="0.3">
      <c r="A179" s="6" t="s">
        <v>1538</v>
      </c>
      <c r="B179" s="6"/>
      <c r="C179" s="6" t="s">
        <v>1362</v>
      </c>
      <c r="D179" s="6" t="s">
        <v>1453</v>
      </c>
      <c r="E179" s="16">
        <v>218.05</v>
      </c>
      <c r="F179" s="16">
        <v>120.85</v>
      </c>
      <c r="G179" s="7">
        <v>360</v>
      </c>
      <c r="H179" s="6"/>
      <c r="I179" s="6" t="s">
        <v>1311</v>
      </c>
      <c r="J179" s="7">
        <v>1</v>
      </c>
    </row>
    <row r="180" spans="1:10" x14ac:dyDescent="0.3">
      <c r="A180" s="6" t="s">
        <v>1539</v>
      </c>
      <c r="B180" s="6"/>
      <c r="C180" s="6" t="s">
        <v>1362</v>
      </c>
      <c r="D180" s="6" t="s">
        <v>1453</v>
      </c>
      <c r="E180" s="16">
        <v>211.55</v>
      </c>
      <c r="F180" s="16">
        <v>120.85</v>
      </c>
      <c r="G180" s="7">
        <v>360</v>
      </c>
      <c r="H180" s="6"/>
      <c r="I180" s="6" t="s">
        <v>1311</v>
      </c>
      <c r="J180" s="7">
        <v>1</v>
      </c>
    </row>
    <row r="181" spans="1:10" x14ac:dyDescent="0.3">
      <c r="A181" s="6" t="s">
        <v>1540</v>
      </c>
      <c r="B181" s="6"/>
      <c r="C181" s="6" t="s">
        <v>1362</v>
      </c>
      <c r="D181" s="6" t="s">
        <v>1453</v>
      </c>
      <c r="E181" s="16">
        <v>205.05</v>
      </c>
      <c r="F181" s="16">
        <v>120.85</v>
      </c>
      <c r="G181" s="7">
        <v>360</v>
      </c>
      <c r="H181" s="6"/>
      <c r="I181" s="6" t="s">
        <v>1311</v>
      </c>
      <c r="J181" s="7">
        <v>1</v>
      </c>
    </row>
    <row r="182" spans="1:10" x14ac:dyDescent="0.3">
      <c r="A182" s="6" t="s">
        <v>1541</v>
      </c>
      <c r="B182" s="6"/>
      <c r="C182" s="6" t="s">
        <v>1362</v>
      </c>
      <c r="D182" s="6" t="s">
        <v>1453</v>
      </c>
      <c r="E182" s="16">
        <v>270.05</v>
      </c>
      <c r="F182" s="16">
        <v>114.35</v>
      </c>
      <c r="G182" s="7">
        <v>360</v>
      </c>
      <c r="H182" s="6"/>
      <c r="I182" s="6" t="s">
        <v>1311</v>
      </c>
      <c r="J182" s="7">
        <v>1</v>
      </c>
    </row>
    <row r="183" spans="1:10" x14ac:dyDescent="0.3">
      <c r="A183" s="6" t="s">
        <v>1542</v>
      </c>
      <c r="B183" s="6"/>
      <c r="C183" s="6" t="s">
        <v>1362</v>
      </c>
      <c r="D183" s="6" t="s">
        <v>1453</v>
      </c>
      <c r="E183" s="16">
        <v>263.55</v>
      </c>
      <c r="F183" s="16">
        <v>114.35</v>
      </c>
      <c r="G183" s="7">
        <v>360</v>
      </c>
      <c r="H183" s="6"/>
      <c r="I183" s="6" t="s">
        <v>1311</v>
      </c>
      <c r="J183" s="7">
        <v>1</v>
      </c>
    </row>
    <row r="184" spans="1:10" x14ac:dyDescent="0.3">
      <c r="A184" s="6" t="s">
        <v>1543</v>
      </c>
      <c r="B184" s="6"/>
      <c r="C184" s="6" t="s">
        <v>1362</v>
      </c>
      <c r="D184" s="6" t="s">
        <v>1453</v>
      </c>
      <c r="E184" s="16">
        <v>257.05</v>
      </c>
      <c r="F184" s="16">
        <v>114.35</v>
      </c>
      <c r="G184" s="7">
        <v>360</v>
      </c>
      <c r="H184" s="6"/>
      <c r="I184" s="6" t="s">
        <v>1311</v>
      </c>
      <c r="J184" s="7">
        <v>1</v>
      </c>
    </row>
    <row r="185" spans="1:10" x14ac:dyDescent="0.3">
      <c r="A185" s="6" t="s">
        <v>1544</v>
      </c>
      <c r="B185" s="6"/>
      <c r="C185" s="6" t="s">
        <v>1362</v>
      </c>
      <c r="D185" s="6" t="s">
        <v>1453</v>
      </c>
      <c r="E185" s="16">
        <v>250.55</v>
      </c>
      <c r="F185" s="16">
        <v>114.35</v>
      </c>
      <c r="G185" s="7">
        <v>360</v>
      </c>
      <c r="H185" s="6"/>
      <c r="I185" s="6" t="s">
        <v>1311</v>
      </c>
      <c r="J185" s="7">
        <v>1</v>
      </c>
    </row>
    <row r="186" spans="1:10" x14ac:dyDescent="0.3">
      <c r="A186" s="6" t="s">
        <v>1545</v>
      </c>
      <c r="B186" s="6"/>
      <c r="C186" s="6" t="s">
        <v>1362</v>
      </c>
      <c r="D186" s="6" t="s">
        <v>1453</v>
      </c>
      <c r="E186" s="16">
        <v>244.05</v>
      </c>
      <c r="F186" s="16">
        <v>114.35</v>
      </c>
      <c r="G186" s="7">
        <v>360</v>
      </c>
      <c r="H186" s="6"/>
      <c r="I186" s="6" t="s">
        <v>1311</v>
      </c>
      <c r="J186" s="7">
        <v>1</v>
      </c>
    </row>
    <row r="187" spans="1:10" x14ac:dyDescent="0.3">
      <c r="A187" s="6" t="s">
        <v>1546</v>
      </c>
      <c r="B187" s="6"/>
      <c r="C187" s="6" t="s">
        <v>1362</v>
      </c>
      <c r="D187" s="6" t="s">
        <v>1453</v>
      </c>
      <c r="E187" s="16">
        <v>237.55</v>
      </c>
      <c r="F187" s="16">
        <v>114.35</v>
      </c>
      <c r="G187" s="7">
        <v>360</v>
      </c>
      <c r="H187" s="6"/>
      <c r="I187" s="6" t="s">
        <v>1311</v>
      </c>
      <c r="J187" s="7">
        <v>1</v>
      </c>
    </row>
    <row r="188" spans="1:10" x14ac:dyDescent="0.3">
      <c r="A188" s="6" t="s">
        <v>1547</v>
      </c>
      <c r="B188" s="6"/>
      <c r="C188" s="6" t="s">
        <v>1362</v>
      </c>
      <c r="D188" s="6" t="s">
        <v>1453</v>
      </c>
      <c r="E188" s="16">
        <v>231.05</v>
      </c>
      <c r="F188" s="16">
        <v>114.35</v>
      </c>
      <c r="G188" s="7">
        <v>360</v>
      </c>
      <c r="H188" s="6"/>
      <c r="I188" s="6" t="s">
        <v>1311</v>
      </c>
      <c r="J188" s="7">
        <v>1</v>
      </c>
    </row>
    <row r="189" spans="1:10" x14ac:dyDescent="0.3">
      <c r="A189" s="6" t="s">
        <v>1548</v>
      </c>
      <c r="B189" s="6"/>
      <c r="C189" s="6" t="s">
        <v>1362</v>
      </c>
      <c r="D189" s="6" t="s">
        <v>1453</v>
      </c>
      <c r="E189" s="16">
        <v>224.55</v>
      </c>
      <c r="F189" s="16">
        <v>114.35</v>
      </c>
      <c r="G189" s="7">
        <v>360</v>
      </c>
      <c r="H189" s="6"/>
      <c r="I189" s="6" t="s">
        <v>1311</v>
      </c>
      <c r="J189" s="7">
        <v>1</v>
      </c>
    </row>
    <row r="190" spans="1:10" x14ac:dyDescent="0.3">
      <c r="A190" s="6" t="s">
        <v>1549</v>
      </c>
      <c r="B190" s="6"/>
      <c r="C190" s="6" t="s">
        <v>1362</v>
      </c>
      <c r="D190" s="6" t="s">
        <v>1453</v>
      </c>
      <c r="E190" s="16">
        <v>218.05</v>
      </c>
      <c r="F190" s="16">
        <v>114.35</v>
      </c>
      <c r="G190" s="7">
        <v>360</v>
      </c>
      <c r="H190" s="6"/>
      <c r="I190" s="6" t="s">
        <v>1311</v>
      </c>
      <c r="J190" s="7">
        <v>1</v>
      </c>
    </row>
    <row r="191" spans="1:10" x14ac:dyDescent="0.3">
      <c r="A191" s="6" t="s">
        <v>1550</v>
      </c>
      <c r="B191" s="6"/>
      <c r="C191" s="6" t="s">
        <v>1362</v>
      </c>
      <c r="D191" s="6" t="s">
        <v>1453</v>
      </c>
      <c r="E191" s="16">
        <v>211.55</v>
      </c>
      <c r="F191" s="16">
        <v>114.35</v>
      </c>
      <c r="G191" s="7">
        <v>360</v>
      </c>
      <c r="H191" s="6"/>
      <c r="I191" s="6" t="s">
        <v>1311</v>
      </c>
      <c r="J191" s="7">
        <v>1</v>
      </c>
    </row>
    <row r="192" spans="1:10" x14ac:dyDescent="0.3">
      <c r="A192" s="6" t="s">
        <v>1551</v>
      </c>
      <c r="B192" s="6"/>
      <c r="C192" s="6" t="s">
        <v>1362</v>
      </c>
      <c r="D192" s="6" t="s">
        <v>1453</v>
      </c>
      <c r="E192" s="16">
        <v>205.05</v>
      </c>
      <c r="F192" s="16">
        <v>114.35</v>
      </c>
      <c r="G192" s="7">
        <v>360</v>
      </c>
      <c r="H192" s="6"/>
      <c r="I192" s="6" t="s">
        <v>1311</v>
      </c>
      <c r="J192" s="7">
        <v>1</v>
      </c>
    </row>
    <row r="193" spans="1:10" x14ac:dyDescent="0.3">
      <c r="A193" s="6" t="s">
        <v>1552</v>
      </c>
      <c r="B193" s="6"/>
      <c r="C193" s="6" t="s">
        <v>1362</v>
      </c>
      <c r="D193" s="6" t="s">
        <v>1453</v>
      </c>
      <c r="E193" s="16">
        <v>270.05</v>
      </c>
      <c r="F193" s="16">
        <v>107.85</v>
      </c>
      <c r="G193" s="7">
        <v>360</v>
      </c>
      <c r="H193" s="6"/>
      <c r="I193" s="6" t="s">
        <v>1311</v>
      </c>
      <c r="J193" s="7">
        <v>1</v>
      </c>
    </row>
    <row r="194" spans="1:10" x14ac:dyDescent="0.3">
      <c r="A194" s="6" t="s">
        <v>1553</v>
      </c>
      <c r="B194" s="6"/>
      <c r="C194" s="6" t="s">
        <v>1362</v>
      </c>
      <c r="D194" s="6" t="s">
        <v>1453</v>
      </c>
      <c r="E194" s="16">
        <v>263.55</v>
      </c>
      <c r="F194" s="16">
        <v>107.85</v>
      </c>
      <c r="G194" s="7">
        <v>360</v>
      </c>
      <c r="H194" s="6"/>
      <c r="I194" s="6" t="s">
        <v>1311</v>
      </c>
      <c r="J194" s="7">
        <v>1</v>
      </c>
    </row>
    <row r="195" spans="1:10" x14ac:dyDescent="0.3">
      <c r="A195" s="6" t="s">
        <v>1554</v>
      </c>
      <c r="B195" s="6"/>
      <c r="C195" s="6" t="s">
        <v>1362</v>
      </c>
      <c r="D195" s="6" t="s">
        <v>1453</v>
      </c>
      <c r="E195" s="16">
        <v>257.05</v>
      </c>
      <c r="F195" s="16">
        <v>107.85</v>
      </c>
      <c r="G195" s="7">
        <v>360</v>
      </c>
      <c r="H195" s="6"/>
      <c r="I195" s="6" t="s">
        <v>1311</v>
      </c>
      <c r="J195" s="7">
        <v>1</v>
      </c>
    </row>
    <row r="196" spans="1:10" x14ac:dyDescent="0.3">
      <c r="A196" s="6" t="s">
        <v>1555</v>
      </c>
      <c r="B196" s="6"/>
      <c r="C196" s="6" t="s">
        <v>1362</v>
      </c>
      <c r="D196" s="6" t="s">
        <v>1453</v>
      </c>
      <c r="E196" s="16">
        <v>250.55</v>
      </c>
      <c r="F196" s="16">
        <v>107.85</v>
      </c>
      <c r="G196" s="7">
        <v>360</v>
      </c>
      <c r="H196" s="6"/>
      <c r="I196" s="6" t="s">
        <v>1311</v>
      </c>
      <c r="J196" s="7">
        <v>1</v>
      </c>
    </row>
    <row r="197" spans="1:10" x14ac:dyDescent="0.3">
      <c r="A197" s="6" t="s">
        <v>1556</v>
      </c>
      <c r="B197" s="6"/>
      <c r="C197" s="6" t="s">
        <v>1362</v>
      </c>
      <c r="D197" s="6" t="s">
        <v>1453</v>
      </c>
      <c r="E197" s="16">
        <v>244.05</v>
      </c>
      <c r="F197" s="16">
        <v>107.85</v>
      </c>
      <c r="G197" s="7">
        <v>360</v>
      </c>
      <c r="H197" s="6"/>
      <c r="I197" s="6" t="s">
        <v>1311</v>
      </c>
      <c r="J197" s="7">
        <v>1</v>
      </c>
    </row>
    <row r="198" spans="1:10" x14ac:dyDescent="0.3">
      <c r="A198" s="6" t="s">
        <v>1557</v>
      </c>
      <c r="B198" s="6"/>
      <c r="C198" s="6" t="s">
        <v>1362</v>
      </c>
      <c r="D198" s="6" t="s">
        <v>1453</v>
      </c>
      <c r="E198" s="16">
        <v>237.55</v>
      </c>
      <c r="F198" s="16">
        <v>107.85</v>
      </c>
      <c r="G198" s="7">
        <v>360</v>
      </c>
      <c r="H198" s="6"/>
      <c r="I198" s="6" t="s">
        <v>1311</v>
      </c>
      <c r="J198" s="7">
        <v>1</v>
      </c>
    </row>
    <row r="199" spans="1:10" x14ac:dyDescent="0.3">
      <c r="A199" s="6" t="s">
        <v>1558</v>
      </c>
      <c r="B199" s="6"/>
      <c r="C199" s="6" t="s">
        <v>1362</v>
      </c>
      <c r="D199" s="6" t="s">
        <v>1453</v>
      </c>
      <c r="E199" s="16">
        <v>231.05</v>
      </c>
      <c r="F199" s="16">
        <v>107.85</v>
      </c>
      <c r="G199" s="7">
        <v>360</v>
      </c>
      <c r="H199" s="6"/>
      <c r="I199" s="6" t="s">
        <v>1311</v>
      </c>
      <c r="J199" s="7">
        <v>1</v>
      </c>
    </row>
    <row r="200" spans="1:10" x14ac:dyDescent="0.3">
      <c r="A200" s="6" t="s">
        <v>1559</v>
      </c>
      <c r="B200" s="6"/>
      <c r="C200" s="6" t="s">
        <v>1362</v>
      </c>
      <c r="D200" s="6" t="s">
        <v>1453</v>
      </c>
      <c r="E200" s="16">
        <v>224.55</v>
      </c>
      <c r="F200" s="16">
        <v>107.85</v>
      </c>
      <c r="G200" s="7">
        <v>360</v>
      </c>
      <c r="H200" s="6"/>
      <c r="I200" s="6" t="s">
        <v>1311</v>
      </c>
      <c r="J200" s="7">
        <v>1</v>
      </c>
    </row>
    <row r="201" spans="1:10" x14ac:dyDescent="0.3">
      <c r="A201" s="6" t="s">
        <v>1560</v>
      </c>
      <c r="B201" s="6"/>
      <c r="C201" s="6" t="s">
        <v>1362</v>
      </c>
      <c r="D201" s="6" t="s">
        <v>1453</v>
      </c>
      <c r="E201" s="16">
        <v>218.05</v>
      </c>
      <c r="F201" s="16">
        <v>107.85</v>
      </c>
      <c r="G201" s="7">
        <v>360</v>
      </c>
      <c r="H201" s="6"/>
      <c r="I201" s="6" t="s">
        <v>1311</v>
      </c>
      <c r="J201" s="7">
        <v>1</v>
      </c>
    </row>
    <row r="202" spans="1:10" x14ac:dyDescent="0.3">
      <c r="A202" s="6" t="s">
        <v>1561</v>
      </c>
      <c r="B202" s="6"/>
      <c r="C202" s="6" t="s">
        <v>1362</v>
      </c>
      <c r="D202" s="6" t="s">
        <v>1453</v>
      </c>
      <c r="E202" s="16">
        <v>211.55</v>
      </c>
      <c r="F202" s="16">
        <v>107.85</v>
      </c>
      <c r="G202" s="7">
        <v>360</v>
      </c>
      <c r="H202" s="6"/>
      <c r="I202" s="6" t="s">
        <v>1311</v>
      </c>
      <c r="J202" s="7">
        <v>1</v>
      </c>
    </row>
    <row r="203" spans="1:10" x14ac:dyDescent="0.3">
      <c r="A203" s="6" t="s">
        <v>1562</v>
      </c>
      <c r="B203" s="6"/>
      <c r="C203" s="6" t="s">
        <v>1362</v>
      </c>
      <c r="D203" s="6" t="s">
        <v>1453</v>
      </c>
      <c r="E203" s="16">
        <v>205.05</v>
      </c>
      <c r="F203" s="16">
        <v>107.85</v>
      </c>
      <c r="G203" s="7">
        <v>360</v>
      </c>
      <c r="H203" s="6"/>
      <c r="I203" s="6" t="s">
        <v>1311</v>
      </c>
      <c r="J203" s="7">
        <v>1</v>
      </c>
    </row>
    <row r="204" spans="1:10" x14ac:dyDescent="0.3">
      <c r="A204" s="6" t="s">
        <v>1563</v>
      </c>
      <c r="B204" s="6"/>
      <c r="C204" s="6" t="s">
        <v>1362</v>
      </c>
      <c r="D204" s="6" t="s">
        <v>1453</v>
      </c>
      <c r="E204" s="16">
        <v>270.05</v>
      </c>
      <c r="F204" s="16">
        <v>101.35</v>
      </c>
      <c r="G204" s="7">
        <v>360</v>
      </c>
      <c r="H204" s="6"/>
      <c r="I204" s="6" t="s">
        <v>1311</v>
      </c>
      <c r="J204" s="7">
        <v>1</v>
      </c>
    </row>
    <row r="205" spans="1:10" x14ac:dyDescent="0.3">
      <c r="A205" s="6" t="s">
        <v>1564</v>
      </c>
      <c r="B205" s="6"/>
      <c r="C205" s="6" t="s">
        <v>1362</v>
      </c>
      <c r="D205" s="6" t="s">
        <v>1453</v>
      </c>
      <c r="E205" s="16">
        <v>263.55</v>
      </c>
      <c r="F205" s="16">
        <v>101.35</v>
      </c>
      <c r="G205" s="7">
        <v>360</v>
      </c>
      <c r="H205" s="6"/>
      <c r="I205" s="6" t="s">
        <v>1311</v>
      </c>
      <c r="J205" s="7">
        <v>1</v>
      </c>
    </row>
    <row r="206" spans="1:10" x14ac:dyDescent="0.3">
      <c r="A206" s="6" t="s">
        <v>1565</v>
      </c>
      <c r="B206" s="6"/>
      <c r="C206" s="6" t="s">
        <v>1362</v>
      </c>
      <c r="D206" s="6" t="s">
        <v>1453</v>
      </c>
      <c r="E206" s="16">
        <v>257.05</v>
      </c>
      <c r="F206" s="16">
        <v>101.35</v>
      </c>
      <c r="G206" s="7">
        <v>360</v>
      </c>
      <c r="H206" s="6"/>
      <c r="I206" s="6" t="s">
        <v>1311</v>
      </c>
      <c r="J206" s="7">
        <v>1</v>
      </c>
    </row>
    <row r="207" spans="1:10" x14ac:dyDescent="0.3">
      <c r="A207" s="6" t="s">
        <v>1566</v>
      </c>
      <c r="B207" s="6"/>
      <c r="C207" s="6" t="s">
        <v>1362</v>
      </c>
      <c r="D207" s="6" t="s">
        <v>1453</v>
      </c>
      <c r="E207" s="16">
        <v>250.55</v>
      </c>
      <c r="F207" s="16">
        <v>101.35</v>
      </c>
      <c r="G207" s="7">
        <v>360</v>
      </c>
      <c r="H207" s="6"/>
      <c r="I207" s="6" t="s">
        <v>1311</v>
      </c>
      <c r="J207" s="7">
        <v>1</v>
      </c>
    </row>
    <row r="208" spans="1:10" x14ac:dyDescent="0.3">
      <c r="A208" s="6" t="s">
        <v>1567</v>
      </c>
      <c r="B208" s="6"/>
      <c r="C208" s="6" t="s">
        <v>1362</v>
      </c>
      <c r="D208" s="6" t="s">
        <v>1453</v>
      </c>
      <c r="E208" s="16">
        <v>244.05</v>
      </c>
      <c r="F208" s="16">
        <v>101.35</v>
      </c>
      <c r="G208" s="7">
        <v>360</v>
      </c>
      <c r="H208" s="6"/>
      <c r="I208" s="6" t="s">
        <v>1311</v>
      </c>
      <c r="J208" s="7">
        <v>1</v>
      </c>
    </row>
    <row r="209" spans="1:10" x14ac:dyDescent="0.3">
      <c r="A209" s="6" t="s">
        <v>1568</v>
      </c>
      <c r="B209" s="6"/>
      <c r="C209" s="6" t="s">
        <v>1362</v>
      </c>
      <c r="D209" s="6" t="s">
        <v>1453</v>
      </c>
      <c r="E209" s="16">
        <v>237.55</v>
      </c>
      <c r="F209" s="16">
        <v>101.35</v>
      </c>
      <c r="G209" s="7">
        <v>360</v>
      </c>
      <c r="H209" s="6"/>
      <c r="I209" s="6" t="s">
        <v>1311</v>
      </c>
      <c r="J209" s="7">
        <v>1</v>
      </c>
    </row>
    <row r="210" spans="1:10" x14ac:dyDescent="0.3">
      <c r="A210" s="6" t="s">
        <v>1569</v>
      </c>
      <c r="B210" s="6"/>
      <c r="C210" s="6" t="s">
        <v>1362</v>
      </c>
      <c r="D210" s="6" t="s">
        <v>1453</v>
      </c>
      <c r="E210" s="16">
        <v>231.05</v>
      </c>
      <c r="F210" s="16">
        <v>101.35</v>
      </c>
      <c r="G210" s="7">
        <v>360</v>
      </c>
      <c r="H210" s="6"/>
      <c r="I210" s="6" t="s">
        <v>1311</v>
      </c>
      <c r="J210" s="7">
        <v>1</v>
      </c>
    </row>
    <row r="211" spans="1:10" x14ac:dyDescent="0.3">
      <c r="A211" s="6" t="s">
        <v>1570</v>
      </c>
      <c r="B211" s="6"/>
      <c r="C211" s="6" t="s">
        <v>1362</v>
      </c>
      <c r="D211" s="6" t="s">
        <v>1453</v>
      </c>
      <c r="E211" s="16">
        <v>224.55</v>
      </c>
      <c r="F211" s="16">
        <v>101.35</v>
      </c>
      <c r="G211" s="7">
        <v>360</v>
      </c>
      <c r="H211" s="6"/>
      <c r="I211" s="6" t="s">
        <v>1311</v>
      </c>
      <c r="J211" s="7">
        <v>1</v>
      </c>
    </row>
    <row r="212" spans="1:10" x14ac:dyDescent="0.3">
      <c r="A212" s="6" t="s">
        <v>1571</v>
      </c>
      <c r="B212" s="6"/>
      <c r="C212" s="6" t="s">
        <v>1362</v>
      </c>
      <c r="D212" s="6" t="s">
        <v>1453</v>
      </c>
      <c r="E212" s="16">
        <v>218.05</v>
      </c>
      <c r="F212" s="16">
        <v>101.35</v>
      </c>
      <c r="G212" s="7">
        <v>360</v>
      </c>
      <c r="H212" s="6"/>
      <c r="I212" s="6" t="s">
        <v>1311</v>
      </c>
      <c r="J212" s="7">
        <v>1</v>
      </c>
    </row>
    <row r="213" spans="1:10" x14ac:dyDescent="0.3">
      <c r="A213" s="6" t="s">
        <v>1572</v>
      </c>
      <c r="B213" s="6"/>
      <c r="C213" s="6" t="s">
        <v>1362</v>
      </c>
      <c r="D213" s="6" t="s">
        <v>1453</v>
      </c>
      <c r="E213" s="16">
        <v>211.55</v>
      </c>
      <c r="F213" s="16">
        <v>101.35</v>
      </c>
      <c r="G213" s="7">
        <v>360</v>
      </c>
      <c r="H213" s="6"/>
      <c r="I213" s="6" t="s">
        <v>1311</v>
      </c>
      <c r="J213" s="7">
        <v>1</v>
      </c>
    </row>
    <row r="214" spans="1:10" x14ac:dyDescent="0.3">
      <c r="A214" s="6" t="s">
        <v>1573</v>
      </c>
      <c r="B214" s="6"/>
      <c r="C214" s="6" t="s">
        <v>1362</v>
      </c>
      <c r="D214" s="6" t="s">
        <v>1453</v>
      </c>
      <c r="E214" s="16">
        <v>205.05</v>
      </c>
      <c r="F214" s="16">
        <v>101.35</v>
      </c>
      <c r="G214" s="7">
        <v>360</v>
      </c>
      <c r="H214" s="6"/>
      <c r="I214" s="6" t="s">
        <v>1311</v>
      </c>
      <c r="J214" s="7">
        <v>1</v>
      </c>
    </row>
    <row r="215" spans="1:10" x14ac:dyDescent="0.3">
      <c r="A215" s="6" t="s">
        <v>1574</v>
      </c>
      <c r="B215" s="6"/>
      <c r="C215" s="6" t="s">
        <v>1362</v>
      </c>
      <c r="D215" s="6" t="s">
        <v>1453</v>
      </c>
      <c r="E215" s="16">
        <v>270.05</v>
      </c>
      <c r="F215" s="16">
        <v>94.85</v>
      </c>
      <c r="G215" s="7">
        <v>360</v>
      </c>
      <c r="H215" s="6"/>
      <c r="I215" s="6" t="s">
        <v>1311</v>
      </c>
      <c r="J215" s="7">
        <v>1</v>
      </c>
    </row>
    <row r="216" spans="1:10" x14ac:dyDescent="0.3">
      <c r="A216" s="6" t="s">
        <v>1575</v>
      </c>
      <c r="B216" s="6"/>
      <c r="C216" s="6" t="s">
        <v>1362</v>
      </c>
      <c r="D216" s="6" t="s">
        <v>1453</v>
      </c>
      <c r="E216" s="16">
        <v>263.55</v>
      </c>
      <c r="F216" s="16">
        <v>94.85</v>
      </c>
      <c r="G216" s="7">
        <v>360</v>
      </c>
      <c r="H216" s="6"/>
      <c r="I216" s="6" t="s">
        <v>1311</v>
      </c>
      <c r="J216" s="7">
        <v>1</v>
      </c>
    </row>
    <row r="217" spans="1:10" x14ac:dyDescent="0.3">
      <c r="A217" s="6" t="s">
        <v>1576</v>
      </c>
      <c r="B217" s="6"/>
      <c r="C217" s="6" t="s">
        <v>1362</v>
      </c>
      <c r="D217" s="6" t="s">
        <v>1453</v>
      </c>
      <c r="E217" s="16">
        <v>257.05</v>
      </c>
      <c r="F217" s="16">
        <v>94.85</v>
      </c>
      <c r="G217" s="7">
        <v>360</v>
      </c>
      <c r="H217" s="6"/>
      <c r="I217" s="6" t="s">
        <v>1311</v>
      </c>
      <c r="J217" s="7">
        <v>1</v>
      </c>
    </row>
    <row r="218" spans="1:10" x14ac:dyDescent="0.3">
      <c r="A218" s="6" t="s">
        <v>1577</v>
      </c>
      <c r="B218" s="6"/>
      <c r="C218" s="6" t="s">
        <v>1362</v>
      </c>
      <c r="D218" s="6" t="s">
        <v>1453</v>
      </c>
      <c r="E218" s="16">
        <v>250.55</v>
      </c>
      <c r="F218" s="16">
        <v>94.85</v>
      </c>
      <c r="G218" s="7">
        <v>360</v>
      </c>
      <c r="H218" s="6"/>
      <c r="I218" s="6" t="s">
        <v>1311</v>
      </c>
      <c r="J218" s="7">
        <v>1</v>
      </c>
    </row>
    <row r="219" spans="1:10" x14ac:dyDescent="0.3">
      <c r="A219" s="6" t="s">
        <v>1578</v>
      </c>
      <c r="B219" s="6"/>
      <c r="C219" s="6" t="s">
        <v>1362</v>
      </c>
      <c r="D219" s="6" t="s">
        <v>1453</v>
      </c>
      <c r="E219" s="16">
        <v>244.05</v>
      </c>
      <c r="F219" s="16">
        <v>94.85</v>
      </c>
      <c r="G219" s="7">
        <v>360</v>
      </c>
      <c r="H219" s="6"/>
      <c r="I219" s="6" t="s">
        <v>1311</v>
      </c>
      <c r="J219" s="7">
        <v>1</v>
      </c>
    </row>
    <row r="220" spans="1:10" x14ac:dyDescent="0.3">
      <c r="A220" s="6" t="s">
        <v>1579</v>
      </c>
      <c r="B220" s="6"/>
      <c r="C220" s="6" t="s">
        <v>1362</v>
      </c>
      <c r="D220" s="6" t="s">
        <v>1453</v>
      </c>
      <c r="E220" s="16">
        <v>237.55</v>
      </c>
      <c r="F220" s="16">
        <v>94.85</v>
      </c>
      <c r="G220" s="7">
        <v>360</v>
      </c>
      <c r="H220" s="6"/>
      <c r="I220" s="6" t="s">
        <v>1311</v>
      </c>
      <c r="J220" s="7">
        <v>1</v>
      </c>
    </row>
    <row r="221" spans="1:10" x14ac:dyDescent="0.3">
      <c r="A221" s="6" t="s">
        <v>1580</v>
      </c>
      <c r="B221" s="6"/>
      <c r="C221" s="6" t="s">
        <v>1362</v>
      </c>
      <c r="D221" s="6" t="s">
        <v>1453</v>
      </c>
      <c r="E221" s="16">
        <v>231.05</v>
      </c>
      <c r="F221" s="16">
        <v>94.85</v>
      </c>
      <c r="G221" s="7">
        <v>360</v>
      </c>
      <c r="H221" s="6"/>
      <c r="I221" s="6" t="s">
        <v>1311</v>
      </c>
      <c r="J221" s="7">
        <v>1</v>
      </c>
    </row>
    <row r="222" spans="1:10" x14ac:dyDescent="0.3">
      <c r="A222" s="6" t="s">
        <v>1581</v>
      </c>
      <c r="B222" s="6"/>
      <c r="C222" s="6" t="s">
        <v>1362</v>
      </c>
      <c r="D222" s="6" t="s">
        <v>1453</v>
      </c>
      <c r="E222" s="16">
        <v>224.55</v>
      </c>
      <c r="F222" s="16">
        <v>94.85</v>
      </c>
      <c r="G222" s="7">
        <v>360</v>
      </c>
      <c r="H222" s="6"/>
      <c r="I222" s="6" t="s">
        <v>1311</v>
      </c>
      <c r="J222" s="7">
        <v>1</v>
      </c>
    </row>
    <row r="223" spans="1:10" x14ac:dyDescent="0.3">
      <c r="A223" s="6" t="s">
        <v>1582</v>
      </c>
      <c r="B223" s="6"/>
      <c r="C223" s="6" t="s">
        <v>1362</v>
      </c>
      <c r="D223" s="6" t="s">
        <v>1453</v>
      </c>
      <c r="E223" s="16">
        <v>218.05</v>
      </c>
      <c r="F223" s="16">
        <v>94.85</v>
      </c>
      <c r="G223" s="7">
        <v>360</v>
      </c>
      <c r="H223" s="6"/>
      <c r="I223" s="6" t="s">
        <v>1311</v>
      </c>
      <c r="J223" s="7">
        <v>1</v>
      </c>
    </row>
    <row r="224" spans="1:10" x14ac:dyDescent="0.3">
      <c r="A224" s="6" t="s">
        <v>1583</v>
      </c>
      <c r="B224" s="6"/>
      <c r="C224" s="6" t="s">
        <v>1362</v>
      </c>
      <c r="D224" s="6" t="s">
        <v>1453</v>
      </c>
      <c r="E224" s="16">
        <v>211.55</v>
      </c>
      <c r="F224" s="16">
        <v>94.85</v>
      </c>
      <c r="G224" s="7">
        <v>360</v>
      </c>
      <c r="H224" s="6"/>
      <c r="I224" s="6" t="s">
        <v>1311</v>
      </c>
      <c r="J224" s="7">
        <v>1</v>
      </c>
    </row>
    <row r="225" spans="1:10" x14ac:dyDescent="0.3">
      <c r="A225" s="6" t="s">
        <v>1584</v>
      </c>
      <c r="B225" s="6"/>
      <c r="C225" s="6" t="s">
        <v>1362</v>
      </c>
      <c r="D225" s="6" t="s">
        <v>1453</v>
      </c>
      <c r="E225" s="16">
        <v>205.05</v>
      </c>
      <c r="F225" s="16">
        <v>94.85</v>
      </c>
      <c r="G225" s="7">
        <v>360</v>
      </c>
      <c r="H225" s="6"/>
      <c r="I225" s="6" t="s">
        <v>1311</v>
      </c>
      <c r="J225" s="7">
        <v>1</v>
      </c>
    </row>
    <row r="226" spans="1:10" x14ac:dyDescent="0.3">
      <c r="A226" s="6" t="s">
        <v>1585</v>
      </c>
      <c r="B226" s="6"/>
      <c r="C226" s="6" t="s">
        <v>1362</v>
      </c>
      <c r="D226" s="6" t="s">
        <v>1453</v>
      </c>
      <c r="E226" s="16">
        <v>270.05</v>
      </c>
      <c r="F226" s="16">
        <v>88.35</v>
      </c>
      <c r="G226" s="7">
        <v>360</v>
      </c>
      <c r="H226" s="6"/>
      <c r="I226" s="6" t="s">
        <v>1311</v>
      </c>
      <c r="J226" s="7">
        <v>1</v>
      </c>
    </row>
    <row r="227" spans="1:10" x14ac:dyDescent="0.3">
      <c r="A227" s="6" t="s">
        <v>1586</v>
      </c>
      <c r="B227" s="6"/>
      <c r="C227" s="6" t="s">
        <v>1362</v>
      </c>
      <c r="D227" s="6" t="s">
        <v>1453</v>
      </c>
      <c r="E227" s="16">
        <v>263.55</v>
      </c>
      <c r="F227" s="16">
        <v>88.35</v>
      </c>
      <c r="G227" s="7">
        <v>360</v>
      </c>
      <c r="H227" s="6"/>
      <c r="I227" s="6" t="s">
        <v>1311</v>
      </c>
      <c r="J227" s="7">
        <v>1</v>
      </c>
    </row>
    <row r="228" spans="1:10" x14ac:dyDescent="0.3">
      <c r="A228" s="6" t="s">
        <v>1587</v>
      </c>
      <c r="B228" s="6"/>
      <c r="C228" s="6" t="s">
        <v>1362</v>
      </c>
      <c r="D228" s="6" t="s">
        <v>1453</v>
      </c>
      <c r="E228" s="16">
        <v>257.05</v>
      </c>
      <c r="F228" s="16">
        <v>88.35</v>
      </c>
      <c r="G228" s="7">
        <v>360</v>
      </c>
      <c r="H228" s="6"/>
      <c r="I228" s="6" t="s">
        <v>1311</v>
      </c>
      <c r="J228" s="7">
        <v>1</v>
      </c>
    </row>
    <row r="229" spans="1:10" x14ac:dyDescent="0.3">
      <c r="A229" s="6" t="s">
        <v>1588</v>
      </c>
      <c r="B229" s="6"/>
      <c r="C229" s="6" t="s">
        <v>1362</v>
      </c>
      <c r="D229" s="6" t="s">
        <v>1453</v>
      </c>
      <c r="E229" s="16">
        <v>250.55</v>
      </c>
      <c r="F229" s="16">
        <v>88.35</v>
      </c>
      <c r="G229" s="7">
        <v>360</v>
      </c>
      <c r="H229" s="6"/>
      <c r="I229" s="6" t="s">
        <v>1311</v>
      </c>
      <c r="J229" s="7">
        <v>1</v>
      </c>
    </row>
    <row r="230" spans="1:10" x14ac:dyDescent="0.3">
      <c r="A230" s="6" t="s">
        <v>1589</v>
      </c>
      <c r="B230" s="6"/>
      <c r="C230" s="6" t="s">
        <v>1362</v>
      </c>
      <c r="D230" s="6" t="s">
        <v>1453</v>
      </c>
      <c r="E230" s="16">
        <v>244.05</v>
      </c>
      <c r="F230" s="16">
        <v>88.35</v>
      </c>
      <c r="G230" s="7">
        <v>360</v>
      </c>
      <c r="H230" s="6"/>
      <c r="I230" s="6" t="s">
        <v>1311</v>
      </c>
      <c r="J230" s="7">
        <v>1</v>
      </c>
    </row>
    <row r="231" spans="1:10" x14ac:dyDescent="0.3">
      <c r="A231" s="6" t="s">
        <v>1590</v>
      </c>
      <c r="B231" s="6"/>
      <c r="C231" s="6" t="s">
        <v>1362</v>
      </c>
      <c r="D231" s="6" t="s">
        <v>1453</v>
      </c>
      <c r="E231" s="16">
        <v>237.55</v>
      </c>
      <c r="F231" s="16">
        <v>88.35</v>
      </c>
      <c r="G231" s="7">
        <v>360</v>
      </c>
      <c r="H231" s="6"/>
      <c r="I231" s="6" t="s">
        <v>1311</v>
      </c>
      <c r="J231" s="7">
        <v>1</v>
      </c>
    </row>
    <row r="232" spans="1:10" x14ac:dyDescent="0.3">
      <c r="A232" s="6" t="s">
        <v>1591</v>
      </c>
      <c r="B232" s="6"/>
      <c r="C232" s="6" t="s">
        <v>1362</v>
      </c>
      <c r="D232" s="6" t="s">
        <v>1453</v>
      </c>
      <c r="E232" s="16">
        <v>231.05</v>
      </c>
      <c r="F232" s="16">
        <v>88.35</v>
      </c>
      <c r="G232" s="7">
        <v>360</v>
      </c>
      <c r="H232" s="6"/>
      <c r="I232" s="6" t="s">
        <v>1311</v>
      </c>
      <c r="J232" s="7">
        <v>1</v>
      </c>
    </row>
    <row r="233" spans="1:10" x14ac:dyDescent="0.3">
      <c r="A233" s="6" t="s">
        <v>1592</v>
      </c>
      <c r="B233" s="6"/>
      <c r="C233" s="6" t="s">
        <v>1362</v>
      </c>
      <c r="D233" s="6" t="s">
        <v>1453</v>
      </c>
      <c r="E233" s="16">
        <v>224.55</v>
      </c>
      <c r="F233" s="16">
        <v>88.35</v>
      </c>
      <c r="G233" s="7">
        <v>360</v>
      </c>
      <c r="H233" s="6"/>
      <c r="I233" s="6" t="s">
        <v>1311</v>
      </c>
      <c r="J233" s="7">
        <v>1</v>
      </c>
    </row>
    <row r="234" spans="1:10" x14ac:dyDescent="0.3">
      <c r="A234" s="6" t="s">
        <v>1593</v>
      </c>
      <c r="B234" s="6"/>
      <c r="C234" s="6" t="s">
        <v>1362</v>
      </c>
      <c r="D234" s="6" t="s">
        <v>1453</v>
      </c>
      <c r="E234" s="16">
        <v>218.05</v>
      </c>
      <c r="F234" s="16">
        <v>88.35</v>
      </c>
      <c r="G234" s="7">
        <v>360</v>
      </c>
      <c r="H234" s="6"/>
      <c r="I234" s="6" t="s">
        <v>1311</v>
      </c>
      <c r="J234" s="7">
        <v>1</v>
      </c>
    </row>
    <row r="235" spans="1:10" x14ac:dyDescent="0.3">
      <c r="A235" s="6" t="s">
        <v>1594</v>
      </c>
      <c r="B235" s="6"/>
      <c r="C235" s="6" t="s">
        <v>1362</v>
      </c>
      <c r="D235" s="6" t="s">
        <v>1453</v>
      </c>
      <c r="E235" s="16">
        <v>211.55</v>
      </c>
      <c r="F235" s="16">
        <v>88.35</v>
      </c>
      <c r="G235" s="7">
        <v>360</v>
      </c>
      <c r="H235" s="6"/>
      <c r="I235" s="6" t="s">
        <v>1311</v>
      </c>
      <c r="J235" s="7">
        <v>1</v>
      </c>
    </row>
    <row r="236" spans="1:10" x14ac:dyDescent="0.3">
      <c r="A236" s="6" t="s">
        <v>1595</v>
      </c>
      <c r="B236" s="6"/>
      <c r="C236" s="6" t="s">
        <v>1362</v>
      </c>
      <c r="D236" s="6" t="s">
        <v>1453</v>
      </c>
      <c r="E236" s="16">
        <v>205.05</v>
      </c>
      <c r="F236" s="16">
        <v>88.35</v>
      </c>
      <c r="G236" s="7">
        <v>360</v>
      </c>
      <c r="H236" s="6"/>
      <c r="I236" s="6" t="s">
        <v>1311</v>
      </c>
      <c r="J236" s="7">
        <v>1</v>
      </c>
    </row>
    <row r="237" spans="1:10" x14ac:dyDescent="0.3">
      <c r="A237" s="6" t="s">
        <v>1596</v>
      </c>
      <c r="B237" s="6"/>
      <c r="C237" s="6" t="s">
        <v>1362</v>
      </c>
      <c r="D237" s="6" t="s">
        <v>1453</v>
      </c>
      <c r="E237" s="16">
        <v>270.05</v>
      </c>
      <c r="F237" s="16">
        <v>81.849999999999994</v>
      </c>
      <c r="G237" s="7">
        <v>360</v>
      </c>
      <c r="H237" s="6"/>
      <c r="I237" s="6" t="s">
        <v>1311</v>
      </c>
      <c r="J237" s="7">
        <v>1</v>
      </c>
    </row>
    <row r="238" spans="1:10" x14ac:dyDescent="0.3">
      <c r="A238" s="6" t="s">
        <v>1597</v>
      </c>
      <c r="B238" s="6"/>
      <c r="C238" s="6" t="s">
        <v>1362</v>
      </c>
      <c r="D238" s="6" t="s">
        <v>1453</v>
      </c>
      <c r="E238" s="16">
        <v>263.55</v>
      </c>
      <c r="F238" s="16">
        <v>81.849999999999994</v>
      </c>
      <c r="G238" s="7">
        <v>360</v>
      </c>
      <c r="H238" s="6"/>
      <c r="I238" s="6" t="s">
        <v>1311</v>
      </c>
      <c r="J238" s="7">
        <v>1</v>
      </c>
    </row>
    <row r="239" spans="1:10" x14ac:dyDescent="0.3">
      <c r="A239" s="6" t="s">
        <v>1598</v>
      </c>
      <c r="B239" s="6"/>
      <c r="C239" s="6" t="s">
        <v>1362</v>
      </c>
      <c r="D239" s="6" t="s">
        <v>1453</v>
      </c>
      <c r="E239" s="16">
        <v>257.05</v>
      </c>
      <c r="F239" s="16">
        <v>81.849999999999994</v>
      </c>
      <c r="G239" s="7">
        <v>360</v>
      </c>
      <c r="H239" s="6"/>
      <c r="I239" s="6" t="s">
        <v>1311</v>
      </c>
      <c r="J239" s="7">
        <v>1</v>
      </c>
    </row>
    <row r="240" spans="1:10" x14ac:dyDescent="0.3">
      <c r="A240" s="6" t="s">
        <v>1599</v>
      </c>
      <c r="B240" s="6"/>
      <c r="C240" s="6" t="s">
        <v>1362</v>
      </c>
      <c r="D240" s="6" t="s">
        <v>1453</v>
      </c>
      <c r="E240" s="16">
        <v>250.55</v>
      </c>
      <c r="F240" s="16">
        <v>81.849999999999994</v>
      </c>
      <c r="G240" s="7">
        <v>360</v>
      </c>
      <c r="H240" s="6"/>
      <c r="I240" s="6" t="s">
        <v>1311</v>
      </c>
      <c r="J240" s="7">
        <v>1</v>
      </c>
    </row>
    <row r="241" spans="1:10" x14ac:dyDescent="0.3">
      <c r="A241" s="6" t="s">
        <v>1600</v>
      </c>
      <c r="B241" s="6"/>
      <c r="C241" s="6" t="s">
        <v>1362</v>
      </c>
      <c r="D241" s="6" t="s">
        <v>1453</v>
      </c>
      <c r="E241" s="16">
        <v>244.05</v>
      </c>
      <c r="F241" s="16">
        <v>81.849999999999994</v>
      </c>
      <c r="G241" s="7">
        <v>360</v>
      </c>
      <c r="H241" s="6"/>
      <c r="I241" s="6" t="s">
        <v>1311</v>
      </c>
      <c r="J241" s="7">
        <v>1</v>
      </c>
    </row>
    <row r="242" spans="1:10" x14ac:dyDescent="0.3">
      <c r="A242" s="6" t="s">
        <v>1601</v>
      </c>
      <c r="B242" s="6"/>
      <c r="C242" s="6" t="s">
        <v>1362</v>
      </c>
      <c r="D242" s="6" t="s">
        <v>1453</v>
      </c>
      <c r="E242" s="16">
        <v>237.55</v>
      </c>
      <c r="F242" s="16">
        <v>81.849999999999994</v>
      </c>
      <c r="G242" s="7">
        <v>360</v>
      </c>
      <c r="H242" s="6"/>
      <c r="I242" s="6" t="s">
        <v>1311</v>
      </c>
      <c r="J242" s="7">
        <v>1</v>
      </c>
    </row>
    <row r="243" spans="1:10" x14ac:dyDescent="0.3">
      <c r="A243" s="6" t="s">
        <v>1602</v>
      </c>
      <c r="B243" s="6"/>
      <c r="C243" s="6" t="s">
        <v>1362</v>
      </c>
      <c r="D243" s="6" t="s">
        <v>1453</v>
      </c>
      <c r="E243" s="16">
        <v>231.05</v>
      </c>
      <c r="F243" s="16">
        <v>81.849999999999994</v>
      </c>
      <c r="G243" s="7">
        <v>360</v>
      </c>
      <c r="H243" s="6"/>
      <c r="I243" s="6" t="s">
        <v>1311</v>
      </c>
      <c r="J243" s="7">
        <v>1</v>
      </c>
    </row>
    <row r="244" spans="1:10" x14ac:dyDescent="0.3">
      <c r="A244" s="6" t="s">
        <v>1603</v>
      </c>
      <c r="B244" s="6"/>
      <c r="C244" s="6" t="s">
        <v>1362</v>
      </c>
      <c r="D244" s="6" t="s">
        <v>1453</v>
      </c>
      <c r="E244" s="16">
        <v>224.55</v>
      </c>
      <c r="F244" s="16">
        <v>81.849999999999994</v>
      </c>
      <c r="G244" s="7">
        <v>360</v>
      </c>
      <c r="H244" s="6"/>
      <c r="I244" s="6" t="s">
        <v>1311</v>
      </c>
      <c r="J244" s="7">
        <v>1</v>
      </c>
    </row>
    <row r="245" spans="1:10" x14ac:dyDescent="0.3">
      <c r="A245" s="6" t="s">
        <v>1604</v>
      </c>
      <c r="B245" s="6"/>
      <c r="C245" s="6" t="s">
        <v>1362</v>
      </c>
      <c r="D245" s="6" t="s">
        <v>1453</v>
      </c>
      <c r="E245" s="16">
        <v>218.05</v>
      </c>
      <c r="F245" s="16">
        <v>81.849999999999994</v>
      </c>
      <c r="G245" s="7">
        <v>360</v>
      </c>
      <c r="H245" s="6"/>
      <c r="I245" s="6" t="s">
        <v>1311</v>
      </c>
      <c r="J245" s="7">
        <v>1</v>
      </c>
    </row>
    <row r="246" spans="1:10" x14ac:dyDescent="0.3">
      <c r="A246" s="6" t="s">
        <v>1605</v>
      </c>
      <c r="B246" s="6"/>
      <c r="C246" s="6" t="s">
        <v>1362</v>
      </c>
      <c r="D246" s="6" t="s">
        <v>1453</v>
      </c>
      <c r="E246" s="16">
        <v>211.55</v>
      </c>
      <c r="F246" s="16">
        <v>81.849999999999994</v>
      </c>
      <c r="G246" s="7">
        <v>360</v>
      </c>
      <c r="H246" s="6"/>
      <c r="I246" s="6" t="s">
        <v>1311</v>
      </c>
      <c r="J246" s="7">
        <v>1</v>
      </c>
    </row>
    <row r="247" spans="1:10" x14ac:dyDescent="0.3">
      <c r="A247" s="6" t="s">
        <v>1606</v>
      </c>
      <c r="B247" s="6"/>
      <c r="C247" s="6" t="s">
        <v>1362</v>
      </c>
      <c r="D247" s="6" t="s">
        <v>1453</v>
      </c>
      <c r="E247" s="16">
        <v>205.05</v>
      </c>
      <c r="F247" s="16">
        <v>81.849999999999994</v>
      </c>
      <c r="G247" s="7">
        <v>360</v>
      </c>
      <c r="H247" s="6"/>
      <c r="I247" s="6" t="s">
        <v>1311</v>
      </c>
      <c r="J247" s="7">
        <v>1</v>
      </c>
    </row>
    <row r="248" spans="1:10" x14ac:dyDescent="0.3">
      <c r="A248" s="6" t="s">
        <v>1607</v>
      </c>
      <c r="B248" s="6"/>
      <c r="C248" s="6" t="s">
        <v>1362</v>
      </c>
      <c r="D248" s="6" t="s">
        <v>1453</v>
      </c>
      <c r="E248" s="16">
        <v>270.05</v>
      </c>
      <c r="F248" s="16">
        <v>75.349999999999994</v>
      </c>
      <c r="G248" s="7">
        <v>360</v>
      </c>
      <c r="H248" s="6"/>
      <c r="I248" s="6" t="s">
        <v>1311</v>
      </c>
      <c r="J248" s="7">
        <v>1</v>
      </c>
    </row>
    <row r="249" spans="1:10" x14ac:dyDescent="0.3">
      <c r="A249" s="6" t="s">
        <v>1608</v>
      </c>
      <c r="B249" s="6"/>
      <c r="C249" s="6" t="s">
        <v>1362</v>
      </c>
      <c r="D249" s="6" t="s">
        <v>1453</v>
      </c>
      <c r="E249" s="16">
        <v>263.55</v>
      </c>
      <c r="F249" s="16">
        <v>75.349999999999994</v>
      </c>
      <c r="G249" s="7">
        <v>360</v>
      </c>
      <c r="H249" s="6"/>
      <c r="I249" s="6" t="s">
        <v>1311</v>
      </c>
      <c r="J249" s="7">
        <v>1</v>
      </c>
    </row>
    <row r="250" spans="1:10" x14ac:dyDescent="0.3">
      <c r="A250" s="6" t="s">
        <v>1609</v>
      </c>
      <c r="B250" s="6"/>
      <c r="C250" s="6" t="s">
        <v>1362</v>
      </c>
      <c r="D250" s="6" t="s">
        <v>1453</v>
      </c>
      <c r="E250" s="16">
        <v>257.05</v>
      </c>
      <c r="F250" s="16">
        <v>75.349999999999994</v>
      </c>
      <c r="G250" s="7">
        <v>360</v>
      </c>
      <c r="H250" s="6"/>
      <c r="I250" s="6" t="s">
        <v>1311</v>
      </c>
      <c r="J250" s="7">
        <v>1</v>
      </c>
    </row>
    <row r="251" spans="1:10" x14ac:dyDescent="0.3">
      <c r="A251" s="6" t="s">
        <v>1610</v>
      </c>
      <c r="B251" s="6"/>
      <c r="C251" s="6" t="s">
        <v>1362</v>
      </c>
      <c r="D251" s="6" t="s">
        <v>1453</v>
      </c>
      <c r="E251" s="16">
        <v>250.55</v>
      </c>
      <c r="F251" s="16">
        <v>75.349999999999994</v>
      </c>
      <c r="G251" s="7">
        <v>360</v>
      </c>
      <c r="H251" s="6"/>
      <c r="I251" s="6" t="s">
        <v>1311</v>
      </c>
      <c r="J251" s="7">
        <v>1</v>
      </c>
    </row>
    <row r="252" spans="1:10" x14ac:dyDescent="0.3">
      <c r="A252" s="6" t="s">
        <v>1611</v>
      </c>
      <c r="B252" s="6"/>
      <c r="C252" s="6" t="s">
        <v>1362</v>
      </c>
      <c r="D252" s="6" t="s">
        <v>1453</v>
      </c>
      <c r="E252" s="16">
        <v>244.05</v>
      </c>
      <c r="F252" s="16">
        <v>75.349999999999994</v>
      </c>
      <c r="G252" s="7">
        <v>360</v>
      </c>
      <c r="H252" s="6"/>
      <c r="I252" s="6" t="s">
        <v>1311</v>
      </c>
      <c r="J252" s="7">
        <v>1</v>
      </c>
    </row>
    <row r="253" spans="1:10" x14ac:dyDescent="0.3">
      <c r="A253" s="6" t="s">
        <v>1612</v>
      </c>
      <c r="B253" s="6"/>
      <c r="C253" s="6" t="s">
        <v>1362</v>
      </c>
      <c r="D253" s="6" t="s">
        <v>1453</v>
      </c>
      <c r="E253" s="16">
        <v>237.55</v>
      </c>
      <c r="F253" s="16">
        <v>75.349999999999994</v>
      </c>
      <c r="G253" s="7">
        <v>360</v>
      </c>
      <c r="H253" s="6"/>
      <c r="I253" s="6" t="s">
        <v>1311</v>
      </c>
      <c r="J253" s="7">
        <v>1</v>
      </c>
    </row>
    <row r="254" spans="1:10" x14ac:dyDescent="0.3">
      <c r="A254" s="6" t="s">
        <v>1613</v>
      </c>
      <c r="B254" s="6"/>
      <c r="C254" s="6" t="s">
        <v>1362</v>
      </c>
      <c r="D254" s="6" t="s">
        <v>1453</v>
      </c>
      <c r="E254" s="16">
        <v>231.05</v>
      </c>
      <c r="F254" s="16">
        <v>75.349999999999994</v>
      </c>
      <c r="G254" s="7">
        <v>360</v>
      </c>
      <c r="H254" s="6"/>
      <c r="I254" s="6" t="s">
        <v>1311</v>
      </c>
      <c r="J254" s="7">
        <v>1</v>
      </c>
    </row>
    <row r="255" spans="1:10" x14ac:dyDescent="0.3">
      <c r="A255" s="6" t="s">
        <v>1614</v>
      </c>
      <c r="B255" s="6"/>
      <c r="C255" s="6" t="s">
        <v>1362</v>
      </c>
      <c r="D255" s="6" t="s">
        <v>1453</v>
      </c>
      <c r="E255" s="16">
        <v>224.55</v>
      </c>
      <c r="F255" s="16">
        <v>75.349999999999994</v>
      </c>
      <c r="G255" s="7">
        <v>360</v>
      </c>
      <c r="H255" s="6"/>
      <c r="I255" s="6" t="s">
        <v>1311</v>
      </c>
      <c r="J255" s="7">
        <v>1</v>
      </c>
    </row>
    <row r="256" spans="1:10" x14ac:dyDescent="0.3">
      <c r="A256" s="6" t="s">
        <v>1615</v>
      </c>
      <c r="B256" s="6"/>
      <c r="C256" s="6" t="s">
        <v>1362</v>
      </c>
      <c r="D256" s="6" t="s">
        <v>1453</v>
      </c>
      <c r="E256" s="16">
        <v>218.05</v>
      </c>
      <c r="F256" s="16">
        <v>75.349999999999994</v>
      </c>
      <c r="G256" s="7">
        <v>360</v>
      </c>
      <c r="H256" s="6"/>
      <c r="I256" s="6" t="s">
        <v>1311</v>
      </c>
      <c r="J256" s="7">
        <v>1</v>
      </c>
    </row>
    <row r="257" spans="1:10" x14ac:dyDescent="0.3">
      <c r="A257" s="6" t="s">
        <v>1616</v>
      </c>
      <c r="B257" s="6"/>
      <c r="C257" s="6" t="s">
        <v>1362</v>
      </c>
      <c r="D257" s="6" t="s">
        <v>1453</v>
      </c>
      <c r="E257" s="16">
        <v>211.55</v>
      </c>
      <c r="F257" s="16">
        <v>75.349999999999994</v>
      </c>
      <c r="G257" s="7">
        <v>360</v>
      </c>
      <c r="H257" s="6"/>
      <c r="I257" s="6" t="s">
        <v>1311</v>
      </c>
      <c r="J257" s="7">
        <v>1</v>
      </c>
    </row>
    <row r="258" spans="1:10" x14ac:dyDescent="0.3">
      <c r="A258" s="6" t="s">
        <v>1617</v>
      </c>
      <c r="B258" s="6"/>
      <c r="C258" s="6" t="s">
        <v>1362</v>
      </c>
      <c r="D258" s="6" t="s">
        <v>1453</v>
      </c>
      <c r="E258" s="16">
        <v>205.05</v>
      </c>
      <c r="F258" s="16">
        <v>75.349999999999994</v>
      </c>
      <c r="G258" s="7">
        <v>360</v>
      </c>
      <c r="H258" s="6"/>
      <c r="I258" s="6" t="s">
        <v>1311</v>
      </c>
      <c r="J258" s="7">
        <v>1</v>
      </c>
    </row>
    <row r="259" spans="1:10" x14ac:dyDescent="0.3">
      <c r="A259" s="6" t="s">
        <v>1618</v>
      </c>
      <c r="B259" s="6"/>
      <c r="C259" s="6" t="s">
        <v>1362</v>
      </c>
      <c r="D259" s="6" t="s">
        <v>1453</v>
      </c>
      <c r="E259" s="16">
        <v>270.05</v>
      </c>
      <c r="F259" s="16">
        <v>68.849999999999994</v>
      </c>
      <c r="G259" s="7">
        <v>360</v>
      </c>
      <c r="H259" s="6"/>
      <c r="I259" s="6" t="s">
        <v>1311</v>
      </c>
      <c r="J259" s="7">
        <v>1</v>
      </c>
    </row>
    <row r="260" spans="1:10" x14ac:dyDescent="0.3">
      <c r="A260" s="6" t="s">
        <v>1619</v>
      </c>
      <c r="B260" s="6"/>
      <c r="C260" s="6" t="s">
        <v>1362</v>
      </c>
      <c r="D260" s="6" t="s">
        <v>1453</v>
      </c>
      <c r="E260" s="16">
        <v>263.55</v>
      </c>
      <c r="F260" s="16">
        <v>68.849999999999994</v>
      </c>
      <c r="G260" s="7">
        <v>360</v>
      </c>
      <c r="H260" s="6"/>
      <c r="I260" s="6" t="s">
        <v>1311</v>
      </c>
      <c r="J260" s="7">
        <v>1</v>
      </c>
    </row>
    <row r="261" spans="1:10" x14ac:dyDescent="0.3">
      <c r="A261" s="6" t="s">
        <v>1620</v>
      </c>
      <c r="B261" s="6"/>
      <c r="C261" s="6" t="s">
        <v>1362</v>
      </c>
      <c r="D261" s="6" t="s">
        <v>1453</v>
      </c>
      <c r="E261" s="16">
        <v>257.05</v>
      </c>
      <c r="F261" s="16">
        <v>68.849999999999994</v>
      </c>
      <c r="G261" s="7">
        <v>360</v>
      </c>
      <c r="H261" s="6"/>
      <c r="I261" s="6" t="s">
        <v>1311</v>
      </c>
      <c r="J261" s="7">
        <v>1</v>
      </c>
    </row>
    <row r="262" spans="1:10" x14ac:dyDescent="0.3">
      <c r="A262" s="6" t="s">
        <v>1621</v>
      </c>
      <c r="B262" s="6"/>
      <c r="C262" s="6" t="s">
        <v>1362</v>
      </c>
      <c r="D262" s="6" t="s">
        <v>1453</v>
      </c>
      <c r="E262" s="16">
        <v>250.55</v>
      </c>
      <c r="F262" s="16">
        <v>68.849999999999994</v>
      </c>
      <c r="G262" s="7">
        <v>360</v>
      </c>
      <c r="H262" s="6"/>
      <c r="I262" s="6" t="s">
        <v>1311</v>
      </c>
      <c r="J262" s="7">
        <v>1</v>
      </c>
    </row>
    <row r="263" spans="1:10" x14ac:dyDescent="0.3">
      <c r="A263" s="6" t="s">
        <v>1622</v>
      </c>
      <c r="B263" s="6"/>
      <c r="C263" s="6" t="s">
        <v>1362</v>
      </c>
      <c r="D263" s="6" t="s">
        <v>1453</v>
      </c>
      <c r="E263" s="16">
        <v>244.05</v>
      </c>
      <c r="F263" s="16">
        <v>68.849999999999994</v>
      </c>
      <c r="G263" s="7">
        <v>360</v>
      </c>
      <c r="H263" s="6"/>
      <c r="I263" s="6" t="s">
        <v>1311</v>
      </c>
      <c r="J263" s="7">
        <v>1</v>
      </c>
    </row>
    <row r="264" spans="1:10" x14ac:dyDescent="0.3">
      <c r="A264" s="6" t="s">
        <v>1623</v>
      </c>
      <c r="B264" s="6"/>
      <c r="C264" s="6" t="s">
        <v>1362</v>
      </c>
      <c r="D264" s="6" t="s">
        <v>1453</v>
      </c>
      <c r="E264" s="16">
        <v>237.55</v>
      </c>
      <c r="F264" s="16">
        <v>68.849999999999994</v>
      </c>
      <c r="G264" s="7">
        <v>360</v>
      </c>
      <c r="H264" s="6"/>
      <c r="I264" s="6" t="s">
        <v>1311</v>
      </c>
      <c r="J264" s="7">
        <v>1</v>
      </c>
    </row>
    <row r="265" spans="1:10" x14ac:dyDescent="0.3">
      <c r="A265" s="6" t="s">
        <v>1624</v>
      </c>
      <c r="B265" s="6"/>
      <c r="C265" s="6" t="s">
        <v>1362</v>
      </c>
      <c r="D265" s="6" t="s">
        <v>1453</v>
      </c>
      <c r="E265" s="16">
        <v>231.05</v>
      </c>
      <c r="F265" s="16">
        <v>68.849999999999994</v>
      </c>
      <c r="G265" s="7">
        <v>360</v>
      </c>
      <c r="H265" s="6"/>
      <c r="I265" s="6" t="s">
        <v>1311</v>
      </c>
      <c r="J265" s="7">
        <v>1</v>
      </c>
    </row>
    <row r="266" spans="1:10" x14ac:dyDescent="0.3">
      <c r="A266" s="6" t="s">
        <v>1625</v>
      </c>
      <c r="B266" s="6"/>
      <c r="C266" s="6" t="s">
        <v>1362</v>
      </c>
      <c r="D266" s="6" t="s">
        <v>1453</v>
      </c>
      <c r="E266" s="16">
        <v>224.55</v>
      </c>
      <c r="F266" s="16">
        <v>68.849999999999994</v>
      </c>
      <c r="G266" s="7">
        <v>360</v>
      </c>
      <c r="H266" s="6"/>
      <c r="I266" s="6" t="s">
        <v>1311</v>
      </c>
      <c r="J266" s="7">
        <v>1</v>
      </c>
    </row>
    <row r="267" spans="1:10" x14ac:dyDescent="0.3">
      <c r="A267" s="6" t="s">
        <v>1626</v>
      </c>
      <c r="B267" s="6"/>
      <c r="C267" s="6" t="s">
        <v>1362</v>
      </c>
      <c r="D267" s="6" t="s">
        <v>1453</v>
      </c>
      <c r="E267" s="16">
        <v>218.05</v>
      </c>
      <c r="F267" s="16">
        <v>68.849999999999994</v>
      </c>
      <c r="G267" s="7">
        <v>360</v>
      </c>
      <c r="H267" s="6"/>
      <c r="I267" s="6" t="s">
        <v>1311</v>
      </c>
      <c r="J267" s="7">
        <v>1</v>
      </c>
    </row>
    <row r="268" spans="1:10" x14ac:dyDescent="0.3">
      <c r="A268" s="6" t="s">
        <v>1627</v>
      </c>
      <c r="B268" s="6"/>
      <c r="C268" s="6" t="s">
        <v>1362</v>
      </c>
      <c r="D268" s="6" t="s">
        <v>1453</v>
      </c>
      <c r="E268" s="16">
        <v>211.55</v>
      </c>
      <c r="F268" s="16">
        <v>68.849999999999994</v>
      </c>
      <c r="G268" s="7">
        <v>360</v>
      </c>
      <c r="H268" s="6"/>
      <c r="I268" s="6" t="s">
        <v>1311</v>
      </c>
      <c r="J268" s="7">
        <v>1</v>
      </c>
    </row>
    <row r="269" spans="1:10" x14ac:dyDescent="0.3">
      <c r="A269" s="6" t="s">
        <v>1628</v>
      </c>
      <c r="B269" s="6"/>
      <c r="C269" s="6" t="s">
        <v>1362</v>
      </c>
      <c r="D269" s="6" t="s">
        <v>1453</v>
      </c>
      <c r="E269" s="16">
        <v>205.05</v>
      </c>
      <c r="F269" s="16">
        <v>68.849999999999994</v>
      </c>
      <c r="G269" s="7">
        <v>360</v>
      </c>
      <c r="H269" s="6"/>
      <c r="I269" s="6" t="s">
        <v>1311</v>
      </c>
      <c r="J269" s="7">
        <v>1</v>
      </c>
    </row>
    <row r="270" spans="1:10" x14ac:dyDescent="0.3">
      <c r="A270" s="6" t="s">
        <v>1629</v>
      </c>
      <c r="B270" s="6"/>
      <c r="C270" s="6" t="s">
        <v>1362</v>
      </c>
      <c r="D270" s="6" t="s">
        <v>1453</v>
      </c>
      <c r="E270" s="16">
        <v>270.05</v>
      </c>
      <c r="F270" s="16">
        <v>62.35</v>
      </c>
      <c r="G270" s="7">
        <v>360</v>
      </c>
      <c r="H270" s="6"/>
      <c r="I270" s="6" t="s">
        <v>1311</v>
      </c>
      <c r="J270" s="7">
        <v>1</v>
      </c>
    </row>
    <row r="271" spans="1:10" x14ac:dyDescent="0.3">
      <c r="A271" s="6" t="s">
        <v>1630</v>
      </c>
      <c r="B271" s="6"/>
      <c r="C271" s="6" t="s">
        <v>1362</v>
      </c>
      <c r="D271" s="6" t="s">
        <v>1453</v>
      </c>
      <c r="E271" s="16">
        <v>263.55</v>
      </c>
      <c r="F271" s="16">
        <v>62.35</v>
      </c>
      <c r="G271" s="7">
        <v>360</v>
      </c>
      <c r="H271" s="6"/>
      <c r="I271" s="6" t="s">
        <v>1311</v>
      </c>
      <c r="J271" s="7">
        <v>1</v>
      </c>
    </row>
    <row r="272" spans="1:10" x14ac:dyDescent="0.3">
      <c r="A272" s="6" t="s">
        <v>1631</v>
      </c>
      <c r="B272" s="6"/>
      <c r="C272" s="6" t="s">
        <v>1362</v>
      </c>
      <c r="D272" s="6" t="s">
        <v>1453</v>
      </c>
      <c r="E272" s="16">
        <v>257.05</v>
      </c>
      <c r="F272" s="16">
        <v>62.35</v>
      </c>
      <c r="G272" s="7">
        <v>360</v>
      </c>
      <c r="H272" s="6"/>
      <c r="I272" s="6" t="s">
        <v>1311</v>
      </c>
      <c r="J272" s="7">
        <v>1</v>
      </c>
    </row>
    <row r="273" spans="1:10" x14ac:dyDescent="0.3">
      <c r="A273" s="6" t="s">
        <v>1632</v>
      </c>
      <c r="B273" s="6"/>
      <c r="C273" s="6" t="s">
        <v>1362</v>
      </c>
      <c r="D273" s="6" t="s">
        <v>1453</v>
      </c>
      <c r="E273" s="16">
        <v>250.55</v>
      </c>
      <c r="F273" s="16">
        <v>62.35</v>
      </c>
      <c r="G273" s="7">
        <v>360</v>
      </c>
      <c r="H273" s="6"/>
      <c r="I273" s="6" t="s">
        <v>1311</v>
      </c>
      <c r="J273" s="7">
        <v>1</v>
      </c>
    </row>
    <row r="274" spans="1:10" x14ac:dyDescent="0.3">
      <c r="A274" s="6" t="s">
        <v>1633</v>
      </c>
      <c r="B274" s="6"/>
      <c r="C274" s="6" t="s">
        <v>1362</v>
      </c>
      <c r="D274" s="6" t="s">
        <v>1453</v>
      </c>
      <c r="E274" s="16">
        <v>244.05</v>
      </c>
      <c r="F274" s="16">
        <v>62.35</v>
      </c>
      <c r="G274" s="7">
        <v>360</v>
      </c>
      <c r="H274" s="6"/>
      <c r="I274" s="6" t="s">
        <v>1311</v>
      </c>
      <c r="J274" s="7">
        <v>1</v>
      </c>
    </row>
    <row r="275" spans="1:10" x14ac:dyDescent="0.3">
      <c r="A275" s="6" t="s">
        <v>1634</v>
      </c>
      <c r="B275" s="6"/>
      <c r="C275" s="6" t="s">
        <v>1362</v>
      </c>
      <c r="D275" s="6" t="s">
        <v>1453</v>
      </c>
      <c r="E275" s="16">
        <v>237.55</v>
      </c>
      <c r="F275" s="16">
        <v>62.35</v>
      </c>
      <c r="G275" s="7">
        <v>360</v>
      </c>
      <c r="H275" s="6"/>
      <c r="I275" s="6" t="s">
        <v>1311</v>
      </c>
      <c r="J275" s="7">
        <v>1</v>
      </c>
    </row>
    <row r="276" spans="1:10" x14ac:dyDescent="0.3">
      <c r="A276" s="6" t="s">
        <v>1635</v>
      </c>
      <c r="B276" s="6"/>
      <c r="C276" s="6" t="s">
        <v>1362</v>
      </c>
      <c r="D276" s="6" t="s">
        <v>1453</v>
      </c>
      <c r="E276" s="16">
        <v>231.05</v>
      </c>
      <c r="F276" s="16">
        <v>62.35</v>
      </c>
      <c r="G276" s="7">
        <v>360</v>
      </c>
      <c r="H276" s="6"/>
      <c r="I276" s="6" t="s">
        <v>1311</v>
      </c>
      <c r="J276" s="7">
        <v>1</v>
      </c>
    </row>
    <row r="277" spans="1:10" x14ac:dyDescent="0.3">
      <c r="A277" s="6" t="s">
        <v>1636</v>
      </c>
      <c r="B277" s="6"/>
      <c r="C277" s="6" t="s">
        <v>1362</v>
      </c>
      <c r="D277" s="6" t="s">
        <v>1453</v>
      </c>
      <c r="E277" s="16">
        <v>224.55</v>
      </c>
      <c r="F277" s="16">
        <v>62.35</v>
      </c>
      <c r="G277" s="7">
        <v>360</v>
      </c>
      <c r="H277" s="6"/>
      <c r="I277" s="6" t="s">
        <v>1311</v>
      </c>
      <c r="J277" s="7">
        <v>1</v>
      </c>
    </row>
    <row r="278" spans="1:10" x14ac:dyDescent="0.3">
      <c r="A278" s="6" t="s">
        <v>1637</v>
      </c>
      <c r="B278" s="6"/>
      <c r="C278" s="6" t="s">
        <v>1362</v>
      </c>
      <c r="D278" s="6" t="s">
        <v>1453</v>
      </c>
      <c r="E278" s="16">
        <v>218.05</v>
      </c>
      <c r="F278" s="16">
        <v>62.35</v>
      </c>
      <c r="G278" s="7">
        <v>360</v>
      </c>
      <c r="H278" s="6"/>
      <c r="I278" s="6" t="s">
        <v>1311</v>
      </c>
      <c r="J278" s="7">
        <v>1</v>
      </c>
    </row>
    <row r="279" spans="1:10" x14ac:dyDescent="0.3">
      <c r="A279" s="6" t="s">
        <v>1638</v>
      </c>
      <c r="B279" s="6"/>
      <c r="C279" s="6" t="s">
        <v>1362</v>
      </c>
      <c r="D279" s="6" t="s">
        <v>1453</v>
      </c>
      <c r="E279" s="16">
        <v>211.55</v>
      </c>
      <c r="F279" s="16">
        <v>62.35</v>
      </c>
      <c r="G279" s="7">
        <v>360</v>
      </c>
      <c r="H279" s="6"/>
      <c r="I279" s="6" t="s">
        <v>1311</v>
      </c>
      <c r="J279" s="7">
        <v>1</v>
      </c>
    </row>
    <row r="280" spans="1:10" x14ac:dyDescent="0.3">
      <c r="A280" s="6" t="s">
        <v>1639</v>
      </c>
      <c r="B280" s="6"/>
      <c r="C280" s="6" t="s">
        <v>1362</v>
      </c>
      <c r="D280" s="6" t="s">
        <v>1453</v>
      </c>
      <c r="E280" s="16">
        <v>205.05</v>
      </c>
      <c r="F280" s="16">
        <v>62.35</v>
      </c>
      <c r="G280" s="7">
        <v>360</v>
      </c>
      <c r="H280" s="6"/>
      <c r="I280" s="6" t="s">
        <v>1311</v>
      </c>
      <c r="J280" s="7">
        <v>1</v>
      </c>
    </row>
    <row r="281" spans="1:10" x14ac:dyDescent="0.3">
      <c r="A281" s="6" t="s">
        <v>1640</v>
      </c>
      <c r="B281" s="6"/>
      <c r="C281" s="6" t="s">
        <v>1362</v>
      </c>
      <c r="D281" s="6" t="s">
        <v>1453</v>
      </c>
      <c r="E281" s="16">
        <v>270.05</v>
      </c>
      <c r="F281" s="16">
        <v>55.85</v>
      </c>
      <c r="G281" s="7">
        <v>360</v>
      </c>
      <c r="H281" s="6"/>
      <c r="I281" s="6" t="s">
        <v>1311</v>
      </c>
      <c r="J281" s="7">
        <v>1</v>
      </c>
    </row>
    <row r="282" spans="1:10" x14ac:dyDescent="0.3">
      <c r="A282" s="6" t="s">
        <v>1641</v>
      </c>
      <c r="B282" s="6"/>
      <c r="C282" s="6" t="s">
        <v>1362</v>
      </c>
      <c r="D282" s="6" t="s">
        <v>1453</v>
      </c>
      <c r="E282" s="16">
        <v>263.55</v>
      </c>
      <c r="F282" s="16">
        <v>55.85</v>
      </c>
      <c r="G282" s="7">
        <v>360</v>
      </c>
      <c r="H282" s="6"/>
      <c r="I282" s="6" t="s">
        <v>1311</v>
      </c>
      <c r="J282" s="7">
        <v>1</v>
      </c>
    </row>
    <row r="283" spans="1:10" x14ac:dyDescent="0.3">
      <c r="A283" s="6" t="s">
        <v>1642</v>
      </c>
      <c r="B283" s="6"/>
      <c r="C283" s="6" t="s">
        <v>1362</v>
      </c>
      <c r="D283" s="6" t="s">
        <v>1453</v>
      </c>
      <c r="E283" s="16">
        <v>257.05</v>
      </c>
      <c r="F283" s="16">
        <v>55.85</v>
      </c>
      <c r="G283" s="7">
        <v>360</v>
      </c>
      <c r="H283" s="6"/>
      <c r="I283" s="6" t="s">
        <v>1311</v>
      </c>
      <c r="J283" s="7">
        <v>1</v>
      </c>
    </row>
    <row r="284" spans="1:10" x14ac:dyDescent="0.3">
      <c r="A284" s="6" t="s">
        <v>1643</v>
      </c>
      <c r="B284" s="6"/>
      <c r="C284" s="6" t="s">
        <v>1362</v>
      </c>
      <c r="D284" s="6" t="s">
        <v>1453</v>
      </c>
      <c r="E284" s="16">
        <v>250.55</v>
      </c>
      <c r="F284" s="16">
        <v>55.85</v>
      </c>
      <c r="G284" s="7">
        <v>360</v>
      </c>
      <c r="H284" s="6"/>
      <c r="I284" s="6" t="s">
        <v>1311</v>
      </c>
      <c r="J284" s="7">
        <v>1</v>
      </c>
    </row>
    <row r="285" spans="1:10" x14ac:dyDescent="0.3">
      <c r="A285" s="6" t="s">
        <v>1644</v>
      </c>
      <c r="B285" s="6"/>
      <c r="C285" s="6" t="s">
        <v>1362</v>
      </c>
      <c r="D285" s="6" t="s">
        <v>1453</v>
      </c>
      <c r="E285" s="16">
        <v>244.05</v>
      </c>
      <c r="F285" s="16">
        <v>55.85</v>
      </c>
      <c r="G285" s="7">
        <v>360</v>
      </c>
      <c r="H285" s="6"/>
      <c r="I285" s="6" t="s">
        <v>1311</v>
      </c>
      <c r="J285" s="7">
        <v>1</v>
      </c>
    </row>
    <row r="286" spans="1:10" x14ac:dyDescent="0.3">
      <c r="A286" s="6" t="s">
        <v>1645</v>
      </c>
      <c r="B286" s="6"/>
      <c r="C286" s="6" t="s">
        <v>1362</v>
      </c>
      <c r="D286" s="6" t="s">
        <v>1453</v>
      </c>
      <c r="E286" s="16">
        <v>237.55</v>
      </c>
      <c r="F286" s="16">
        <v>55.85</v>
      </c>
      <c r="G286" s="7">
        <v>360</v>
      </c>
      <c r="H286" s="6"/>
      <c r="I286" s="6" t="s">
        <v>1311</v>
      </c>
      <c r="J286" s="7">
        <v>1</v>
      </c>
    </row>
    <row r="287" spans="1:10" x14ac:dyDescent="0.3">
      <c r="A287" s="6" t="s">
        <v>1646</v>
      </c>
      <c r="B287" s="6"/>
      <c r="C287" s="6" t="s">
        <v>1362</v>
      </c>
      <c r="D287" s="6" t="s">
        <v>1453</v>
      </c>
      <c r="E287" s="16">
        <v>231.05</v>
      </c>
      <c r="F287" s="16">
        <v>55.85</v>
      </c>
      <c r="G287" s="7">
        <v>360</v>
      </c>
      <c r="H287" s="6"/>
      <c r="I287" s="6" t="s">
        <v>1311</v>
      </c>
      <c r="J287" s="7">
        <v>1</v>
      </c>
    </row>
    <row r="288" spans="1:10" x14ac:dyDescent="0.3">
      <c r="A288" s="6" t="s">
        <v>1647</v>
      </c>
      <c r="B288" s="6"/>
      <c r="C288" s="6" t="s">
        <v>1362</v>
      </c>
      <c r="D288" s="6" t="s">
        <v>1453</v>
      </c>
      <c r="E288" s="16">
        <v>224.55</v>
      </c>
      <c r="F288" s="16">
        <v>55.85</v>
      </c>
      <c r="G288" s="7">
        <v>360</v>
      </c>
      <c r="H288" s="6"/>
      <c r="I288" s="6" t="s">
        <v>1311</v>
      </c>
      <c r="J288" s="7">
        <v>1</v>
      </c>
    </row>
    <row r="289" spans="1:10" x14ac:dyDescent="0.3">
      <c r="A289" s="6" t="s">
        <v>1648</v>
      </c>
      <c r="B289" s="6"/>
      <c r="C289" s="6" t="s">
        <v>1362</v>
      </c>
      <c r="D289" s="6" t="s">
        <v>1453</v>
      </c>
      <c r="E289" s="16">
        <v>218.05</v>
      </c>
      <c r="F289" s="16">
        <v>55.85</v>
      </c>
      <c r="G289" s="7">
        <v>360</v>
      </c>
      <c r="H289" s="6"/>
      <c r="I289" s="6" t="s">
        <v>1311</v>
      </c>
      <c r="J289" s="7">
        <v>1</v>
      </c>
    </row>
    <row r="290" spans="1:10" x14ac:dyDescent="0.3">
      <c r="A290" s="6" t="s">
        <v>1649</v>
      </c>
      <c r="B290" s="6"/>
      <c r="C290" s="6" t="s">
        <v>1362</v>
      </c>
      <c r="D290" s="6" t="s">
        <v>1453</v>
      </c>
      <c r="E290" s="16">
        <v>211.55</v>
      </c>
      <c r="F290" s="16">
        <v>55.85</v>
      </c>
      <c r="G290" s="7">
        <v>360</v>
      </c>
      <c r="H290" s="6"/>
      <c r="I290" s="6" t="s">
        <v>1311</v>
      </c>
      <c r="J290" s="7">
        <v>1</v>
      </c>
    </row>
    <row r="291" spans="1:10" x14ac:dyDescent="0.3">
      <c r="A291" s="6" t="s">
        <v>1650</v>
      </c>
      <c r="B291" s="6"/>
      <c r="C291" s="6" t="s">
        <v>1362</v>
      </c>
      <c r="D291" s="6" t="s">
        <v>1453</v>
      </c>
      <c r="E291" s="16">
        <v>205.05</v>
      </c>
      <c r="F291" s="16">
        <v>55.85</v>
      </c>
      <c r="G291" s="7">
        <v>360</v>
      </c>
      <c r="H291" s="6"/>
      <c r="I291" s="6" t="s">
        <v>1311</v>
      </c>
      <c r="J291" s="7">
        <v>1</v>
      </c>
    </row>
    <row r="292" spans="1:10" x14ac:dyDescent="0.3">
      <c r="A292" s="6" t="s">
        <v>1651</v>
      </c>
      <c r="B292" s="6"/>
      <c r="C292" s="6" t="s">
        <v>1362</v>
      </c>
      <c r="D292" s="6" t="s">
        <v>1453</v>
      </c>
      <c r="E292" s="16">
        <v>270.05</v>
      </c>
      <c r="F292" s="16">
        <v>49.35</v>
      </c>
      <c r="G292" s="7">
        <v>360</v>
      </c>
      <c r="H292" s="6"/>
      <c r="I292" s="6" t="s">
        <v>1311</v>
      </c>
      <c r="J292" s="7">
        <v>1</v>
      </c>
    </row>
    <row r="293" spans="1:10" x14ac:dyDescent="0.3">
      <c r="A293" s="6" t="s">
        <v>1652</v>
      </c>
      <c r="B293" s="6"/>
      <c r="C293" s="6" t="s">
        <v>1362</v>
      </c>
      <c r="D293" s="6" t="s">
        <v>1453</v>
      </c>
      <c r="E293" s="16">
        <v>263.55</v>
      </c>
      <c r="F293" s="16">
        <v>49.35</v>
      </c>
      <c r="G293" s="7">
        <v>360</v>
      </c>
      <c r="H293" s="6"/>
      <c r="I293" s="6" t="s">
        <v>1311</v>
      </c>
      <c r="J293" s="7">
        <v>1</v>
      </c>
    </row>
    <row r="294" spans="1:10" x14ac:dyDescent="0.3">
      <c r="A294" s="6" t="s">
        <v>1653</v>
      </c>
      <c r="B294" s="6"/>
      <c r="C294" s="6" t="s">
        <v>1362</v>
      </c>
      <c r="D294" s="6" t="s">
        <v>1453</v>
      </c>
      <c r="E294" s="16">
        <v>257.05</v>
      </c>
      <c r="F294" s="16">
        <v>49.35</v>
      </c>
      <c r="G294" s="7">
        <v>360</v>
      </c>
      <c r="H294" s="6"/>
      <c r="I294" s="6" t="s">
        <v>1311</v>
      </c>
      <c r="J294" s="7">
        <v>1</v>
      </c>
    </row>
    <row r="295" spans="1:10" x14ac:dyDescent="0.3">
      <c r="A295" s="6" t="s">
        <v>1654</v>
      </c>
      <c r="B295" s="6"/>
      <c r="C295" s="6" t="s">
        <v>1362</v>
      </c>
      <c r="D295" s="6" t="s">
        <v>1453</v>
      </c>
      <c r="E295" s="16">
        <v>250.55</v>
      </c>
      <c r="F295" s="16">
        <v>49.35</v>
      </c>
      <c r="G295" s="7">
        <v>360</v>
      </c>
      <c r="H295" s="6"/>
      <c r="I295" s="6" t="s">
        <v>1311</v>
      </c>
      <c r="J295" s="7">
        <v>1</v>
      </c>
    </row>
    <row r="296" spans="1:10" x14ac:dyDescent="0.3">
      <c r="A296" s="6" t="s">
        <v>1655</v>
      </c>
      <c r="B296" s="6"/>
      <c r="C296" s="6" t="s">
        <v>1362</v>
      </c>
      <c r="D296" s="6" t="s">
        <v>1453</v>
      </c>
      <c r="E296" s="16">
        <v>244.05</v>
      </c>
      <c r="F296" s="16">
        <v>49.35</v>
      </c>
      <c r="G296" s="7">
        <v>360</v>
      </c>
      <c r="H296" s="6"/>
      <c r="I296" s="6" t="s">
        <v>1311</v>
      </c>
      <c r="J296" s="7">
        <v>1</v>
      </c>
    </row>
    <row r="297" spans="1:10" x14ac:dyDescent="0.3">
      <c r="A297" s="6" t="s">
        <v>1656</v>
      </c>
      <c r="B297" s="6"/>
      <c r="C297" s="6" t="s">
        <v>1362</v>
      </c>
      <c r="D297" s="6" t="s">
        <v>1453</v>
      </c>
      <c r="E297" s="16">
        <v>237.55</v>
      </c>
      <c r="F297" s="16">
        <v>49.35</v>
      </c>
      <c r="G297" s="7">
        <v>360</v>
      </c>
      <c r="H297" s="6"/>
      <c r="I297" s="6" t="s">
        <v>1311</v>
      </c>
      <c r="J297" s="7">
        <v>1</v>
      </c>
    </row>
    <row r="298" spans="1:10" x14ac:dyDescent="0.3">
      <c r="A298" s="6" t="s">
        <v>1657</v>
      </c>
      <c r="B298" s="6"/>
      <c r="C298" s="6" t="s">
        <v>1362</v>
      </c>
      <c r="D298" s="6" t="s">
        <v>1453</v>
      </c>
      <c r="E298" s="16">
        <v>231.05</v>
      </c>
      <c r="F298" s="16">
        <v>49.35</v>
      </c>
      <c r="G298" s="7">
        <v>360</v>
      </c>
      <c r="H298" s="6"/>
      <c r="I298" s="6" t="s">
        <v>1311</v>
      </c>
      <c r="J298" s="7">
        <v>1</v>
      </c>
    </row>
    <row r="299" spans="1:10" x14ac:dyDescent="0.3">
      <c r="A299" s="6" t="s">
        <v>1658</v>
      </c>
      <c r="B299" s="6"/>
      <c r="C299" s="6" t="s">
        <v>1362</v>
      </c>
      <c r="D299" s="6" t="s">
        <v>1453</v>
      </c>
      <c r="E299" s="16">
        <v>224.55</v>
      </c>
      <c r="F299" s="16">
        <v>49.35</v>
      </c>
      <c r="G299" s="7">
        <v>360</v>
      </c>
      <c r="H299" s="6"/>
      <c r="I299" s="6" t="s">
        <v>1311</v>
      </c>
      <c r="J299" s="7">
        <v>1</v>
      </c>
    </row>
    <row r="300" spans="1:10" x14ac:dyDescent="0.3">
      <c r="A300" s="6" t="s">
        <v>1659</v>
      </c>
      <c r="B300" s="6"/>
      <c r="C300" s="6" t="s">
        <v>1362</v>
      </c>
      <c r="D300" s="6" t="s">
        <v>1453</v>
      </c>
      <c r="E300" s="16">
        <v>218.05</v>
      </c>
      <c r="F300" s="16">
        <v>49.35</v>
      </c>
      <c r="G300" s="7">
        <v>360</v>
      </c>
      <c r="H300" s="6"/>
      <c r="I300" s="6" t="s">
        <v>1311</v>
      </c>
      <c r="J300" s="7">
        <v>1</v>
      </c>
    </row>
    <row r="301" spans="1:10" x14ac:dyDescent="0.3">
      <c r="A301" s="6" t="s">
        <v>1660</v>
      </c>
      <c r="B301" s="6"/>
      <c r="C301" s="6" t="s">
        <v>1362</v>
      </c>
      <c r="D301" s="6" t="s">
        <v>1453</v>
      </c>
      <c r="E301" s="16">
        <v>211.55</v>
      </c>
      <c r="F301" s="16">
        <v>49.35</v>
      </c>
      <c r="G301" s="7">
        <v>360</v>
      </c>
      <c r="H301" s="6"/>
      <c r="I301" s="6" t="s">
        <v>1311</v>
      </c>
      <c r="J301" s="7">
        <v>1</v>
      </c>
    </row>
    <row r="302" spans="1:10" x14ac:dyDescent="0.3">
      <c r="A302" s="6" t="s">
        <v>1661</v>
      </c>
      <c r="B302" s="6"/>
      <c r="C302" s="6" t="s">
        <v>1362</v>
      </c>
      <c r="D302" s="6" t="s">
        <v>1453</v>
      </c>
      <c r="E302" s="16">
        <v>205.05</v>
      </c>
      <c r="F302" s="16">
        <v>49.35</v>
      </c>
      <c r="G302" s="7">
        <v>360</v>
      </c>
      <c r="H302" s="6"/>
      <c r="I302" s="6" t="s">
        <v>1311</v>
      </c>
      <c r="J302" s="7">
        <v>1</v>
      </c>
    </row>
    <row r="303" spans="1:10" x14ac:dyDescent="0.3">
      <c r="A303" s="6" t="s">
        <v>1662</v>
      </c>
      <c r="B303" s="6"/>
      <c r="C303" s="6" t="s">
        <v>1362</v>
      </c>
      <c r="D303" s="6" t="s">
        <v>1453</v>
      </c>
      <c r="E303" s="16">
        <v>198.55</v>
      </c>
      <c r="F303" s="16">
        <v>49.35</v>
      </c>
      <c r="G303" s="7">
        <v>360</v>
      </c>
      <c r="H303" s="6"/>
      <c r="I303" s="6" t="s">
        <v>1311</v>
      </c>
      <c r="J303" s="7">
        <v>1</v>
      </c>
    </row>
    <row r="304" spans="1:10" x14ac:dyDescent="0.3">
      <c r="A304" s="6" t="s">
        <v>1663</v>
      </c>
      <c r="B304" s="6"/>
      <c r="C304" s="6" t="s">
        <v>1362</v>
      </c>
      <c r="D304" s="6" t="s">
        <v>1453</v>
      </c>
      <c r="E304" s="16">
        <v>192.05</v>
      </c>
      <c r="F304" s="16">
        <v>49.35</v>
      </c>
      <c r="G304" s="7">
        <v>360</v>
      </c>
      <c r="H304" s="6"/>
      <c r="I304" s="6" t="s">
        <v>1311</v>
      </c>
      <c r="J304" s="7">
        <v>1</v>
      </c>
    </row>
    <row r="305" spans="1:10" x14ac:dyDescent="0.3">
      <c r="A305" s="6" t="s">
        <v>1664</v>
      </c>
      <c r="B305" s="6"/>
      <c r="C305" s="6" t="s">
        <v>1362</v>
      </c>
      <c r="D305" s="6" t="s">
        <v>1453</v>
      </c>
      <c r="E305" s="16">
        <v>185.55</v>
      </c>
      <c r="F305" s="16">
        <v>49.35</v>
      </c>
      <c r="G305" s="7">
        <v>360</v>
      </c>
      <c r="H305" s="6"/>
      <c r="I305" s="6" t="s">
        <v>1311</v>
      </c>
      <c r="J305" s="7">
        <v>1</v>
      </c>
    </row>
    <row r="306" spans="1:10" x14ac:dyDescent="0.3">
      <c r="A306" s="6" t="s">
        <v>1665</v>
      </c>
      <c r="B306" s="6"/>
      <c r="C306" s="6" t="s">
        <v>1362</v>
      </c>
      <c r="D306" s="6" t="s">
        <v>1453</v>
      </c>
      <c r="E306" s="16">
        <v>179.05</v>
      </c>
      <c r="F306" s="16">
        <v>49.35</v>
      </c>
      <c r="G306" s="7">
        <v>360</v>
      </c>
      <c r="H306" s="6"/>
      <c r="I306" s="6" t="s">
        <v>1311</v>
      </c>
      <c r="J306" s="7">
        <v>1</v>
      </c>
    </row>
    <row r="307" spans="1:10" x14ac:dyDescent="0.3">
      <c r="A307" s="6" t="s">
        <v>1666</v>
      </c>
      <c r="B307" s="6"/>
      <c r="C307" s="6" t="s">
        <v>1362</v>
      </c>
      <c r="D307" s="6" t="s">
        <v>1453</v>
      </c>
      <c r="E307" s="16">
        <v>172.55</v>
      </c>
      <c r="F307" s="16">
        <v>49.35</v>
      </c>
      <c r="G307" s="7">
        <v>360</v>
      </c>
      <c r="H307" s="6"/>
      <c r="I307" s="6" t="s">
        <v>1311</v>
      </c>
      <c r="J307" s="7">
        <v>1</v>
      </c>
    </row>
    <row r="308" spans="1:10" x14ac:dyDescent="0.3">
      <c r="A308" s="6" t="s">
        <v>1667</v>
      </c>
      <c r="B308" s="6"/>
      <c r="C308" s="6" t="s">
        <v>1362</v>
      </c>
      <c r="D308" s="6" t="s">
        <v>1453</v>
      </c>
      <c r="E308" s="16">
        <v>166.05</v>
      </c>
      <c r="F308" s="16">
        <v>49.35</v>
      </c>
      <c r="G308" s="7">
        <v>360</v>
      </c>
      <c r="H308" s="6"/>
      <c r="I308" s="6" t="s">
        <v>1311</v>
      </c>
      <c r="J308" s="7">
        <v>1</v>
      </c>
    </row>
    <row r="309" spans="1:10" x14ac:dyDescent="0.3">
      <c r="A309" s="6" t="s">
        <v>1668</v>
      </c>
      <c r="B309" s="6"/>
      <c r="C309" s="6" t="s">
        <v>1362</v>
      </c>
      <c r="D309" s="6" t="s">
        <v>1453</v>
      </c>
      <c r="E309" s="16">
        <v>159.55000000000001</v>
      </c>
      <c r="F309" s="16">
        <v>49.35</v>
      </c>
      <c r="G309" s="7">
        <v>360</v>
      </c>
      <c r="H309" s="6"/>
      <c r="I309" s="6" t="s">
        <v>1311</v>
      </c>
      <c r="J309" s="7">
        <v>1</v>
      </c>
    </row>
    <row r="310" spans="1:10" x14ac:dyDescent="0.3">
      <c r="A310" s="6" t="s">
        <v>1669</v>
      </c>
      <c r="B310" s="6"/>
      <c r="C310" s="6" t="s">
        <v>1362</v>
      </c>
      <c r="D310" s="6" t="s">
        <v>1453</v>
      </c>
      <c r="E310" s="16">
        <v>153.05000000000001</v>
      </c>
      <c r="F310" s="16">
        <v>49.35</v>
      </c>
      <c r="G310" s="7">
        <v>360</v>
      </c>
      <c r="H310" s="6"/>
      <c r="I310" s="6" t="s">
        <v>1311</v>
      </c>
      <c r="J310" s="7">
        <v>1</v>
      </c>
    </row>
    <row r="311" spans="1:10" x14ac:dyDescent="0.3">
      <c r="A311" s="6" t="s">
        <v>1670</v>
      </c>
      <c r="B311" s="6"/>
      <c r="C311" s="6" t="s">
        <v>1362</v>
      </c>
      <c r="D311" s="6" t="s">
        <v>1453</v>
      </c>
      <c r="E311" s="16">
        <v>146.55000000000001</v>
      </c>
      <c r="F311" s="16">
        <v>49.35</v>
      </c>
      <c r="G311" s="7">
        <v>360</v>
      </c>
      <c r="H311" s="6"/>
      <c r="I311" s="6" t="s">
        <v>1311</v>
      </c>
      <c r="J311" s="7">
        <v>1</v>
      </c>
    </row>
    <row r="312" spans="1:10" x14ac:dyDescent="0.3">
      <c r="A312" s="6" t="s">
        <v>1671</v>
      </c>
      <c r="B312" s="6"/>
      <c r="C312" s="6" t="s">
        <v>1362</v>
      </c>
      <c r="D312" s="6" t="s">
        <v>1453</v>
      </c>
      <c r="E312" s="16">
        <v>140.05000000000001</v>
      </c>
      <c r="F312" s="16">
        <v>49.35</v>
      </c>
      <c r="G312" s="7">
        <v>360</v>
      </c>
      <c r="H312" s="6"/>
      <c r="I312" s="6" t="s">
        <v>1311</v>
      </c>
      <c r="J312" s="7">
        <v>1</v>
      </c>
    </row>
    <row r="313" spans="1:10" x14ac:dyDescent="0.3">
      <c r="A313" s="6" t="s">
        <v>1672</v>
      </c>
      <c r="B313" s="6"/>
      <c r="C313" s="6" t="s">
        <v>1362</v>
      </c>
      <c r="D313" s="6" t="s">
        <v>1453</v>
      </c>
      <c r="E313" s="16">
        <v>133.55000000000001</v>
      </c>
      <c r="F313" s="16">
        <v>49.35</v>
      </c>
      <c r="G313" s="7">
        <v>360</v>
      </c>
      <c r="H313" s="6"/>
      <c r="I313" s="6" t="s">
        <v>1311</v>
      </c>
      <c r="J313" s="7">
        <v>1</v>
      </c>
    </row>
    <row r="314" spans="1:10" x14ac:dyDescent="0.3">
      <c r="A314" s="6" t="s">
        <v>1673</v>
      </c>
      <c r="B314" s="6"/>
      <c r="C314" s="6" t="s">
        <v>1362</v>
      </c>
      <c r="D314" s="6" t="s">
        <v>1453</v>
      </c>
      <c r="E314" s="16">
        <v>127.05</v>
      </c>
      <c r="F314" s="16">
        <v>49.35</v>
      </c>
      <c r="G314" s="7">
        <v>360</v>
      </c>
      <c r="H314" s="6"/>
      <c r="I314" s="6" t="s">
        <v>1311</v>
      </c>
      <c r="J314" s="7">
        <v>1</v>
      </c>
    </row>
    <row r="315" spans="1:10" x14ac:dyDescent="0.3">
      <c r="A315" s="6" t="s">
        <v>1674</v>
      </c>
      <c r="B315" s="6"/>
      <c r="C315" s="6" t="s">
        <v>1362</v>
      </c>
      <c r="D315" s="6" t="s">
        <v>1453</v>
      </c>
      <c r="E315" s="16">
        <v>120.55</v>
      </c>
      <c r="F315" s="16">
        <v>49.35</v>
      </c>
      <c r="G315" s="7">
        <v>360</v>
      </c>
      <c r="H315" s="6"/>
      <c r="I315" s="6" t="s">
        <v>1311</v>
      </c>
      <c r="J315" s="7">
        <v>1</v>
      </c>
    </row>
    <row r="316" spans="1:10" x14ac:dyDescent="0.3">
      <c r="A316" s="6" t="s">
        <v>1675</v>
      </c>
      <c r="B316" s="6"/>
      <c r="C316" s="6" t="s">
        <v>1362</v>
      </c>
      <c r="D316" s="6" t="s">
        <v>1453</v>
      </c>
      <c r="E316" s="16">
        <v>114.05</v>
      </c>
      <c r="F316" s="16">
        <v>49.35</v>
      </c>
      <c r="G316" s="7">
        <v>360</v>
      </c>
      <c r="H316" s="6"/>
      <c r="I316" s="6" t="s">
        <v>1311</v>
      </c>
      <c r="J316" s="7">
        <v>1</v>
      </c>
    </row>
    <row r="317" spans="1:10" x14ac:dyDescent="0.3">
      <c r="A317" s="6" t="s">
        <v>1676</v>
      </c>
      <c r="B317" s="6"/>
      <c r="C317" s="6" t="s">
        <v>1362</v>
      </c>
      <c r="D317" s="6" t="s">
        <v>1453</v>
      </c>
      <c r="E317" s="16">
        <v>107.55</v>
      </c>
      <c r="F317" s="16">
        <v>49.35</v>
      </c>
      <c r="G317" s="7">
        <v>360</v>
      </c>
      <c r="H317" s="6"/>
      <c r="I317" s="6" t="s">
        <v>1311</v>
      </c>
      <c r="J317" s="7">
        <v>1</v>
      </c>
    </row>
    <row r="318" spans="1:10" x14ac:dyDescent="0.3">
      <c r="A318" s="6" t="s">
        <v>1677</v>
      </c>
      <c r="B318" s="6"/>
      <c r="C318" s="6" t="s">
        <v>1362</v>
      </c>
      <c r="D318" s="6" t="s">
        <v>1453</v>
      </c>
      <c r="E318" s="16">
        <v>101.05</v>
      </c>
      <c r="F318" s="16">
        <v>49.35</v>
      </c>
      <c r="G318" s="7">
        <v>360</v>
      </c>
      <c r="H318" s="6"/>
      <c r="I318" s="6" t="s">
        <v>1311</v>
      </c>
      <c r="J318" s="7">
        <v>1</v>
      </c>
    </row>
    <row r="319" spans="1:10" x14ac:dyDescent="0.3">
      <c r="A319" s="6" t="s">
        <v>1678</v>
      </c>
      <c r="B319" s="6"/>
      <c r="C319" s="6" t="s">
        <v>1362</v>
      </c>
      <c r="D319" s="6" t="s">
        <v>1453</v>
      </c>
      <c r="E319" s="16">
        <v>94.55</v>
      </c>
      <c r="F319" s="16">
        <v>49.35</v>
      </c>
      <c r="G319" s="7">
        <v>360</v>
      </c>
      <c r="H319" s="6"/>
      <c r="I319" s="6" t="s">
        <v>1311</v>
      </c>
      <c r="J319" s="7">
        <v>1</v>
      </c>
    </row>
    <row r="320" spans="1:10" x14ac:dyDescent="0.3">
      <c r="A320" s="6" t="s">
        <v>1679</v>
      </c>
      <c r="B320" s="6"/>
      <c r="C320" s="6" t="s">
        <v>1362</v>
      </c>
      <c r="D320" s="6" t="s">
        <v>1453</v>
      </c>
      <c r="E320" s="16">
        <v>88.05</v>
      </c>
      <c r="F320" s="16">
        <v>49.35</v>
      </c>
      <c r="G320" s="7">
        <v>360</v>
      </c>
      <c r="H320" s="6"/>
      <c r="I320" s="6" t="s">
        <v>1311</v>
      </c>
      <c r="J320" s="7">
        <v>1</v>
      </c>
    </row>
    <row r="321" spans="1:10" x14ac:dyDescent="0.3">
      <c r="A321" s="6" t="s">
        <v>1680</v>
      </c>
      <c r="B321" s="6"/>
      <c r="C321" s="6" t="s">
        <v>1362</v>
      </c>
      <c r="D321" s="6" t="s">
        <v>1453</v>
      </c>
      <c r="E321" s="16">
        <v>81.55</v>
      </c>
      <c r="F321" s="16">
        <v>49.35</v>
      </c>
      <c r="G321" s="7">
        <v>360</v>
      </c>
      <c r="H321" s="6"/>
      <c r="I321" s="6" t="s">
        <v>1311</v>
      </c>
      <c r="J321" s="7">
        <v>1</v>
      </c>
    </row>
    <row r="322" spans="1:10" x14ac:dyDescent="0.3">
      <c r="A322" s="6" t="s">
        <v>1681</v>
      </c>
      <c r="B322" s="6"/>
      <c r="C322" s="6" t="s">
        <v>1362</v>
      </c>
      <c r="D322" s="6" t="s">
        <v>1453</v>
      </c>
      <c r="E322" s="16">
        <v>75.05</v>
      </c>
      <c r="F322" s="16">
        <v>49.35</v>
      </c>
      <c r="G322" s="7">
        <v>360</v>
      </c>
      <c r="H322" s="6"/>
      <c r="I322" s="6" t="s">
        <v>1311</v>
      </c>
      <c r="J322" s="7">
        <v>1</v>
      </c>
    </row>
    <row r="323" spans="1:10" x14ac:dyDescent="0.3">
      <c r="A323" s="6" t="s">
        <v>1682</v>
      </c>
      <c r="B323" s="6"/>
      <c r="C323" s="6" t="s">
        <v>1362</v>
      </c>
      <c r="D323" s="6" t="s">
        <v>1453</v>
      </c>
      <c r="E323" s="16">
        <v>68.55</v>
      </c>
      <c r="F323" s="16">
        <v>49.35</v>
      </c>
      <c r="G323" s="7">
        <v>360</v>
      </c>
      <c r="H323" s="6"/>
      <c r="I323" s="6" t="s">
        <v>1311</v>
      </c>
      <c r="J323" s="7">
        <v>1</v>
      </c>
    </row>
    <row r="324" spans="1:10" x14ac:dyDescent="0.3">
      <c r="A324" s="6" t="s">
        <v>1683</v>
      </c>
      <c r="B324" s="6"/>
      <c r="C324" s="6" t="s">
        <v>1362</v>
      </c>
      <c r="D324" s="6" t="s">
        <v>1453</v>
      </c>
      <c r="E324" s="16">
        <v>62.05</v>
      </c>
      <c r="F324" s="16">
        <v>49.35</v>
      </c>
      <c r="G324" s="7">
        <v>360</v>
      </c>
      <c r="H324" s="6"/>
      <c r="I324" s="6" t="s">
        <v>1311</v>
      </c>
      <c r="J324" s="7">
        <v>1</v>
      </c>
    </row>
    <row r="325" spans="1:10" x14ac:dyDescent="0.3">
      <c r="A325" s="6" t="s">
        <v>1684</v>
      </c>
      <c r="B325" s="6"/>
      <c r="C325" s="6" t="s">
        <v>1362</v>
      </c>
      <c r="D325" s="6" t="s">
        <v>1453</v>
      </c>
      <c r="E325" s="16">
        <v>55.55</v>
      </c>
      <c r="F325" s="16">
        <v>49.35</v>
      </c>
      <c r="G325" s="7">
        <v>360</v>
      </c>
      <c r="H325" s="6"/>
      <c r="I325" s="6" t="s">
        <v>1311</v>
      </c>
      <c r="J325" s="7">
        <v>1</v>
      </c>
    </row>
    <row r="326" spans="1:10" x14ac:dyDescent="0.3">
      <c r="A326" s="6" t="s">
        <v>1685</v>
      </c>
      <c r="B326" s="6"/>
      <c r="C326" s="6" t="s">
        <v>1362</v>
      </c>
      <c r="D326" s="6" t="s">
        <v>1453</v>
      </c>
      <c r="E326" s="16">
        <v>49.05</v>
      </c>
      <c r="F326" s="16">
        <v>49.35</v>
      </c>
      <c r="G326" s="7">
        <v>360</v>
      </c>
      <c r="H326" s="6"/>
      <c r="I326" s="6" t="s">
        <v>1311</v>
      </c>
      <c r="J326" s="7">
        <v>1</v>
      </c>
    </row>
    <row r="327" spans="1:10" x14ac:dyDescent="0.3">
      <c r="A327" s="6" t="s">
        <v>1686</v>
      </c>
      <c r="B327" s="6"/>
      <c r="C327" s="6" t="s">
        <v>1362</v>
      </c>
      <c r="D327" s="6" t="s">
        <v>1453</v>
      </c>
      <c r="E327" s="16">
        <v>42.55</v>
      </c>
      <c r="F327" s="16">
        <v>49.35</v>
      </c>
      <c r="G327" s="7">
        <v>360</v>
      </c>
      <c r="H327" s="6"/>
      <c r="I327" s="6" t="s">
        <v>1311</v>
      </c>
      <c r="J327" s="7">
        <v>1</v>
      </c>
    </row>
    <row r="328" spans="1:10" x14ac:dyDescent="0.3">
      <c r="A328" s="6" t="s">
        <v>1687</v>
      </c>
      <c r="B328" s="6"/>
      <c r="C328" s="6" t="s">
        <v>1362</v>
      </c>
      <c r="D328" s="6" t="s">
        <v>1453</v>
      </c>
      <c r="E328" s="16">
        <v>36.049999999999997</v>
      </c>
      <c r="F328" s="16">
        <v>49.35</v>
      </c>
      <c r="G328" s="7">
        <v>360</v>
      </c>
      <c r="H328" s="6"/>
      <c r="I328" s="6" t="s">
        <v>1311</v>
      </c>
      <c r="J328" s="7">
        <v>1</v>
      </c>
    </row>
    <row r="329" spans="1:10" x14ac:dyDescent="0.3">
      <c r="A329" s="6" t="s">
        <v>1688</v>
      </c>
      <c r="B329" s="6"/>
      <c r="C329" s="6" t="s">
        <v>1362</v>
      </c>
      <c r="D329" s="6" t="s">
        <v>1453</v>
      </c>
      <c r="E329" s="16">
        <v>29.55</v>
      </c>
      <c r="F329" s="16">
        <v>49.35</v>
      </c>
      <c r="G329" s="7">
        <v>360</v>
      </c>
      <c r="H329" s="6"/>
      <c r="I329" s="6" t="s">
        <v>1311</v>
      </c>
      <c r="J329" s="7">
        <v>1</v>
      </c>
    </row>
    <row r="330" spans="1:10" x14ac:dyDescent="0.3">
      <c r="A330" s="6" t="s">
        <v>1689</v>
      </c>
      <c r="B330" s="6"/>
      <c r="C330" s="6" t="s">
        <v>1362</v>
      </c>
      <c r="D330" s="6" t="s">
        <v>1453</v>
      </c>
      <c r="E330" s="16">
        <v>23.05</v>
      </c>
      <c r="F330" s="16">
        <v>49.35</v>
      </c>
      <c r="G330" s="7">
        <v>360</v>
      </c>
      <c r="H330" s="6"/>
      <c r="I330" s="6" t="s">
        <v>1311</v>
      </c>
      <c r="J330" s="7">
        <v>1</v>
      </c>
    </row>
    <row r="331" spans="1:10" x14ac:dyDescent="0.3">
      <c r="A331" s="6" t="s">
        <v>1690</v>
      </c>
      <c r="B331" s="6"/>
      <c r="C331" s="6" t="s">
        <v>1362</v>
      </c>
      <c r="D331" s="6" t="s">
        <v>1453</v>
      </c>
      <c r="E331" s="16">
        <v>16.55</v>
      </c>
      <c r="F331" s="16">
        <v>49.35</v>
      </c>
      <c r="G331" s="7">
        <v>360</v>
      </c>
      <c r="H331" s="6"/>
      <c r="I331" s="6" t="s">
        <v>1311</v>
      </c>
      <c r="J331" s="7">
        <v>1</v>
      </c>
    </row>
    <row r="332" spans="1:10" x14ac:dyDescent="0.3">
      <c r="A332" s="6" t="s">
        <v>1691</v>
      </c>
      <c r="B332" s="6"/>
      <c r="C332" s="6" t="s">
        <v>1362</v>
      </c>
      <c r="D332" s="6" t="s">
        <v>1453</v>
      </c>
      <c r="E332" s="16">
        <v>10.050000000000001</v>
      </c>
      <c r="F332" s="16">
        <v>49.35</v>
      </c>
      <c r="G332" s="7">
        <v>360</v>
      </c>
      <c r="H332" s="6"/>
      <c r="I332" s="6" t="s">
        <v>1311</v>
      </c>
      <c r="J332" s="7">
        <v>1</v>
      </c>
    </row>
    <row r="333" spans="1:10" x14ac:dyDescent="0.3">
      <c r="A333" s="6" t="s">
        <v>1692</v>
      </c>
      <c r="B333" s="6"/>
      <c r="C333" s="6" t="s">
        <v>1362</v>
      </c>
      <c r="D333" s="6" t="s">
        <v>1453</v>
      </c>
      <c r="E333" s="16">
        <v>3.55</v>
      </c>
      <c r="F333" s="16">
        <v>49.35</v>
      </c>
      <c r="G333" s="7">
        <v>360</v>
      </c>
      <c r="H333" s="6"/>
      <c r="I333" s="6" t="s">
        <v>1311</v>
      </c>
      <c r="J333" s="7">
        <v>1</v>
      </c>
    </row>
    <row r="334" spans="1:10" x14ac:dyDescent="0.3">
      <c r="A334" s="6" t="s">
        <v>1693</v>
      </c>
      <c r="B334" s="6"/>
      <c r="C334" s="6" t="s">
        <v>1362</v>
      </c>
      <c r="D334" s="6" t="s">
        <v>1453</v>
      </c>
      <c r="E334" s="16">
        <v>270.05</v>
      </c>
      <c r="F334" s="16">
        <v>42.85</v>
      </c>
      <c r="G334" s="7">
        <v>360</v>
      </c>
      <c r="H334" s="6"/>
      <c r="I334" s="6" t="s">
        <v>1311</v>
      </c>
      <c r="J334" s="7">
        <v>1</v>
      </c>
    </row>
    <row r="335" spans="1:10" x14ac:dyDescent="0.3">
      <c r="A335" s="6" t="s">
        <v>1694</v>
      </c>
      <c r="B335" s="6"/>
      <c r="C335" s="6" t="s">
        <v>1362</v>
      </c>
      <c r="D335" s="6" t="s">
        <v>1453</v>
      </c>
      <c r="E335" s="16">
        <v>263.55</v>
      </c>
      <c r="F335" s="16">
        <v>42.85</v>
      </c>
      <c r="G335" s="7">
        <v>360</v>
      </c>
      <c r="H335" s="6"/>
      <c r="I335" s="6" t="s">
        <v>1311</v>
      </c>
      <c r="J335" s="7">
        <v>1</v>
      </c>
    </row>
    <row r="336" spans="1:10" x14ac:dyDescent="0.3">
      <c r="A336" s="6" t="s">
        <v>1695</v>
      </c>
      <c r="B336" s="6"/>
      <c r="C336" s="6" t="s">
        <v>1362</v>
      </c>
      <c r="D336" s="6" t="s">
        <v>1453</v>
      </c>
      <c r="E336" s="16">
        <v>257.05</v>
      </c>
      <c r="F336" s="16">
        <v>42.85</v>
      </c>
      <c r="G336" s="7">
        <v>360</v>
      </c>
      <c r="H336" s="6"/>
      <c r="I336" s="6" t="s">
        <v>1311</v>
      </c>
      <c r="J336" s="7">
        <v>1</v>
      </c>
    </row>
    <row r="337" spans="1:10" x14ac:dyDescent="0.3">
      <c r="A337" s="6" t="s">
        <v>1696</v>
      </c>
      <c r="B337" s="6"/>
      <c r="C337" s="6" t="s">
        <v>1362</v>
      </c>
      <c r="D337" s="6" t="s">
        <v>1453</v>
      </c>
      <c r="E337" s="16">
        <v>250.55</v>
      </c>
      <c r="F337" s="16">
        <v>42.85</v>
      </c>
      <c r="G337" s="7">
        <v>360</v>
      </c>
      <c r="H337" s="6"/>
      <c r="I337" s="6" t="s">
        <v>1311</v>
      </c>
      <c r="J337" s="7">
        <v>1</v>
      </c>
    </row>
    <row r="338" spans="1:10" x14ac:dyDescent="0.3">
      <c r="A338" s="6" t="s">
        <v>1697</v>
      </c>
      <c r="B338" s="6"/>
      <c r="C338" s="6" t="s">
        <v>1362</v>
      </c>
      <c r="D338" s="6" t="s">
        <v>1453</v>
      </c>
      <c r="E338" s="16">
        <v>244.05</v>
      </c>
      <c r="F338" s="16">
        <v>42.85</v>
      </c>
      <c r="G338" s="7">
        <v>360</v>
      </c>
      <c r="H338" s="6"/>
      <c r="I338" s="6" t="s">
        <v>1311</v>
      </c>
      <c r="J338" s="7">
        <v>1</v>
      </c>
    </row>
    <row r="339" spans="1:10" x14ac:dyDescent="0.3">
      <c r="A339" s="6" t="s">
        <v>1698</v>
      </c>
      <c r="B339" s="6"/>
      <c r="C339" s="6" t="s">
        <v>1362</v>
      </c>
      <c r="D339" s="6" t="s">
        <v>1453</v>
      </c>
      <c r="E339" s="16">
        <v>237.55</v>
      </c>
      <c r="F339" s="16">
        <v>42.85</v>
      </c>
      <c r="G339" s="7">
        <v>360</v>
      </c>
      <c r="H339" s="6"/>
      <c r="I339" s="6" t="s">
        <v>1311</v>
      </c>
      <c r="J339" s="7">
        <v>1</v>
      </c>
    </row>
    <row r="340" spans="1:10" x14ac:dyDescent="0.3">
      <c r="A340" s="6" t="s">
        <v>1699</v>
      </c>
      <c r="B340" s="6"/>
      <c r="C340" s="6" t="s">
        <v>1362</v>
      </c>
      <c r="D340" s="6" t="s">
        <v>1453</v>
      </c>
      <c r="E340" s="16">
        <v>231.05</v>
      </c>
      <c r="F340" s="16">
        <v>42.85</v>
      </c>
      <c r="G340" s="7">
        <v>360</v>
      </c>
      <c r="H340" s="6"/>
      <c r="I340" s="6" t="s">
        <v>1311</v>
      </c>
      <c r="J340" s="7">
        <v>1</v>
      </c>
    </row>
    <row r="341" spans="1:10" x14ac:dyDescent="0.3">
      <c r="A341" s="6" t="s">
        <v>1700</v>
      </c>
      <c r="B341" s="6"/>
      <c r="C341" s="6" t="s">
        <v>1362</v>
      </c>
      <c r="D341" s="6" t="s">
        <v>1453</v>
      </c>
      <c r="E341" s="16">
        <v>224.55</v>
      </c>
      <c r="F341" s="16">
        <v>42.85</v>
      </c>
      <c r="G341" s="7">
        <v>360</v>
      </c>
      <c r="H341" s="6"/>
      <c r="I341" s="6" t="s">
        <v>1311</v>
      </c>
      <c r="J341" s="7">
        <v>1</v>
      </c>
    </row>
    <row r="342" spans="1:10" x14ac:dyDescent="0.3">
      <c r="A342" s="6" t="s">
        <v>1701</v>
      </c>
      <c r="B342" s="6"/>
      <c r="C342" s="6" t="s">
        <v>1362</v>
      </c>
      <c r="D342" s="6" t="s">
        <v>1453</v>
      </c>
      <c r="E342" s="16">
        <v>218.05</v>
      </c>
      <c r="F342" s="16">
        <v>42.85</v>
      </c>
      <c r="G342" s="7">
        <v>360</v>
      </c>
      <c r="H342" s="6"/>
      <c r="I342" s="6" t="s">
        <v>1311</v>
      </c>
      <c r="J342" s="7">
        <v>1</v>
      </c>
    </row>
    <row r="343" spans="1:10" x14ac:dyDescent="0.3">
      <c r="A343" s="6" t="s">
        <v>1702</v>
      </c>
      <c r="B343" s="6"/>
      <c r="C343" s="6" t="s">
        <v>1362</v>
      </c>
      <c r="D343" s="6" t="s">
        <v>1453</v>
      </c>
      <c r="E343" s="16">
        <v>211.55</v>
      </c>
      <c r="F343" s="16">
        <v>42.85</v>
      </c>
      <c r="G343" s="7">
        <v>360</v>
      </c>
      <c r="H343" s="6"/>
      <c r="I343" s="6" t="s">
        <v>1311</v>
      </c>
      <c r="J343" s="7">
        <v>1</v>
      </c>
    </row>
    <row r="344" spans="1:10" x14ac:dyDescent="0.3">
      <c r="A344" s="6" t="s">
        <v>1703</v>
      </c>
      <c r="B344" s="6"/>
      <c r="C344" s="6" t="s">
        <v>1362</v>
      </c>
      <c r="D344" s="6" t="s">
        <v>1453</v>
      </c>
      <c r="E344" s="16">
        <v>205.05</v>
      </c>
      <c r="F344" s="16">
        <v>42.85</v>
      </c>
      <c r="G344" s="7">
        <v>360</v>
      </c>
      <c r="H344" s="6"/>
      <c r="I344" s="6" t="s">
        <v>1311</v>
      </c>
      <c r="J344" s="7">
        <v>1</v>
      </c>
    </row>
    <row r="345" spans="1:10" x14ac:dyDescent="0.3">
      <c r="A345" s="6" t="s">
        <v>1704</v>
      </c>
      <c r="B345" s="6"/>
      <c r="C345" s="6" t="s">
        <v>1362</v>
      </c>
      <c r="D345" s="6" t="s">
        <v>1453</v>
      </c>
      <c r="E345" s="16">
        <v>198.55</v>
      </c>
      <c r="F345" s="16">
        <v>42.85</v>
      </c>
      <c r="G345" s="7">
        <v>360</v>
      </c>
      <c r="H345" s="6"/>
      <c r="I345" s="6" t="s">
        <v>1311</v>
      </c>
      <c r="J345" s="7">
        <v>1</v>
      </c>
    </row>
    <row r="346" spans="1:10" x14ac:dyDescent="0.3">
      <c r="A346" s="6" t="s">
        <v>1705</v>
      </c>
      <c r="B346" s="6"/>
      <c r="C346" s="6" t="s">
        <v>1362</v>
      </c>
      <c r="D346" s="6" t="s">
        <v>1453</v>
      </c>
      <c r="E346" s="16">
        <v>192.05</v>
      </c>
      <c r="F346" s="16">
        <v>42.85</v>
      </c>
      <c r="G346" s="7">
        <v>360</v>
      </c>
      <c r="H346" s="6"/>
      <c r="I346" s="6" t="s">
        <v>1311</v>
      </c>
      <c r="J346" s="7">
        <v>1</v>
      </c>
    </row>
    <row r="347" spans="1:10" x14ac:dyDescent="0.3">
      <c r="A347" s="6" t="s">
        <v>1706</v>
      </c>
      <c r="B347" s="6"/>
      <c r="C347" s="6" t="s">
        <v>1362</v>
      </c>
      <c r="D347" s="6" t="s">
        <v>1453</v>
      </c>
      <c r="E347" s="16">
        <v>185.55</v>
      </c>
      <c r="F347" s="16">
        <v>42.85</v>
      </c>
      <c r="G347" s="7">
        <v>360</v>
      </c>
      <c r="H347" s="6"/>
      <c r="I347" s="6" t="s">
        <v>1311</v>
      </c>
      <c r="J347" s="7">
        <v>1</v>
      </c>
    </row>
    <row r="348" spans="1:10" x14ac:dyDescent="0.3">
      <c r="A348" s="6" t="s">
        <v>1707</v>
      </c>
      <c r="B348" s="6"/>
      <c r="C348" s="6" t="s">
        <v>1362</v>
      </c>
      <c r="D348" s="6" t="s">
        <v>1453</v>
      </c>
      <c r="E348" s="16">
        <v>179.05</v>
      </c>
      <c r="F348" s="16">
        <v>42.85</v>
      </c>
      <c r="G348" s="7">
        <v>360</v>
      </c>
      <c r="H348" s="6"/>
      <c r="I348" s="6" t="s">
        <v>1311</v>
      </c>
      <c r="J348" s="7">
        <v>1</v>
      </c>
    </row>
    <row r="349" spans="1:10" x14ac:dyDescent="0.3">
      <c r="A349" s="6" t="s">
        <v>1708</v>
      </c>
      <c r="B349" s="6"/>
      <c r="C349" s="6" t="s">
        <v>1362</v>
      </c>
      <c r="D349" s="6" t="s">
        <v>1453</v>
      </c>
      <c r="E349" s="16">
        <v>172.55</v>
      </c>
      <c r="F349" s="16">
        <v>42.85</v>
      </c>
      <c r="G349" s="7">
        <v>360</v>
      </c>
      <c r="H349" s="6"/>
      <c r="I349" s="6" t="s">
        <v>1311</v>
      </c>
      <c r="J349" s="7">
        <v>1</v>
      </c>
    </row>
    <row r="350" spans="1:10" x14ac:dyDescent="0.3">
      <c r="A350" s="6" t="s">
        <v>1709</v>
      </c>
      <c r="B350" s="6"/>
      <c r="C350" s="6" t="s">
        <v>1362</v>
      </c>
      <c r="D350" s="6" t="s">
        <v>1453</v>
      </c>
      <c r="E350" s="16">
        <v>166.05</v>
      </c>
      <c r="F350" s="16">
        <v>42.85</v>
      </c>
      <c r="G350" s="7">
        <v>360</v>
      </c>
      <c r="H350" s="6"/>
      <c r="I350" s="6" t="s">
        <v>1311</v>
      </c>
      <c r="J350" s="7">
        <v>1</v>
      </c>
    </row>
    <row r="351" spans="1:10" x14ac:dyDescent="0.3">
      <c r="A351" s="6" t="s">
        <v>1710</v>
      </c>
      <c r="B351" s="6"/>
      <c r="C351" s="6" t="s">
        <v>1362</v>
      </c>
      <c r="D351" s="6" t="s">
        <v>1453</v>
      </c>
      <c r="E351" s="16">
        <v>159.55000000000001</v>
      </c>
      <c r="F351" s="16">
        <v>42.85</v>
      </c>
      <c r="G351" s="7">
        <v>360</v>
      </c>
      <c r="H351" s="6"/>
      <c r="I351" s="6" t="s">
        <v>1311</v>
      </c>
      <c r="J351" s="7">
        <v>1</v>
      </c>
    </row>
    <row r="352" spans="1:10" x14ac:dyDescent="0.3">
      <c r="A352" s="6" t="s">
        <v>1711</v>
      </c>
      <c r="B352" s="6"/>
      <c r="C352" s="6" t="s">
        <v>1362</v>
      </c>
      <c r="D352" s="6" t="s">
        <v>1453</v>
      </c>
      <c r="E352" s="16">
        <v>153.05000000000001</v>
      </c>
      <c r="F352" s="16">
        <v>42.85</v>
      </c>
      <c r="G352" s="7">
        <v>360</v>
      </c>
      <c r="H352" s="6"/>
      <c r="I352" s="6" t="s">
        <v>1311</v>
      </c>
      <c r="J352" s="7">
        <v>1</v>
      </c>
    </row>
    <row r="353" spans="1:10" x14ac:dyDescent="0.3">
      <c r="A353" s="6" t="s">
        <v>1712</v>
      </c>
      <c r="B353" s="6"/>
      <c r="C353" s="6" t="s">
        <v>1362</v>
      </c>
      <c r="D353" s="6" t="s">
        <v>1453</v>
      </c>
      <c r="E353" s="16">
        <v>146.55000000000001</v>
      </c>
      <c r="F353" s="16">
        <v>42.85</v>
      </c>
      <c r="G353" s="7">
        <v>360</v>
      </c>
      <c r="H353" s="6"/>
      <c r="I353" s="6" t="s">
        <v>1311</v>
      </c>
      <c r="J353" s="7">
        <v>1</v>
      </c>
    </row>
    <row r="354" spans="1:10" x14ac:dyDescent="0.3">
      <c r="A354" s="6" t="s">
        <v>1713</v>
      </c>
      <c r="B354" s="6"/>
      <c r="C354" s="6" t="s">
        <v>1362</v>
      </c>
      <c r="D354" s="6" t="s">
        <v>1453</v>
      </c>
      <c r="E354" s="16">
        <v>140.05000000000001</v>
      </c>
      <c r="F354" s="16">
        <v>42.85</v>
      </c>
      <c r="G354" s="7">
        <v>360</v>
      </c>
      <c r="H354" s="6"/>
      <c r="I354" s="6" t="s">
        <v>1311</v>
      </c>
      <c r="J354" s="7">
        <v>1</v>
      </c>
    </row>
    <row r="355" spans="1:10" x14ac:dyDescent="0.3">
      <c r="A355" s="6" t="s">
        <v>1714</v>
      </c>
      <c r="B355" s="6"/>
      <c r="C355" s="6" t="s">
        <v>1362</v>
      </c>
      <c r="D355" s="6" t="s">
        <v>1453</v>
      </c>
      <c r="E355" s="16">
        <v>133.55000000000001</v>
      </c>
      <c r="F355" s="16">
        <v>42.85</v>
      </c>
      <c r="G355" s="7">
        <v>360</v>
      </c>
      <c r="H355" s="6"/>
      <c r="I355" s="6" t="s">
        <v>1311</v>
      </c>
      <c r="J355" s="7">
        <v>1</v>
      </c>
    </row>
    <row r="356" spans="1:10" x14ac:dyDescent="0.3">
      <c r="A356" s="6" t="s">
        <v>1715</v>
      </c>
      <c r="B356" s="6"/>
      <c r="C356" s="6" t="s">
        <v>1362</v>
      </c>
      <c r="D356" s="6" t="s">
        <v>1453</v>
      </c>
      <c r="E356" s="16">
        <v>127.05</v>
      </c>
      <c r="F356" s="16">
        <v>42.85</v>
      </c>
      <c r="G356" s="7">
        <v>360</v>
      </c>
      <c r="H356" s="6"/>
      <c r="I356" s="6" t="s">
        <v>1311</v>
      </c>
      <c r="J356" s="7">
        <v>1</v>
      </c>
    </row>
    <row r="357" spans="1:10" x14ac:dyDescent="0.3">
      <c r="A357" s="6" t="s">
        <v>1716</v>
      </c>
      <c r="B357" s="6"/>
      <c r="C357" s="6" t="s">
        <v>1362</v>
      </c>
      <c r="D357" s="6" t="s">
        <v>1453</v>
      </c>
      <c r="E357" s="16">
        <v>120.55</v>
      </c>
      <c r="F357" s="16">
        <v>42.85</v>
      </c>
      <c r="G357" s="7">
        <v>360</v>
      </c>
      <c r="H357" s="6"/>
      <c r="I357" s="6" t="s">
        <v>1311</v>
      </c>
      <c r="J357" s="7">
        <v>1</v>
      </c>
    </row>
    <row r="358" spans="1:10" x14ac:dyDescent="0.3">
      <c r="A358" s="6" t="s">
        <v>1717</v>
      </c>
      <c r="B358" s="6"/>
      <c r="C358" s="6" t="s">
        <v>1362</v>
      </c>
      <c r="D358" s="6" t="s">
        <v>1453</v>
      </c>
      <c r="E358" s="16">
        <v>114.05</v>
      </c>
      <c r="F358" s="16">
        <v>42.85</v>
      </c>
      <c r="G358" s="7">
        <v>360</v>
      </c>
      <c r="H358" s="6"/>
      <c r="I358" s="6" t="s">
        <v>1311</v>
      </c>
      <c r="J358" s="7">
        <v>1</v>
      </c>
    </row>
    <row r="359" spans="1:10" x14ac:dyDescent="0.3">
      <c r="A359" s="6" t="s">
        <v>1718</v>
      </c>
      <c r="B359" s="6"/>
      <c r="C359" s="6" t="s">
        <v>1362</v>
      </c>
      <c r="D359" s="6" t="s">
        <v>1453</v>
      </c>
      <c r="E359" s="16">
        <v>107.55</v>
      </c>
      <c r="F359" s="16">
        <v>42.85</v>
      </c>
      <c r="G359" s="7">
        <v>360</v>
      </c>
      <c r="H359" s="6"/>
      <c r="I359" s="6" t="s">
        <v>1311</v>
      </c>
      <c r="J359" s="7">
        <v>1</v>
      </c>
    </row>
    <row r="360" spans="1:10" x14ac:dyDescent="0.3">
      <c r="A360" s="6" t="s">
        <v>1719</v>
      </c>
      <c r="B360" s="6"/>
      <c r="C360" s="6" t="s">
        <v>1362</v>
      </c>
      <c r="D360" s="6" t="s">
        <v>1453</v>
      </c>
      <c r="E360" s="16">
        <v>101.05</v>
      </c>
      <c r="F360" s="16">
        <v>42.85</v>
      </c>
      <c r="G360" s="7">
        <v>360</v>
      </c>
      <c r="H360" s="6"/>
      <c r="I360" s="6" t="s">
        <v>1311</v>
      </c>
      <c r="J360" s="7">
        <v>1</v>
      </c>
    </row>
    <row r="361" spans="1:10" x14ac:dyDescent="0.3">
      <c r="A361" s="6" t="s">
        <v>1720</v>
      </c>
      <c r="B361" s="6"/>
      <c r="C361" s="6" t="s">
        <v>1362</v>
      </c>
      <c r="D361" s="6" t="s">
        <v>1453</v>
      </c>
      <c r="E361" s="16">
        <v>94.55</v>
      </c>
      <c r="F361" s="16">
        <v>42.85</v>
      </c>
      <c r="G361" s="7">
        <v>360</v>
      </c>
      <c r="H361" s="6"/>
      <c r="I361" s="6" t="s">
        <v>1311</v>
      </c>
      <c r="J361" s="7">
        <v>1</v>
      </c>
    </row>
    <row r="362" spans="1:10" x14ac:dyDescent="0.3">
      <c r="A362" s="6" t="s">
        <v>1721</v>
      </c>
      <c r="B362" s="6"/>
      <c r="C362" s="6" t="s">
        <v>1362</v>
      </c>
      <c r="D362" s="6" t="s">
        <v>1453</v>
      </c>
      <c r="E362" s="16">
        <v>88.05</v>
      </c>
      <c r="F362" s="16">
        <v>42.85</v>
      </c>
      <c r="G362" s="7">
        <v>360</v>
      </c>
      <c r="H362" s="6"/>
      <c r="I362" s="6" t="s">
        <v>1311</v>
      </c>
      <c r="J362" s="7">
        <v>1</v>
      </c>
    </row>
    <row r="363" spans="1:10" x14ac:dyDescent="0.3">
      <c r="A363" s="6" t="s">
        <v>1722</v>
      </c>
      <c r="B363" s="6"/>
      <c r="C363" s="6" t="s">
        <v>1362</v>
      </c>
      <c r="D363" s="6" t="s">
        <v>1453</v>
      </c>
      <c r="E363" s="16">
        <v>81.55</v>
      </c>
      <c r="F363" s="16">
        <v>42.85</v>
      </c>
      <c r="G363" s="7">
        <v>360</v>
      </c>
      <c r="H363" s="6"/>
      <c r="I363" s="6" t="s">
        <v>1311</v>
      </c>
      <c r="J363" s="7">
        <v>1</v>
      </c>
    </row>
    <row r="364" spans="1:10" x14ac:dyDescent="0.3">
      <c r="A364" s="6" t="s">
        <v>1723</v>
      </c>
      <c r="B364" s="6"/>
      <c r="C364" s="6" t="s">
        <v>1362</v>
      </c>
      <c r="D364" s="6" t="s">
        <v>1453</v>
      </c>
      <c r="E364" s="16">
        <v>75.05</v>
      </c>
      <c r="F364" s="16">
        <v>42.85</v>
      </c>
      <c r="G364" s="7">
        <v>360</v>
      </c>
      <c r="H364" s="6"/>
      <c r="I364" s="6" t="s">
        <v>1311</v>
      </c>
      <c r="J364" s="7">
        <v>1</v>
      </c>
    </row>
    <row r="365" spans="1:10" x14ac:dyDescent="0.3">
      <c r="A365" s="6" t="s">
        <v>1724</v>
      </c>
      <c r="B365" s="6"/>
      <c r="C365" s="6" t="s">
        <v>1362</v>
      </c>
      <c r="D365" s="6" t="s">
        <v>1453</v>
      </c>
      <c r="E365" s="16">
        <v>68.55</v>
      </c>
      <c r="F365" s="16">
        <v>42.85</v>
      </c>
      <c r="G365" s="7">
        <v>360</v>
      </c>
      <c r="H365" s="6"/>
      <c r="I365" s="6" t="s">
        <v>1311</v>
      </c>
      <c r="J365" s="7">
        <v>1</v>
      </c>
    </row>
    <row r="366" spans="1:10" x14ac:dyDescent="0.3">
      <c r="A366" s="6" t="s">
        <v>1725</v>
      </c>
      <c r="B366" s="6"/>
      <c r="C366" s="6" t="s">
        <v>1362</v>
      </c>
      <c r="D366" s="6" t="s">
        <v>1453</v>
      </c>
      <c r="E366" s="16">
        <v>62.05</v>
      </c>
      <c r="F366" s="16">
        <v>42.85</v>
      </c>
      <c r="G366" s="7">
        <v>360</v>
      </c>
      <c r="H366" s="6"/>
      <c r="I366" s="6" t="s">
        <v>1311</v>
      </c>
      <c r="J366" s="7">
        <v>1</v>
      </c>
    </row>
    <row r="367" spans="1:10" x14ac:dyDescent="0.3">
      <c r="A367" s="6" t="s">
        <v>1726</v>
      </c>
      <c r="B367" s="6"/>
      <c r="C367" s="6" t="s">
        <v>1362</v>
      </c>
      <c r="D367" s="6" t="s">
        <v>1453</v>
      </c>
      <c r="E367" s="16">
        <v>55.55</v>
      </c>
      <c r="F367" s="16">
        <v>42.85</v>
      </c>
      <c r="G367" s="7">
        <v>360</v>
      </c>
      <c r="H367" s="6"/>
      <c r="I367" s="6" t="s">
        <v>1311</v>
      </c>
      <c r="J367" s="7">
        <v>1</v>
      </c>
    </row>
    <row r="368" spans="1:10" x14ac:dyDescent="0.3">
      <c r="A368" s="6" t="s">
        <v>1727</v>
      </c>
      <c r="B368" s="6"/>
      <c r="C368" s="6" t="s">
        <v>1362</v>
      </c>
      <c r="D368" s="6" t="s">
        <v>1453</v>
      </c>
      <c r="E368" s="16">
        <v>49.05</v>
      </c>
      <c r="F368" s="16">
        <v>42.85</v>
      </c>
      <c r="G368" s="7">
        <v>360</v>
      </c>
      <c r="H368" s="6"/>
      <c r="I368" s="6" t="s">
        <v>1311</v>
      </c>
      <c r="J368" s="7">
        <v>1</v>
      </c>
    </row>
    <row r="369" spans="1:10" x14ac:dyDescent="0.3">
      <c r="A369" s="6" t="s">
        <v>1728</v>
      </c>
      <c r="B369" s="6"/>
      <c r="C369" s="6" t="s">
        <v>1362</v>
      </c>
      <c r="D369" s="6" t="s">
        <v>1453</v>
      </c>
      <c r="E369" s="16">
        <v>42.55</v>
      </c>
      <c r="F369" s="16">
        <v>42.85</v>
      </c>
      <c r="G369" s="7">
        <v>360</v>
      </c>
      <c r="H369" s="6"/>
      <c r="I369" s="6" t="s">
        <v>1311</v>
      </c>
      <c r="J369" s="7">
        <v>1</v>
      </c>
    </row>
    <row r="370" spans="1:10" x14ac:dyDescent="0.3">
      <c r="A370" s="6" t="s">
        <v>1729</v>
      </c>
      <c r="B370" s="6"/>
      <c r="C370" s="6" t="s">
        <v>1362</v>
      </c>
      <c r="D370" s="6" t="s">
        <v>1453</v>
      </c>
      <c r="E370" s="16">
        <v>36.049999999999997</v>
      </c>
      <c r="F370" s="16">
        <v>42.85</v>
      </c>
      <c r="G370" s="7">
        <v>360</v>
      </c>
      <c r="H370" s="6"/>
      <c r="I370" s="6" t="s">
        <v>1311</v>
      </c>
      <c r="J370" s="7">
        <v>1</v>
      </c>
    </row>
    <row r="371" spans="1:10" x14ac:dyDescent="0.3">
      <c r="A371" s="6" t="s">
        <v>1730</v>
      </c>
      <c r="B371" s="6"/>
      <c r="C371" s="6" t="s">
        <v>1362</v>
      </c>
      <c r="D371" s="6" t="s">
        <v>1453</v>
      </c>
      <c r="E371" s="16">
        <v>29.55</v>
      </c>
      <c r="F371" s="16">
        <v>42.85</v>
      </c>
      <c r="G371" s="7">
        <v>360</v>
      </c>
      <c r="H371" s="6"/>
      <c r="I371" s="6" t="s">
        <v>1311</v>
      </c>
      <c r="J371" s="7">
        <v>1</v>
      </c>
    </row>
    <row r="372" spans="1:10" x14ac:dyDescent="0.3">
      <c r="A372" s="6" t="s">
        <v>1731</v>
      </c>
      <c r="B372" s="6"/>
      <c r="C372" s="6" t="s">
        <v>1362</v>
      </c>
      <c r="D372" s="6" t="s">
        <v>1453</v>
      </c>
      <c r="E372" s="16">
        <v>23.05</v>
      </c>
      <c r="F372" s="16">
        <v>42.85</v>
      </c>
      <c r="G372" s="7">
        <v>360</v>
      </c>
      <c r="H372" s="6"/>
      <c r="I372" s="6" t="s">
        <v>1311</v>
      </c>
      <c r="J372" s="7">
        <v>1</v>
      </c>
    </row>
    <row r="373" spans="1:10" x14ac:dyDescent="0.3">
      <c r="A373" s="6" t="s">
        <v>1732</v>
      </c>
      <c r="B373" s="6"/>
      <c r="C373" s="6" t="s">
        <v>1362</v>
      </c>
      <c r="D373" s="6" t="s">
        <v>1453</v>
      </c>
      <c r="E373" s="16">
        <v>16.55</v>
      </c>
      <c r="F373" s="16">
        <v>42.85</v>
      </c>
      <c r="G373" s="7">
        <v>360</v>
      </c>
      <c r="H373" s="6"/>
      <c r="I373" s="6" t="s">
        <v>1311</v>
      </c>
      <c r="J373" s="7">
        <v>1</v>
      </c>
    </row>
    <row r="374" spans="1:10" x14ac:dyDescent="0.3">
      <c r="A374" s="6" t="s">
        <v>1733</v>
      </c>
      <c r="B374" s="6"/>
      <c r="C374" s="6" t="s">
        <v>1362</v>
      </c>
      <c r="D374" s="6" t="s">
        <v>1453</v>
      </c>
      <c r="E374" s="16">
        <v>10.050000000000001</v>
      </c>
      <c r="F374" s="16">
        <v>42.85</v>
      </c>
      <c r="G374" s="7">
        <v>360</v>
      </c>
      <c r="H374" s="6"/>
      <c r="I374" s="6" t="s">
        <v>1311</v>
      </c>
      <c r="J374" s="7">
        <v>1</v>
      </c>
    </row>
    <row r="375" spans="1:10" x14ac:dyDescent="0.3">
      <c r="A375" s="6" t="s">
        <v>1734</v>
      </c>
      <c r="B375" s="6"/>
      <c r="C375" s="6" t="s">
        <v>1362</v>
      </c>
      <c r="D375" s="6" t="s">
        <v>1453</v>
      </c>
      <c r="E375" s="16">
        <v>3.55</v>
      </c>
      <c r="F375" s="16">
        <v>42.85</v>
      </c>
      <c r="G375" s="7">
        <v>360</v>
      </c>
      <c r="H375" s="6"/>
      <c r="I375" s="6" t="s">
        <v>1311</v>
      </c>
      <c r="J375" s="7">
        <v>1</v>
      </c>
    </row>
    <row r="376" spans="1:10" x14ac:dyDescent="0.3">
      <c r="A376" s="6" t="s">
        <v>1735</v>
      </c>
      <c r="B376" s="6"/>
      <c r="C376" s="6" t="s">
        <v>1362</v>
      </c>
      <c r="D376" s="6" t="s">
        <v>1453</v>
      </c>
      <c r="E376" s="16">
        <v>270.05</v>
      </c>
      <c r="F376" s="16">
        <v>36.35</v>
      </c>
      <c r="G376" s="7">
        <v>360</v>
      </c>
      <c r="H376" s="6"/>
      <c r="I376" s="6" t="s">
        <v>1311</v>
      </c>
      <c r="J376" s="7">
        <v>1</v>
      </c>
    </row>
    <row r="377" spans="1:10" x14ac:dyDescent="0.3">
      <c r="A377" s="6" t="s">
        <v>1736</v>
      </c>
      <c r="B377" s="6"/>
      <c r="C377" s="6" t="s">
        <v>1362</v>
      </c>
      <c r="D377" s="6" t="s">
        <v>1453</v>
      </c>
      <c r="E377" s="16">
        <v>263.55</v>
      </c>
      <c r="F377" s="16">
        <v>36.35</v>
      </c>
      <c r="G377" s="7">
        <v>360</v>
      </c>
      <c r="H377" s="6"/>
      <c r="I377" s="6" t="s">
        <v>1311</v>
      </c>
      <c r="J377" s="7">
        <v>1</v>
      </c>
    </row>
    <row r="378" spans="1:10" x14ac:dyDescent="0.3">
      <c r="A378" s="6" t="s">
        <v>1737</v>
      </c>
      <c r="B378" s="6"/>
      <c r="C378" s="6" t="s">
        <v>1362</v>
      </c>
      <c r="D378" s="6" t="s">
        <v>1453</v>
      </c>
      <c r="E378" s="16">
        <v>257.05</v>
      </c>
      <c r="F378" s="16">
        <v>36.35</v>
      </c>
      <c r="G378" s="7">
        <v>360</v>
      </c>
      <c r="H378" s="6"/>
      <c r="I378" s="6" t="s">
        <v>1311</v>
      </c>
      <c r="J378" s="7">
        <v>1</v>
      </c>
    </row>
    <row r="379" spans="1:10" x14ac:dyDescent="0.3">
      <c r="A379" s="6" t="s">
        <v>1738</v>
      </c>
      <c r="B379" s="6"/>
      <c r="C379" s="6" t="s">
        <v>1362</v>
      </c>
      <c r="D379" s="6" t="s">
        <v>1453</v>
      </c>
      <c r="E379" s="16">
        <v>250.55</v>
      </c>
      <c r="F379" s="16">
        <v>36.35</v>
      </c>
      <c r="G379" s="7">
        <v>360</v>
      </c>
      <c r="H379" s="6"/>
      <c r="I379" s="6" t="s">
        <v>1311</v>
      </c>
      <c r="J379" s="7">
        <v>1</v>
      </c>
    </row>
    <row r="380" spans="1:10" x14ac:dyDescent="0.3">
      <c r="A380" s="6" t="s">
        <v>1739</v>
      </c>
      <c r="B380" s="6"/>
      <c r="C380" s="6" t="s">
        <v>1362</v>
      </c>
      <c r="D380" s="6" t="s">
        <v>1453</v>
      </c>
      <c r="E380" s="16">
        <v>244.05</v>
      </c>
      <c r="F380" s="16">
        <v>36.35</v>
      </c>
      <c r="G380" s="7">
        <v>360</v>
      </c>
      <c r="H380" s="6"/>
      <c r="I380" s="6" t="s">
        <v>1311</v>
      </c>
      <c r="J380" s="7">
        <v>1</v>
      </c>
    </row>
    <row r="381" spans="1:10" x14ac:dyDescent="0.3">
      <c r="A381" s="6" t="s">
        <v>1740</v>
      </c>
      <c r="B381" s="6"/>
      <c r="C381" s="6" t="s">
        <v>1362</v>
      </c>
      <c r="D381" s="6" t="s">
        <v>1453</v>
      </c>
      <c r="E381" s="16">
        <v>237.55</v>
      </c>
      <c r="F381" s="16">
        <v>36.35</v>
      </c>
      <c r="G381" s="7">
        <v>360</v>
      </c>
      <c r="H381" s="6"/>
      <c r="I381" s="6" t="s">
        <v>1311</v>
      </c>
      <c r="J381" s="7">
        <v>1</v>
      </c>
    </row>
    <row r="382" spans="1:10" x14ac:dyDescent="0.3">
      <c r="A382" s="6" t="s">
        <v>1741</v>
      </c>
      <c r="B382" s="6"/>
      <c r="C382" s="6" t="s">
        <v>1362</v>
      </c>
      <c r="D382" s="6" t="s">
        <v>1453</v>
      </c>
      <c r="E382" s="16">
        <v>231.05</v>
      </c>
      <c r="F382" s="16">
        <v>36.35</v>
      </c>
      <c r="G382" s="7">
        <v>360</v>
      </c>
      <c r="H382" s="6"/>
      <c r="I382" s="6" t="s">
        <v>1311</v>
      </c>
      <c r="J382" s="7">
        <v>1</v>
      </c>
    </row>
    <row r="383" spans="1:10" x14ac:dyDescent="0.3">
      <c r="A383" s="6" t="s">
        <v>1742</v>
      </c>
      <c r="B383" s="6"/>
      <c r="C383" s="6" t="s">
        <v>1362</v>
      </c>
      <c r="D383" s="6" t="s">
        <v>1453</v>
      </c>
      <c r="E383" s="16">
        <v>224.55</v>
      </c>
      <c r="F383" s="16">
        <v>36.35</v>
      </c>
      <c r="G383" s="7">
        <v>360</v>
      </c>
      <c r="H383" s="6"/>
      <c r="I383" s="6" t="s">
        <v>1311</v>
      </c>
      <c r="J383" s="7">
        <v>1</v>
      </c>
    </row>
    <row r="384" spans="1:10" x14ac:dyDescent="0.3">
      <c r="A384" s="6" t="s">
        <v>1743</v>
      </c>
      <c r="B384" s="6"/>
      <c r="C384" s="6" t="s">
        <v>1362</v>
      </c>
      <c r="D384" s="6" t="s">
        <v>1453</v>
      </c>
      <c r="E384" s="16">
        <v>218.05</v>
      </c>
      <c r="F384" s="16">
        <v>36.35</v>
      </c>
      <c r="G384" s="7">
        <v>360</v>
      </c>
      <c r="H384" s="6"/>
      <c r="I384" s="6" t="s">
        <v>1311</v>
      </c>
      <c r="J384" s="7">
        <v>1</v>
      </c>
    </row>
    <row r="385" spans="1:10" x14ac:dyDescent="0.3">
      <c r="A385" s="6" t="s">
        <v>1744</v>
      </c>
      <c r="B385" s="6"/>
      <c r="C385" s="6" t="s">
        <v>1362</v>
      </c>
      <c r="D385" s="6" t="s">
        <v>1453</v>
      </c>
      <c r="E385" s="16">
        <v>211.55</v>
      </c>
      <c r="F385" s="16">
        <v>36.35</v>
      </c>
      <c r="G385" s="7">
        <v>360</v>
      </c>
      <c r="H385" s="6"/>
      <c r="I385" s="6" t="s">
        <v>1311</v>
      </c>
      <c r="J385" s="7">
        <v>1</v>
      </c>
    </row>
    <row r="386" spans="1:10" x14ac:dyDescent="0.3">
      <c r="A386" s="6" t="s">
        <v>1745</v>
      </c>
      <c r="B386" s="6"/>
      <c r="C386" s="6" t="s">
        <v>1362</v>
      </c>
      <c r="D386" s="6" t="s">
        <v>1453</v>
      </c>
      <c r="E386" s="16">
        <v>205.05</v>
      </c>
      <c r="F386" s="16">
        <v>36.35</v>
      </c>
      <c r="G386" s="7">
        <v>360</v>
      </c>
      <c r="H386" s="6"/>
      <c r="I386" s="6" t="s">
        <v>1311</v>
      </c>
      <c r="J386" s="7">
        <v>1</v>
      </c>
    </row>
    <row r="387" spans="1:10" x14ac:dyDescent="0.3">
      <c r="A387" s="6" t="s">
        <v>1746</v>
      </c>
      <c r="B387" s="6"/>
      <c r="C387" s="6" t="s">
        <v>1362</v>
      </c>
      <c r="D387" s="6" t="s">
        <v>1453</v>
      </c>
      <c r="E387" s="16">
        <v>198.55</v>
      </c>
      <c r="F387" s="16">
        <v>36.35</v>
      </c>
      <c r="G387" s="7">
        <v>360</v>
      </c>
      <c r="H387" s="6"/>
      <c r="I387" s="6" t="s">
        <v>1311</v>
      </c>
      <c r="J387" s="7">
        <v>1</v>
      </c>
    </row>
    <row r="388" spans="1:10" x14ac:dyDescent="0.3">
      <c r="A388" s="6" t="s">
        <v>1747</v>
      </c>
      <c r="B388" s="6"/>
      <c r="C388" s="6" t="s">
        <v>1362</v>
      </c>
      <c r="D388" s="6" t="s">
        <v>1453</v>
      </c>
      <c r="E388" s="16">
        <v>192.05</v>
      </c>
      <c r="F388" s="16">
        <v>36.35</v>
      </c>
      <c r="G388" s="7">
        <v>360</v>
      </c>
      <c r="H388" s="6"/>
      <c r="I388" s="6" t="s">
        <v>1311</v>
      </c>
      <c r="J388" s="7">
        <v>1</v>
      </c>
    </row>
    <row r="389" spans="1:10" x14ac:dyDescent="0.3">
      <c r="A389" s="6" t="s">
        <v>1748</v>
      </c>
      <c r="B389" s="6"/>
      <c r="C389" s="6" t="s">
        <v>1362</v>
      </c>
      <c r="D389" s="6" t="s">
        <v>1453</v>
      </c>
      <c r="E389" s="16">
        <v>185.55</v>
      </c>
      <c r="F389" s="16">
        <v>36.35</v>
      </c>
      <c r="G389" s="7">
        <v>360</v>
      </c>
      <c r="H389" s="6"/>
      <c r="I389" s="6" t="s">
        <v>1311</v>
      </c>
      <c r="J389" s="7">
        <v>1</v>
      </c>
    </row>
    <row r="390" spans="1:10" x14ac:dyDescent="0.3">
      <c r="A390" s="6" t="s">
        <v>1749</v>
      </c>
      <c r="B390" s="6"/>
      <c r="C390" s="6" t="s">
        <v>1362</v>
      </c>
      <c r="D390" s="6" t="s">
        <v>1453</v>
      </c>
      <c r="E390" s="16">
        <v>179.05</v>
      </c>
      <c r="F390" s="16">
        <v>36.35</v>
      </c>
      <c r="G390" s="7">
        <v>360</v>
      </c>
      <c r="H390" s="6"/>
      <c r="I390" s="6" t="s">
        <v>1311</v>
      </c>
      <c r="J390" s="7">
        <v>1</v>
      </c>
    </row>
    <row r="391" spans="1:10" x14ac:dyDescent="0.3">
      <c r="A391" s="6" t="s">
        <v>1750</v>
      </c>
      <c r="B391" s="6"/>
      <c r="C391" s="6" t="s">
        <v>1362</v>
      </c>
      <c r="D391" s="6" t="s">
        <v>1453</v>
      </c>
      <c r="E391" s="16">
        <v>172.55</v>
      </c>
      <c r="F391" s="16">
        <v>36.35</v>
      </c>
      <c r="G391" s="7">
        <v>360</v>
      </c>
      <c r="H391" s="6"/>
      <c r="I391" s="6" t="s">
        <v>1311</v>
      </c>
      <c r="J391" s="7">
        <v>1</v>
      </c>
    </row>
    <row r="392" spans="1:10" x14ac:dyDescent="0.3">
      <c r="A392" s="6" t="s">
        <v>1751</v>
      </c>
      <c r="B392" s="6"/>
      <c r="C392" s="6" t="s">
        <v>1362</v>
      </c>
      <c r="D392" s="6" t="s">
        <v>1453</v>
      </c>
      <c r="E392" s="16">
        <v>166.05</v>
      </c>
      <c r="F392" s="16">
        <v>36.35</v>
      </c>
      <c r="G392" s="7">
        <v>360</v>
      </c>
      <c r="H392" s="6"/>
      <c r="I392" s="6" t="s">
        <v>1311</v>
      </c>
      <c r="J392" s="7">
        <v>1</v>
      </c>
    </row>
    <row r="393" spans="1:10" x14ac:dyDescent="0.3">
      <c r="A393" s="6" t="s">
        <v>1752</v>
      </c>
      <c r="B393" s="6"/>
      <c r="C393" s="6" t="s">
        <v>1362</v>
      </c>
      <c r="D393" s="6" t="s">
        <v>1453</v>
      </c>
      <c r="E393" s="16">
        <v>159.55000000000001</v>
      </c>
      <c r="F393" s="16">
        <v>36.35</v>
      </c>
      <c r="G393" s="7">
        <v>360</v>
      </c>
      <c r="H393" s="6"/>
      <c r="I393" s="6" t="s">
        <v>1311</v>
      </c>
      <c r="J393" s="7">
        <v>1</v>
      </c>
    </row>
    <row r="394" spans="1:10" x14ac:dyDescent="0.3">
      <c r="A394" s="6" t="s">
        <v>1753</v>
      </c>
      <c r="B394" s="6"/>
      <c r="C394" s="6" t="s">
        <v>1362</v>
      </c>
      <c r="D394" s="6" t="s">
        <v>1453</v>
      </c>
      <c r="E394" s="16">
        <v>153.05000000000001</v>
      </c>
      <c r="F394" s="16">
        <v>36.35</v>
      </c>
      <c r="G394" s="7">
        <v>360</v>
      </c>
      <c r="H394" s="6"/>
      <c r="I394" s="6" t="s">
        <v>1311</v>
      </c>
      <c r="J394" s="7">
        <v>1</v>
      </c>
    </row>
    <row r="395" spans="1:10" x14ac:dyDescent="0.3">
      <c r="A395" s="6" t="s">
        <v>1754</v>
      </c>
      <c r="B395" s="6"/>
      <c r="C395" s="6" t="s">
        <v>1362</v>
      </c>
      <c r="D395" s="6" t="s">
        <v>1453</v>
      </c>
      <c r="E395" s="16">
        <v>146.55000000000001</v>
      </c>
      <c r="F395" s="16">
        <v>36.35</v>
      </c>
      <c r="G395" s="7">
        <v>360</v>
      </c>
      <c r="H395" s="6"/>
      <c r="I395" s="6" t="s">
        <v>1311</v>
      </c>
      <c r="J395" s="7">
        <v>1</v>
      </c>
    </row>
    <row r="396" spans="1:10" x14ac:dyDescent="0.3">
      <c r="A396" s="6" t="s">
        <v>1755</v>
      </c>
      <c r="B396" s="6"/>
      <c r="C396" s="6" t="s">
        <v>1362</v>
      </c>
      <c r="D396" s="6" t="s">
        <v>1453</v>
      </c>
      <c r="E396" s="16">
        <v>140.05000000000001</v>
      </c>
      <c r="F396" s="16">
        <v>36.35</v>
      </c>
      <c r="G396" s="7">
        <v>360</v>
      </c>
      <c r="H396" s="6"/>
      <c r="I396" s="6" t="s">
        <v>1311</v>
      </c>
      <c r="J396" s="7">
        <v>1</v>
      </c>
    </row>
    <row r="397" spans="1:10" x14ac:dyDescent="0.3">
      <c r="A397" s="6" t="s">
        <v>1756</v>
      </c>
      <c r="B397" s="6"/>
      <c r="C397" s="6" t="s">
        <v>1362</v>
      </c>
      <c r="D397" s="6" t="s">
        <v>1453</v>
      </c>
      <c r="E397" s="16">
        <v>133.55000000000001</v>
      </c>
      <c r="F397" s="16">
        <v>36.35</v>
      </c>
      <c r="G397" s="7">
        <v>360</v>
      </c>
      <c r="H397" s="6"/>
      <c r="I397" s="6" t="s">
        <v>1311</v>
      </c>
      <c r="J397" s="7">
        <v>1</v>
      </c>
    </row>
    <row r="398" spans="1:10" x14ac:dyDescent="0.3">
      <c r="A398" s="6" t="s">
        <v>1757</v>
      </c>
      <c r="B398" s="6"/>
      <c r="C398" s="6" t="s">
        <v>1362</v>
      </c>
      <c r="D398" s="6" t="s">
        <v>1453</v>
      </c>
      <c r="E398" s="16">
        <v>127.05</v>
      </c>
      <c r="F398" s="16">
        <v>36.35</v>
      </c>
      <c r="G398" s="7">
        <v>360</v>
      </c>
      <c r="H398" s="6"/>
      <c r="I398" s="6" t="s">
        <v>1311</v>
      </c>
      <c r="J398" s="7">
        <v>1</v>
      </c>
    </row>
    <row r="399" spans="1:10" x14ac:dyDescent="0.3">
      <c r="A399" s="6" t="s">
        <v>1758</v>
      </c>
      <c r="B399" s="6"/>
      <c r="C399" s="6" t="s">
        <v>1362</v>
      </c>
      <c r="D399" s="6" t="s">
        <v>1453</v>
      </c>
      <c r="E399" s="16">
        <v>120.55</v>
      </c>
      <c r="F399" s="16">
        <v>36.35</v>
      </c>
      <c r="G399" s="7">
        <v>360</v>
      </c>
      <c r="H399" s="6"/>
      <c r="I399" s="6" t="s">
        <v>1311</v>
      </c>
      <c r="J399" s="7">
        <v>1</v>
      </c>
    </row>
    <row r="400" spans="1:10" x14ac:dyDescent="0.3">
      <c r="A400" s="6" t="s">
        <v>1759</v>
      </c>
      <c r="B400" s="6"/>
      <c r="C400" s="6" t="s">
        <v>1362</v>
      </c>
      <c r="D400" s="6" t="s">
        <v>1453</v>
      </c>
      <c r="E400" s="16">
        <v>114.05</v>
      </c>
      <c r="F400" s="16">
        <v>36.35</v>
      </c>
      <c r="G400" s="7">
        <v>360</v>
      </c>
      <c r="H400" s="6"/>
      <c r="I400" s="6" t="s">
        <v>1311</v>
      </c>
      <c r="J400" s="7">
        <v>1</v>
      </c>
    </row>
    <row r="401" spans="1:10" x14ac:dyDescent="0.3">
      <c r="A401" s="6" t="s">
        <v>1760</v>
      </c>
      <c r="B401" s="6"/>
      <c r="C401" s="6" t="s">
        <v>1362</v>
      </c>
      <c r="D401" s="6" t="s">
        <v>1453</v>
      </c>
      <c r="E401" s="16">
        <v>107.55</v>
      </c>
      <c r="F401" s="16">
        <v>36.35</v>
      </c>
      <c r="G401" s="7">
        <v>360</v>
      </c>
      <c r="H401" s="6"/>
      <c r="I401" s="6" t="s">
        <v>1311</v>
      </c>
      <c r="J401" s="7">
        <v>1</v>
      </c>
    </row>
    <row r="402" spans="1:10" x14ac:dyDescent="0.3">
      <c r="A402" s="6" t="s">
        <v>1761</v>
      </c>
      <c r="B402" s="6"/>
      <c r="C402" s="6" t="s">
        <v>1362</v>
      </c>
      <c r="D402" s="6" t="s">
        <v>1453</v>
      </c>
      <c r="E402" s="16">
        <v>101.05</v>
      </c>
      <c r="F402" s="16">
        <v>36.35</v>
      </c>
      <c r="G402" s="7">
        <v>360</v>
      </c>
      <c r="H402" s="6"/>
      <c r="I402" s="6" t="s">
        <v>1311</v>
      </c>
      <c r="J402" s="7">
        <v>1</v>
      </c>
    </row>
    <row r="403" spans="1:10" x14ac:dyDescent="0.3">
      <c r="A403" s="6" t="s">
        <v>1762</v>
      </c>
      <c r="B403" s="6"/>
      <c r="C403" s="6" t="s">
        <v>1362</v>
      </c>
      <c r="D403" s="6" t="s">
        <v>1453</v>
      </c>
      <c r="E403" s="16">
        <v>94.55</v>
      </c>
      <c r="F403" s="16">
        <v>36.35</v>
      </c>
      <c r="G403" s="7">
        <v>360</v>
      </c>
      <c r="H403" s="6"/>
      <c r="I403" s="6" t="s">
        <v>1311</v>
      </c>
      <c r="J403" s="7">
        <v>1</v>
      </c>
    </row>
    <row r="404" spans="1:10" x14ac:dyDescent="0.3">
      <c r="A404" s="6" t="s">
        <v>1763</v>
      </c>
      <c r="B404" s="6"/>
      <c r="C404" s="6" t="s">
        <v>1362</v>
      </c>
      <c r="D404" s="6" t="s">
        <v>1453</v>
      </c>
      <c r="E404" s="16">
        <v>88.05</v>
      </c>
      <c r="F404" s="16">
        <v>36.35</v>
      </c>
      <c r="G404" s="7">
        <v>360</v>
      </c>
      <c r="H404" s="6"/>
      <c r="I404" s="6" t="s">
        <v>1311</v>
      </c>
      <c r="J404" s="7">
        <v>1</v>
      </c>
    </row>
    <row r="405" spans="1:10" x14ac:dyDescent="0.3">
      <c r="A405" s="6" t="s">
        <v>1764</v>
      </c>
      <c r="B405" s="6"/>
      <c r="C405" s="6" t="s">
        <v>1362</v>
      </c>
      <c r="D405" s="6" t="s">
        <v>1453</v>
      </c>
      <c r="E405" s="16">
        <v>81.55</v>
      </c>
      <c r="F405" s="16">
        <v>36.35</v>
      </c>
      <c r="G405" s="7">
        <v>360</v>
      </c>
      <c r="H405" s="6"/>
      <c r="I405" s="6" t="s">
        <v>1311</v>
      </c>
      <c r="J405" s="7">
        <v>1</v>
      </c>
    </row>
    <row r="406" spans="1:10" x14ac:dyDescent="0.3">
      <c r="A406" s="6" t="s">
        <v>1765</v>
      </c>
      <c r="B406" s="6"/>
      <c r="C406" s="6" t="s">
        <v>1362</v>
      </c>
      <c r="D406" s="6" t="s">
        <v>1453</v>
      </c>
      <c r="E406" s="16">
        <v>75.05</v>
      </c>
      <c r="F406" s="16">
        <v>36.35</v>
      </c>
      <c r="G406" s="7">
        <v>360</v>
      </c>
      <c r="H406" s="6"/>
      <c r="I406" s="6" t="s">
        <v>1311</v>
      </c>
      <c r="J406" s="7">
        <v>1</v>
      </c>
    </row>
    <row r="407" spans="1:10" x14ac:dyDescent="0.3">
      <c r="A407" s="6" t="s">
        <v>1766</v>
      </c>
      <c r="B407" s="6"/>
      <c r="C407" s="6" t="s">
        <v>1362</v>
      </c>
      <c r="D407" s="6" t="s">
        <v>1453</v>
      </c>
      <c r="E407" s="16">
        <v>68.55</v>
      </c>
      <c r="F407" s="16">
        <v>36.35</v>
      </c>
      <c r="G407" s="7">
        <v>360</v>
      </c>
      <c r="H407" s="6"/>
      <c r="I407" s="6" t="s">
        <v>1311</v>
      </c>
      <c r="J407" s="7">
        <v>1</v>
      </c>
    </row>
    <row r="408" spans="1:10" x14ac:dyDescent="0.3">
      <c r="A408" s="6" t="s">
        <v>1767</v>
      </c>
      <c r="B408" s="6"/>
      <c r="C408" s="6" t="s">
        <v>1362</v>
      </c>
      <c r="D408" s="6" t="s">
        <v>1453</v>
      </c>
      <c r="E408" s="16">
        <v>62.05</v>
      </c>
      <c r="F408" s="16">
        <v>36.35</v>
      </c>
      <c r="G408" s="7">
        <v>360</v>
      </c>
      <c r="H408" s="6"/>
      <c r="I408" s="6" t="s">
        <v>1311</v>
      </c>
      <c r="J408" s="7">
        <v>1</v>
      </c>
    </row>
    <row r="409" spans="1:10" x14ac:dyDescent="0.3">
      <c r="A409" s="6" t="s">
        <v>1768</v>
      </c>
      <c r="B409" s="6"/>
      <c r="C409" s="6" t="s">
        <v>1362</v>
      </c>
      <c r="D409" s="6" t="s">
        <v>1453</v>
      </c>
      <c r="E409" s="16">
        <v>55.55</v>
      </c>
      <c r="F409" s="16">
        <v>36.35</v>
      </c>
      <c r="G409" s="7">
        <v>360</v>
      </c>
      <c r="H409" s="6"/>
      <c r="I409" s="6" t="s">
        <v>1311</v>
      </c>
      <c r="J409" s="7">
        <v>1</v>
      </c>
    </row>
    <row r="410" spans="1:10" x14ac:dyDescent="0.3">
      <c r="A410" s="6" t="s">
        <v>1769</v>
      </c>
      <c r="B410" s="6"/>
      <c r="C410" s="6" t="s">
        <v>1362</v>
      </c>
      <c r="D410" s="6" t="s">
        <v>1453</v>
      </c>
      <c r="E410" s="16">
        <v>49.05</v>
      </c>
      <c r="F410" s="16">
        <v>36.35</v>
      </c>
      <c r="G410" s="7">
        <v>360</v>
      </c>
      <c r="H410" s="6"/>
      <c r="I410" s="6" t="s">
        <v>1311</v>
      </c>
      <c r="J410" s="7">
        <v>1</v>
      </c>
    </row>
    <row r="411" spans="1:10" x14ac:dyDescent="0.3">
      <c r="A411" s="6" t="s">
        <v>1770</v>
      </c>
      <c r="B411" s="6"/>
      <c r="C411" s="6" t="s">
        <v>1362</v>
      </c>
      <c r="D411" s="6" t="s">
        <v>1453</v>
      </c>
      <c r="E411" s="16">
        <v>42.55</v>
      </c>
      <c r="F411" s="16">
        <v>36.35</v>
      </c>
      <c r="G411" s="7">
        <v>360</v>
      </c>
      <c r="H411" s="6"/>
      <c r="I411" s="6" t="s">
        <v>1311</v>
      </c>
      <c r="J411" s="7">
        <v>1</v>
      </c>
    </row>
    <row r="412" spans="1:10" x14ac:dyDescent="0.3">
      <c r="A412" s="6" t="s">
        <v>1771</v>
      </c>
      <c r="B412" s="6"/>
      <c r="C412" s="6" t="s">
        <v>1362</v>
      </c>
      <c r="D412" s="6" t="s">
        <v>1453</v>
      </c>
      <c r="E412" s="16">
        <v>36.049999999999997</v>
      </c>
      <c r="F412" s="16">
        <v>36.35</v>
      </c>
      <c r="G412" s="7">
        <v>360</v>
      </c>
      <c r="H412" s="6"/>
      <c r="I412" s="6" t="s">
        <v>1311</v>
      </c>
      <c r="J412" s="7">
        <v>1</v>
      </c>
    </row>
    <row r="413" spans="1:10" x14ac:dyDescent="0.3">
      <c r="A413" s="6" t="s">
        <v>1772</v>
      </c>
      <c r="B413" s="6"/>
      <c r="C413" s="6" t="s">
        <v>1362</v>
      </c>
      <c r="D413" s="6" t="s">
        <v>1453</v>
      </c>
      <c r="E413" s="16">
        <v>29.55</v>
      </c>
      <c r="F413" s="16">
        <v>36.35</v>
      </c>
      <c r="G413" s="7">
        <v>360</v>
      </c>
      <c r="H413" s="6"/>
      <c r="I413" s="6" t="s">
        <v>1311</v>
      </c>
      <c r="J413" s="7">
        <v>1</v>
      </c>
    </row>
    <row r="414" spans="1:10" x14ac:dyDescent="0.3">
      <c r="A414" s="6" t="s">
        <v>1773</v>
      </c>
      <c r="B414" s="6"/>
      <c r="C414" s="6" t="s">
        <v>1362</v>
      </c>
      <c r="D414" s="6" t="s">
        <v>1453</v>
      </c>
      <c r="E414" s="16">
        <v>23.05</v>
      </c>
      <c r="F414" s="16">
        <v>36.35</v>
      </c>
      <c r="G414" s="7">
        <v>360</v>
      </c>
      <c r="H414" s="6"/>
      <c r="I414" s="6" t="s">
        <v>1311</v>
      </c>
      <c r="J414" s="7">
        <v>1</v>
      </c>
    </row>
    <row r="415" spans="1:10" x14ac:dyDescent="0.3">
      <c r="A415" s="6" t="s">
        <v>1774</v>
      </c>
      <c r="B415" s="6"/>
      <c r="C415" s="6" t="s">
        <v>1362</v>
      </c>
      <c r="D415" s="6" t="s">
        <v>1453</v>
      </c>
      <c r="E415" s="16">
        <v>16.55</v>
      </c>
      <c r="F415" s="16">
        <v>36.35</v>
      </c>
      <c r="G415" s="7">
        <v>360</v>
      </c>
      <c r="H415" s="6"/>
      <c r="I415" s="6" t="s">
        <v>1311</v>
      </c>
      <c r="J415" s="7">
        <v>1</v>
      </c>
    </row>
    <row r="416" spans="1:10" x14ac:dyDescent="0.3">
      <c r="A416" s="6" t="s">
        <v>1775</v>
      </c>
      <c r="B416" s="6"/>
      <c r="C416" s="6" t="s">
        <v>1362</v>
      </c>
      <c r="D416" s="6" t="s">
        <v>1453</v>
      </c>
      <c r="E416" s="16">
        <v>10.050000000000001</v>
      </c>
      <c r="F416" s="16">
        <v>36.35</v>
      </c>
      <c r="G416" s="7">
        <v>360</v>
      </c>
      <c r="H416" s="6"/>
      <c r="I416" s="6" t="s">
        <v>1311</v>
      </c>
      <c r="J416" s="7">
        <v>1</v>
      </c>
    </row>
    <row r="417" spans="1:10" x14ac:dyDescent="0.3">
      <c r="A417" s="6" t="s">
        <v>1776</v>
      </c>
      <c r="B417" s="6"/>
      <c r="C417" s="6" t="s">
        <v>1362</v>
      </c>
      <c r="D417" s="6" t="s">
        <v>1453</v>
      </c>
      <c r="E417" s="16">
        <v>3.55</v>
      </c>
      <c r="F417" s="16">
        <v>36.35</v>
      </c>
      <c r="G417" s="7">
        <v>360</v>
      </c>
      <c r="H417" s="6"/>
      <c r="I417" s="6" t="s">
        <v>1311</v>
      </c>
      <c r="J417" s="7">
        <v>1</v>
      </c>
    </row>
    <row r="418" spans="1:10" x14ac:dyDescent="0.3">
      <c r="A418" s="6" t="s">
        <v>1777</v>
      </c>
      <c r="B418" s="6"/>
      <c r="C418" s="6" t="s">
        <v>1362</v>
      </c>
      <c r="D418" s="6" t="s">
        <v>1453</v>
      </c>
      <c r="E418" s="16">
        <v>270.05</v>
      </c>
      <c r="F418" s="16">
        <v>29.85</v>
      </c>
      <c r="G418" s="7">
        <v>360</v>
      </c>
      <c r="H418" s="6"/>
      <c r="I418" s="6" t="s">
        <v>1311</v>
      </c>
      <c r="J418" s="7">
        <v>1</v>
      </c>
    </row>
    <row r="419" spans="1:10" x14ac:dyDescent="0.3">
      <c r="A419" s="6" t="s">
        <v>1778</v>
      </c>
      <c r="B419" s="6"/>
      <c r="C419" s="6" t="s">
        <v>1362</v>
      </c>
      <c r="D419" s="6" t="s">
        <v>1453</v>
      </c>
      <c r="E419" s="16">
        <v>263.55</v>
      </c>
      <c r="F419" s="16">
        <v>29.85</v>
      </c>
      <c r="G419" s="7">
        <v>360</v>
      </c>
      <c r="H419" s="6"/>
      <c r="I419" s="6" t="s">
        <v>1311</v>
      </c>
      <c r="J419" s="7">
        <v>1</v>
      </c>
    </row>
    <row r="420" spans="1:10" x14ac:dyDescent="0.3">
      <c r="A420" s="6" t="s">
        <v>1779</v>
      </c>
      <c r="B420" s="6"/>
      <c r="C420" s="6" t="s">
        <v>1362</v>
      </c>
      <c r="D420" s="6" t="s">
        <v>1453</v>
      </c>
      <c r="E420" s="16">
        <v>257.05</v>
      </c>
      <c r="F420" s="16">
        <v>29.85</v>
      </c>
      <c r="G420" s="7">
        <v>360</v>
      </c>
      <c r="H420" s="6"/>
      <c r="I420" s="6" t="s">
        <v>1311</v>
      </c>
      <c r="J420" s="7">
        <v>1</v>
      </c>
    </row>
    <row r="421" spans="1:10" x14ac:dyDescent="0.3">
      <c r="A421" s="6" t="s">
        <v>1780</v>
      </c>
      <c r="B421" s="6"/>
      <c r="C421" s="6" t="s">
        <v>1362</v>
      </c>
      <c r="D421" s="6" t="s">
        <v>1453</v>
      </c>
      <c r="E421" s="16">
        <v>250.55</v>
      </c>
      <c r="F421" s="16">
        <v>29.85</v>
      </c>
      <c r="G421" s="7">
        <v>360</v>
      </c>
      <c r="H421" s="6"/>
      <c r="I421" s="6" t="s">
        <v>1311</v>
      </c>
      <c r="J421" s="7">
        <v>1</v>
      </c>
    </row>
    <row r="422" spans="1:10" x14ac:dyDescent="0.3">
      <c r="A422" s="6" t="s">
        <v>1781</v>
      </c>
      <c r="B422" s="6"/>
      <c r="C422" s="6" t="s">
        <v>1362</v>
      </c>
      <c r="D422" s="6" t="s">
        <v>1453</v>
      </c>
      <c r="E422" s="16">
        <v>244.05</v>
      </c>
      <c r="F422" s="16">
        <v>29.85</v>
      </c>
      <c r="G422" s="7">
        <v>360</v>
      </c>
      <c r="H422" s="6"/>
      <c r="I422" s="6" t="s">
        <v>1311</v>
      </c>
      <c r="J422" s="7">
        <v>1</v>
      </c>
    </row>
    <row r="423" spans="1:10" x14ac:dyDescent="0.3">
      <c r="A423" s="6" t="s">
        <v>1782</v>
      </c>
      <c r="B423" s="6"/>
      <c r="C423" s="6" t="s">
        <v>1362</v>
      </c>
      <c r="D423" s="6" t="s">
        <v>1453</v>
      </c>
      <c r="E423" s="16">
        <v>237.55</v>
      </c>
      <c r="F423" s="16">
        <v>29.85</v>
      </c>
      <c r="G423" s="7">
        <v>360</v>
      </c>
      <c r="H423" s="6"/>
      <c r="I423" s="6" t="s">
        <v>1311</v>
      </c>
      <c r="J423" s="7">
        <v>1</v>
      </c>
    </row>
    <row r="424" spans="1:10" x14ac:dyDescent="0.3">
      <c r="A424" s="6" t="s">
        <v>1783</v>
      </c>
      <c r="B424" s="6"/>
      <c r="C424" s="6" t="s">
        <v>1362</v>
      </c>
      <c r="D424" s="6" t="s">
        <v>1453</v>
      </c>
      <c r="E424" s="16">
        <v>231.05</v>
      </c>
      <c r="F424" s="16">
        <v>29.85</v>
      </c>
      <c r="G424" s="7">
        <v>360</v>
      </c>
      <c r="H424" s="6"/>
      <c r="I424" s="6" t="s">
        <v>1311</v>
      </c>
      <c r="J424" s="7">
        <v>1</v>
      </c>
    </row>
    <row r="425" spans="1:10" x14ac:dyDescent="0.3">
      <c r="A425" s="6" t="s">
        <v>1784</v>
      </c>
      <c r="B425" s="6"/>
      <c r="C425" s="6" t="s">
        <v>1362</v>
      </c>
      <c r="D425" s="6" t="s">
        <v>1453</v>
      </c>
      <c r="E425" s="16">
        <v>224.55</v>
      </c>
      <c r="F425" s="16">
        <v>29.85</v>
      </c>
      <c r="G425" s="7">
        <v>360</v>
      </c>
      <c r="H425" s="6"/>
      <c r="I425" s="6" t="s">
        <v>1311</v>
      </c>
      <c r="J425" s="7">
        <v>1</v>
      </c>
    </row>
    <row r="426" spans="1:10" x14ac:dyDescent="0.3">
      <c r="A426" s="6" t="s">
        <v>1785</v>
      </c>
      <c r="B426" s="6"/>
      <c r="C426" s="6" t="s">
        <v>1362</v>
      </c>
      <c r="D426" s="6" t="s">
        <v>1453</v>
      </c>
      <c r="E426" s="16">
        <v>218.05</v>
      </c>
      <c r="F426" s="16">
        <v>29.85</v>
      </c>
      <c r="G426" s="7">
        <v>360</v>
      </c>
      <c r="H426" s="6"/>
      <c r="I426" s="6" t="s">
        <v>1311</v>
      </c>
      <c r="J426" s="7">
        <v>1</v>
      </c>
    </row>
    <row r="427" spans="1:10" x14ac:dyDescent="0.3">
      <c r="A427" s="6" t="s">
        <v>1786</v>
      </c>
      <c r="B427" s="6"/>
      <c r="C427" s="6" t="s">
        <v>1362</v>
      </c>
      <c r="D427" s="6" t="s">
        <v>1453</v>
      </c>
      <c r="E427" s="16">
        <v>211.55</v>
      </c>
      <c r="F427" s="16">
        <v>29.85</v>
      </c>
      <c r="G427" s="7">
        <v>360</v>
      </c>
      <c r="H427" s="6"/>
      <c r="I427" s="6" t="s">
        <v>1311</v>
      </c>
      <c r="J427" s="7">
        <v>1</v>
      </c>
    </row>
    <row r="428" spans="1:10" x14ac:dyDescent="0.3">
      <c r="A428" s="6" t="s">
        <v>1787</v>
      </c>
      <c r="B428" s="6"/>
      <c r="C428" s="6" t="s">
        <v>1362</v>
      </c>
      <c r="D428" s="6" t="s">
        <v>1453</v>
      </c>
      <c r="E428" s="16">
        <v>205.05</v>
      </c>
      <c r="F428" s="16">
        <v>29.85</v>
      </c>
      <c r="G428" s="7">
        <v>360</v>
      </c>
      <c r="H428" s="6"/>
      <c r="I428" s="6" t="s">
        <v>1311</v>
      </c>
      <c r="J428" s="7">
        <v>1</v>
      </c>
    </row>
    <row r="429" spans="1:10" x14ac:dyDescent="0.3">
      <c r="A429" s="6" t="s">
        <v>1788</v>
      </c>
      <c r="B429" s="6"/>
      <c r="C429" s="6" t="s">
        <v>1362</v>
      </c>
      <c r="D429" s="6" t="s">
        <v>1453</v>
      </c>
      <c r="E429" s="16">
        <v>198.55</v>
      </c>
      <c r="F429" s="16">
        <v>29.85</v>
      </c>
      <c r="G429" s="7">
        <v>360</v>
      </c>
      <c r="H429" s="6"/>
      <c r="I429" s="6" t="s">
        <v>1311</v>
      </c>
      <c r="J429" s="7">
        <v>1</v>
      </c>
    </row>
    <row r="430" spans="1:10" x14ac:dyDescent="0.3">
      <c r="A430" s="6" t="s">
        <v>1789</v>
      </c>
      <c r="B430" s="6"/>
      <c r="C430" s="6" t="s">
        <v>1362</v>
      </c>
      <c r="D430" s="6" t="s">
        <v>1453</v>
      </c>
      <c r="E430" s="16">
        <v>192.05</v>
      </c>
      <c r="F430" s="16">
        <v>29.85</v>
      </c>
      <c r="G430" s="7">
        <v>360</v>
      </c>
      <c r="H430" s="6"/>
      <c r="I430" s="6" t="s">
        <v>1311</v>
      </c>
      <c r="J430" s="7">
        <v>1</v>
      </c>
    </row>
    <row r="431" spans="1:10" x14ac:dyDescent="0.3">
      <c r="A431" s="6" t="s">
        <v>1790</v>
      </c>
      <c r="B431" s="6"/>
      <c r="C431" s="6" t="s">
        <v>1362</v>
      </c>
      <c r="D431" s="6" t="s">
        <v>1453</v>
      </c>
      <c r="E431" s="16">
        <v>185.55</v>
      </c>
      <c r="F431" s="16">
        <v>29.85</v>
      </c>
      <c r="G431" s="7">
        <v>360</v>
      </c>
      <c r="H431" s="6"/>
      <c r="I431" s="6" t="s">
        <v>1311</v>
      </c>
      <c r="J431" s="7">
        <v>1</v>
      </c>
    </row>
    <row r="432" spans="1:10" x14ac:dyDescent="0.3">
      <c r="A432" s="6" t="s">
        <v>1791</v>
      </c>
      <c r="B432" s="6"/>
      <c r="C432" s="6" t="s">
        <v>1362</v>
      </c>
      <c r="D432" s="6" t="s">
        <v>1453</v>
      </c>
      <c r="E432" s="16">
        <v>179.05</v>
      </c>
      <c r="F432" s="16">
        <v>29.85</v>
      </c>
      <c r="G432" s="7">
        <v>360</v>
      </c>
      <c r="H432" s="6"/>
      <c r="I432" s="6" t="s">
        <v>1311</v>
      </c>
      <c r="J432" s="7">
        <v>1</v>
      </c>
    </row>
    <row r="433" spans="1:10" x14ac:dyDescent="0.3">
      <c r="A433" s="6" t="s">
        <v>1792</v>
      </c>
      <c r="B433" s="6"/>
      <c r="C433" s="6" t="s">
        <v>1362</v>
      </c>
      <c r="D433" s="6" t="s">
        <v>1453</v>
      </c>
      <c r="E433" s="16">
        <v>172.55</v>
      </c>
      <c r="F433" s="16">
        <v>29.85</v>
      </c>
      <c r="G433" s="7">
        <v>360</v>
      </c>
      <c r="H433" s="6"/>
      <c r="I433" s="6" t="s">
        <v>1311</v>
      </c>
      <c r="J433" s="7">
        <v>1</v>
      </c>
    </row>
    <row r="434" spans="1:10" x14ac:dyDescent="0.3">
      <c r="A434" s="6" t="s">
        <v>1793</v>
      </c>
      <c r="B434" s="6"/>
      <c r="C434" s="6" t="s">
        <v>1362</v>
      </c>
      <c r="D434" s="6" t="s">
        <v>1453</v>
      </c>
      <c r="E434" s="16">
        <v>166.05</v>
      </c>
      <c r="F434" s="16">
        <v>29.85</v>
      </c>
      <c r="G434" s="7">
        <v>360</v>
      </c>
      <c r="H434" s="6"/>
      <c r="I434" s="6" t="s">
        <v>1311</v>
      </c>
      <c r="J434" s="7">
        <v>1</v>
      </c>
    </row>
    <row r="435" spans="1:10" x14ac:dyDescent="0.3">
      <c r="A435" s="6" t="s">
        <v>1794</v>
      </c>
      <c r="B435" s="6"/>
      <c r="C435" s="6" t="s">
        <v>1362</v>
      </c>
      <c r="D435" s="6" t="s">
        <v>1453</v>
      </c>
      <c r="E435" s="16">
        <v>159.55000000000001</v>
      </c>
      <c r="F435" s="16">
        <v>29.85</v>
      </c>
      <c r="G435" s="7">
        <v>360</v>
      </c>
      <c r="H435" s="6"/>
      <c r="I435" s="6" t="s">
        <v>1311</v>
      </c>
      <c r="J435" s="7">
        <v>1</v>
      </c>
    </row>
    <row r="436" spans="1:10" x14ac:dyDescent="0.3">
      <c r="A436" s="6" t="s">
        <v>1795</v>
      </c>
      <c r="B436" s="6"/>
      <c r="C436" s="6" t="s">
        <v>1362</v>
      </c>
      <c r="D436" s="6" t="s">
        <v>1453</v>
      </c>
      <c r="E436" s="16">
        <v>153.05000000000001</v>
      </c>
      <c r="F436" s="16">
        <v>29.85</v>
      </c>
      <c r="G436" s="7">
        <v>360</v>
      </c>
      <c r="H436" s="6"/>
      <c r="I436" s="6" t="s">
        <v>1311</v>
      </c>
      <c r="J436" s="7">
        <v>1</v>
      </c>
    </row>
    <row r="437" spans="1:10" x14ac:dyDescent="0.3">
      <c r="A437" s="6" t="s">
        <v>1796</v>
      </c>
      <c r="B437" s="6"/>
      <c r="C437" s="6" t="s">
        <v>1362</v>
      </c>
      <c r="D437" s="6" t="s">
        <v>1453</v>
      </c>
      <c r="E437" s="16">
        <v>146.55000000000001</v>
      </c>
      <c r="F437" s="16">
        <v>29.85</v>
      </c>
      <c r="G437" s="7">
        <v>360</v>
      </c>
      <c r="H437" s="6"/>
      <c r="I437" s="6" t="s">
        <v>1311</v>
      </c>
      <c r="J437" s="7">
        <v>1</v>
      </c>
    </row>
    <row r="438" spans="1:10" x14ac:dyDescent="0.3">
      <c r="A438" s="6" t="s">
        <v>1797</v>
      </c>
      <c r="B438" s="6"/>
      <c r="C438" s="6" t="s">
        <v>1362</v>
      </c>
      <c r="D438" s="6" t="s">
        <v>1453</v>
      </c>
      <c r="E438" s="16">
        <v>140.05000000000001</v>
      </c>
      <c r="F438" s="16">
        <v>29.85</v>
      </c>
      <c r="G438" s="7">
        <v>360</v>
      </c>
      <c r="H438" s="6"/>
      <c r="I438" s="6" t="s">
        <v>1311</v>
      </c>
      <c r="J438" s="7">
        <v>1</v>
      </c>
    </row>
    <row r="439" spans="1:10" x14ac:dyDescent="0.3">
      <c r="A439" s="6" t="s">
        <v>1798</v>
      </c>
      <c r="B439" s="6"/>
      <c r="C439" s="6" t="s">
        <v>1362</v>
      </c>
      <c r="D439" s="6" t="s">
        <v>1453</v>
      </c>
      <c r="E439" s="16">
        <v>133.55000000000001</v>
      </c>
      <c r="F439" s="16">
        <v>29.85</v>
      </c>
      <c r="G439" s="7">
        <v>360</v>
      </c>
      <c r="H439" s="6"/>
      <c r="I439" s="6" t="s">
        <v>1311</v>
      </c>
      <c r="J439" s="7">
        <v>1</v>
      </c>
    </row>
    <row r="440" spans="1:10" x14ac:dyDescent="0.3">
      <c r="A440" s="6" t="s">
        <v>1799</v>
      </c>
      <c r="B440" s="6"/>
      <c r="C440" s="6" t="s">
        <v>1362</v>
      </c>
      <c r="D440" s="6" t="s">
        <v>1453</v>
      </c>
      <c r="E440" s="16">
        <v>127.05</v>
      </c>
      <c r="F440" s="16">
        <v>29.85</v>
      </c>
      <c r="G440" s="7">
        <v>360</v>
      </c>
      <c r="H440" s="6"/>
      <c r="I440" s="6" t="s">
        <v>1311</v>
      </c>
      <c r="J440" s="7">
        <v>1</v>
      </c>
    </row>
    <row r="441" spans="1:10" x14ac:dyDescent="0.3">
      <c r="A441" s="6" t="s">
        <v>1800</v>
      </c>
      <c r="B441" s="6"/>
      <c r="C441" s="6" t="s">
        <v>1362</v>
      </c>
      <c r="D441" s="6" t="s">
        <v>1453</v>
      </c>
      <c r="E441" s="16">
        <v>120.55</v>
      </c>
      <c r="F441" s="16">
        <v>29.85</v>
      </c>
      <c r="G441" s="7">
        <v>360</v>
      </c>
      <c r="H441" s="6"/>
      <c r="I441" s="6" t="s">
        <v>1311</v>
      </c>
      <c r="J441" s="7">
        <v>1</v>
      </c>
    </row>
    <row r="442" spans="1:10" x14ac:dyDescent="0.3">
      <c r="A442" s="6" t="s">
        <v>1801</v>
      </c>
      <c r="B442" s="6"/>
      <c r="C442" s="6" t="s">
        <v>1362</v>
      </c>
      <c r="D442" s="6" t="s">
        <v>1453</v>
      </c>
      <c r="E442" s="16">
        <v>114.05</v>
      </c>
      <c r="F442" s="16">
        <v>29.85</v>
      </c>
      <c r="G442" s="7">
        <v>360</v>
      </c>
      <c r="H442" s="6"/>
      <c r="I442" s="6" t="s">
        <v>1311</v>
      </c>
      <c r="J442" s="7">
        <v>1</v>
      </c>
    </row>
    <row r="443" spans="1:10" x14ac:dyDescent="0.3">
      <c r="A443" s="6" t="s">
        <v>1802</v>
      </c>
      <c r="B443" s="6"/>
      <c r="C443" s="6" t="s">
        <v>1362</v>
      </c>
      <c r="D443" s="6" t="s">
        <v>1453</v>
      </c>
      <c r="E443" s="16">
        <v>107.55</v>
      </c>
      <c r="F443" s="16">
        <v>29.85</v>
      </c>
      <c r="G443" s="7">
        <v>360</v>
      </c>
      <c r="H443" s="6"/>
      <c r="I443" s="6" t="s">
        <v>1311</v>
      </c>
      <c r="J443" s="7">
        <v>1</v>
      </c>
    </row>
    <row r="444" spans="1:10" x14ac:dyDescent="0.3">
      <c r="A444" s="6" t="s">
        <v>1803</v>
      </c>
      <c r="B444" s="6"/>
      <c r="C444" s="6" t="s">
        <v>1362</v>
      </c>
      <c r="D444" s="6" t="s">
        <v>1453</v>
      </c>
      <c r="E444" s="16">
        <v>101.05</v>
      </c>
      <c r="F444" s="16">
        <v>29.85</v>
      </c>
      <c r="G444" s="7">
        <v>360</v>
      </c>
      <c r="H444" s="6"/>
      <c r="I444" s="6" t="s">
        <v>1311</v>
      </c>
      <c r="J444" s="7">
        <v>1</v>
      </c>
    </row>
    <row r="445" spans="1:10" x14ac:dyDescent="0.3">
      <c r="A445" s="6" t="s">
        <v>1804</v>
      </c>
      <c r="B445" s="6"/>
      <c r="C445" s="6" t="s">
        <v>1362</v>
      </c>
      <c r="D445" s="6" t="s">
        <v>1453</v>
      </c>
      <c r="E445" s="16">
        <v>94.55</v>
      </c>
      <c r="F445" s="16">
        <v>29.85</v>
      </c>
      <c r="G445" s="7">
        <v>360</v>
      </c>
      <c r="H445" s="6"/>
      <c r="I445" s="6" t="s">
        <v>1311</v>
      </c>
      <c r="J445" s="7">
        <v>1</v>
      </c>
    </row>
    <row r="446" spans="1:10" x14ac:dyDescent="0.3">
      <c r="A446" s="6" t="s">
        <v>1805</v>
      </c>
      <c r="B446" s="6"/>
      <c r="C446" s="6" t="s">
        <v>1362</v>
      </c>
      <c r="D446" s="6" t="s">
        <v>1453</v>
      </c>
      <c r="E446" s="16">
        <v>88.05</v>
      </c>
      <c r="F446" s="16">
        <v>29.85</v>
      </c>
      <c r="G446" s="7">
        <v>360</v>
      </c>
      <c r="H446" s="6"/>
      <c r="I446" s="6" t="s">
        <v>1311</v>
      </c>
      <c r="J446" s="7">
        <v>1</v>
      </c>
    </row>
    <row r="447" spans="1:10" x14ac:dyDescent="0.3">
      <c r="A447" s="6" t="s">
        <v>1806</v>
      </c>
      <c r="B447" s="6"/>
      <c r="C447" s="6" t="s">
        <v>1362</v>
      </c>
      <c r="D447" s="6" t="s">
        <v>1453</v>
      </c>
      <c r="E447" s="16">
        <v>81.55</v>
      </c>
      <c r="F447" s="16">
        <v>29.85</v>
      </c>
      <c r="G447" s="7">
        <v>360</v>
      </c>
      <c r="H447" s="6"/>
      <c r="I447" s="6" t="s">
        <v>1311</v>
      </c>
      <c r="J447" s="7">
        <v>1</v>
      </c>
    </row>
    <row r="448" spans="1:10" x14ac:dyDescent="0.3">
      <c r="A448" s="6" t="s">
        <v>1807</v>
      </c>
      <c r="B448" s="6"/>
      <c r="C448" s="6" t="s">
        <v>1362</v>
      </c>
      <c r="D448" s="6" t="s">
        <v>1453</v>
      </c>
      <c r="E448" s="16">
        <v>75.05</v>
      </c>
      <c r="F448" s="16">
        <v>29.85</v>
      </c>
      <c r="G448" s="7">
        <v>360</v>
      </c>
      <c r="H448" s="6"/>
      <c r="I448" s="6" t="s">
        <v>1311</v>
      </c>
      <c r="J448" s="7">
        <v>1</v>
      </c>
    </row>
    <row r="449" spans="1:10" x14ac:dyDescent="0.3">
      <c r="A449" s="6" t="s">
        <v>1808</v>
      </c>
      <c r="B449" s="6"/>
      <c r="C449" s="6" t="s">
        <v>1362</v>
      </c>
      <c r="D449" s="6" t="s">
        <v>1453</v>
      </c>
      <c r="E449" s="16">
        <v>68.55</v>
      </c>
      <c r="F449" s="16">
        <v>29.85</v>
      </c>
      <c r="G449" s="7">
        <v>360</v>
      </c>
      <c r="H449" s="6"/>
      <c r="I449" s="6" t="s">
        <v>1311</v>
      </c>
      <c r="J449" s="7">
        <v>1</v>
      </c>
    </row>
    <row r="450" spans="1:10" x14ac:dyDescent="0.3">
      <c r="A450" s="6" t="s">
        <v>1809</v>
      </c>
      <c r="B450" s="6"/>
      <c r="C450" s="6" t="s">
        <v>1362</v>
      </c>
      <c r="D450" s="6" t="s">
        <v>1453</v>
      </c>
      <c r="E450" s="16">
        <v>62.05</v>
      </c>
      <c r="F450" s="16">
        <v>29.85</v>
      </c>
      <c r="G450" s="7">
        <v>360</v>
      </c>
      <c r="H450" s="6"/>
      <c r="I450" s="6" t="s">
        <v>1311</v>
      </c>
      <c r="J450" s="7">
        <v>1</v>
      </c>
    </row>
    <row r="451" spans="1:10" x14ac:dyDescent="0.3">
      <c r="A451" s="6" t="s">
        <v>1810</v>
      </c>
      <c r="B451" s="6"/>
      <c r="C451" s="6" t="s">
        <v>1362</v>
      </c>
      <c r="D451" s="6" t="s">
        <v>1453</v>
      </c>
      <c r="E451" s="16">
        <v>55.55</v>
      </c>
      <c r="F451" s="16">
        <v>29.85</v>
      </c>
      <c r="G451" s="7">
        <v>360</v>
      </c>
      <c r="H451" s="6"/>
      <c r="I451" s="6" t="s">
        <v>1311</v>
      </c>
      <c r="J451" s="7">
        <v>1</v>
      </c>
    </row>
    <row r="452" spans="1:10" x14ac:dyDescent="0.3">
      <c r="A452" s="6" t="s">
        <v>1811</v>
      </c>
      <c r="B452" s="6"/>
      <c r="C452" s="6" t="s">
        <v>1362</v>
      </c>
      <c r="D452" s="6" t="s">
        <v>1453</v>
      </c>
      <c r="E452" s="16">
        <v>49.05</v>
      </c>
      <c r="F452" s="16">
        <v>29.85</v>
      </c>
      <c r="G452" s="7">
        <v>360</v>
      </c>
      <c r="H452" s="6"/>
      <c r="I452" s="6" t="s">
        <v>1311</v>
      </c>
      <c r="J452" s="7">
        <v>1</v>
      </c>
    </row>
    <row r="453" spans="1:10" x14ac:dyDescent="0.3">
      <c r="A453" s="6" t="s">
        <v>1812</v>
      </c>
      <c r="B453" s="6"/>
      <c r="C453" s="6" t="s">
        <v>1362</v>
      </c>
      <c r="D453" s="6" t="s">
        <v>1453</v>
      </c>
      <c r="E453" s="16">
        <v>42.55</v>
      </c>
      <c r="F453" s="16">
        <v>29.85</v>
      </c>
      <c r="G453" s="7">
        <v>360</v>
      </c>
      <c r="H453" s="6"/>
      <c r="I453" s="6" t="s">
        <v>1311</v>
      </c>
      <c r="J453" s="7">
        <v>1</v>
      </c>
    </row>
    <row r="454" spans="1:10" x14ac:dyDescent="0.3">
      <c r="A454" s="6" t="s">
        <v>1813</v>
      </c>
      <c r="B454" s="6"/>
      <c r="C454" s="6" t="s">
        <v>1362</v>
      </c>
      <c r="D454" s="6" t="s">
        <v>1453</v>
      </c>
      <c r="E454" s="16">
        <v>36.049999999999997</v>
      </c>
      <c r="F454" s="16">
        <v>29.85</v>
      </c>
      <c r="G454" s="7">
        <v>360</v>
      </c>
      <c r="H454" s="6"/>
      <c r="I454" s="6" t="s">
        <v>1311</v>
      </c>
      <c r="J454" s="7">
        <v>1</v>
      </c>
    </row>
    <row r="455" spans="1:10" x14ac:dyDescent="0.3">
      <c r="A455" s="6" t="s">
        <v>1814</v>
      </c>
      <c r="B455" s="6"/>
      <c r="C455" s="6" t="s">
        <v>1362</v>
      </c>
      <c r="D455" s="6" t="s">
        <v>1453</v>
      </c>
      <c r="E455" s="16">
        <v>29.55</v>
      </c>
      <c r="F455" s="16">
        <v>29.85</v>
      </c>
      <c r="G455" s="7">
        <v>360</v>
      </c>
      <c r="H455" s="6"/>
      <c r="I455" s="6" t="s">
        <v>1311</v>
      </c>
      <c r="J455" s="7">
        <v>1</v>
      </c>
    </row>
    <row r="456" spans="1:10" x14ac:dyDescent="0.3">
      <c r="A456" s="6" t="s">
        <v>1815</v>
      </c>
      <c r="B456" s="6"/>
      <c r="C456" s="6" t="s">
        <v>1362</v>
      </c>
      <c r="D456" s="6" t="s">
        <v>1453</v>
      </c>
      <c r="E456" s="16">
        <v>23.05</v>
      </c>
      <c r="F456" s="16">
        <v>29.85</v>
      </c>
      <c r="G456" s="7">
        <v>360</v>
      </c>
      <c r="H456" s="6"/>
      <c r="I456" s="6" t="s">
        <v>1311</v>
      </c>
      <c r="J456" s="7">
        <v>1</v>
      </c>
    </row>
    <row r="457" spans="1:10" x14ac:dyDescent="0.3">
      <c r="A457" s="6" t="s">
        <v>1816</v>
      </c>
      <c r="B457" s="6"/>
      <c r="C457" s="6" t="s">
        <v>1362</v>
      </c>
      <c r="D457" s="6" t="s">
        <v>1453</v>
      </c>
      <c r="E457" s="16">
        <v>16.55</v>
      </c>
      <c r="F457" s="16">
        <v>29.85</v>
      </c>
      <c r="G457" s="7">
        <v>360</v>
      </c>
      <c r="H457" s="6"/>
      <c r="I457" s="6" t="s">
        <v>1311</v>
      </c>
      <c r="J457" s="7">
        <v>1</v>
      </c>
    </row>
    <row r="458" spans="1:10" x14ac:dyDescent="0.3">
      <c r="A458" s="6" t="s">
        <v>1817</v>
      </c>
      <c r="B458" s="6"/>
      <c r="C458" s="6" t="s">
        <v>1362</v>
      </c>
      <c r="D458" s="6" t="s">
        <v>1453</v>
      </c>
      <c r="E458" s="16">
        <v>10.050000000000001</v>
      </c>
      <c r="F458" s="16">
        <v>29.85</v>
      </c>
      <c r="G458" s="7">
        <v>360</v>
      </c>
      <c r="H458" s="6"/>
      <c r="I458" s="6" t="s">
        <v>1311</v>
      </c>
      <c r="J458" s="7">
        <v>1</v>
      </c>
    </row>
    <row r="459" spans="1:10" x14ac:dyDescent="0.3">
      <c r="A459" s="6" t="s">
        <v>1818</v>
      </c>
      <c r="B459" s="6"/>
      <c r="C459" s="6" t="s">
        <v>1362</v>
      </c>
      <c r="D459" s="6" t="s">
        <v>1453</v>
      </c>
      <c r="E459" s="16">
        <v>3.55</v>
      </c>
      <c r="F459" s="16">
        <v>29.85</v>
      </c>
      <c r="G459" s="7">
        <v>360</v>
      </c>
      <c r="H459" s="6"/>
      <c r="I459" s="6" t="s">
        <v>1311</v>
      </c>
      <c r="J459" s="7">
        <v>1</v>
      </c>
    </row>
    <row r="460" spans="1:10" x14ac:dyDescent="0.3">
      <c r="A460" s="6" t="s">
        <v>1819</v>
      </c>
      <c r="B460" s="6"/>
      <c r="C460" s="6" t="s">
        <v>1362</v>
      </c>
      <c r="D460" s="6" t="s">
        <v>1453</v>
      </c>
      <c r="E460" s="16">
        <v>270.05</v>
      </c>
      <c r="F460" s="16">
        <v>23.35</v>
      </c>
      <c r="G460" s="7">
        <v>360</v>
      </c>
      <c r="H460" s="6"/>
      <c r="I460" s="6" t="s">
        <v>1311</v>
      </c>
      <c r="J460" s="7">
        <v>1</v>
      </c>
    </row>
    <row r="461" spans="1:10" x14ac:dyDescent="0.3">
      <c r="A461" s="6" t="s">
        <v>1820</v>
      </c>
      <c r="B461" s="6"/>
      <c r="C461" s="6" t="s">
        <v>1362</v>
      </c>
      <c r="D461" s="6" t="s">
        <v>1453</v>
      </c>
      <c r="E461" s="16">
        <v>263.55</v>
      </c>
      <c r="F461" s="16">
        <v>23.35</v>
      </c>
      <c r="G461" s="7">
        <v>360</v>
      </c>
      <c r="H461" s="6"/>
      <c r="I461" s="6" t="s">
        <v>1311</v>
      </c>
      <c r="J461" s="7">
        <v>1</v>
      </c>
    </row>
    <row r="462" spans="1:10" x14ac:dyDescent="0.3">
      <c r="A462" s="6" t="s">
        <v>1821</v>
      </c>
      <c r="B462" s="6"/>
      <c r="C462" s="6" t="s">
        <v>1362</v>
      </c>
      <c r="D462" s="6" t="s">
        <v>1453</v>
      </c>
      <c r="E462" s="16">
        <v>257.05</v>
      </c>
      <c r="F462" s="16">
        <v>23.35</v>
      </c>
      <c r="G462" s="7">
        <v>360</v>
      </c>
      <c r="H462" s="6"/>
      <c r="I462" s="6" t="s">
        <v>1311</v>
      </c>
      <c r="J462" s="7">
        <v>1</v>
      </c>
    </row>
    <row r="463" spans="1:10" x14ac:dyDescent="0.3">
      <c r="A463" s="6" t="s">
        <v>1822</v>
      </c>
      <c r="B463" s="6"/>
      <c r="C463" s="6" t="s">
        <v>1362</v>
      </c>
      <c r="D463" s="6" t="s">
        <v>1453</v>
      </c>
      <c r="E463" s="16">
        <v>250.55</v>
      </c>
      <c r="F463" s="16">
        <v>23.35</v>
      </c>
      <c r="G463" s="7">
        <v>360</v>
      </c>
      <c r="H463" s="6"/>
      <c r="I463" s="6" t="s">
        <v>1311</v>
      </c>
      <c r="J463" s="7">
        <v>1</v>
      </c>
    </row>
    <row r="464" spans="1:10" x14ac:dyDescent="0.3">
      <c r="A464" s="6" t="s">
        <v>1823</v>
      </c>
      <c r="B464" s="6"/>
      <c r="C464" s="6" t="s">
        <v>1362</v>
      </c>
      <c r="D464" s="6" t="s">
        <v>1453</v>
      </c>
      <c r="E464" s="16">
        <v>244.05</v>
      </c>
      <c r="F464" s="16">
        <v>23.35</v>
      </c>
      <c r="G464" s="7">
        <v>360</v>
      </c>
      <c r="H464" s="6"/>
      <c r="I464" s="6" t="s">
        <v>1311</v>
      </c>
      <c r="J464" s="7">
        <v>1</v>
      </c>
    </row>
    <row r="465" spans="1:10" x14ac:dyDescent="0.3">
      <c r="A465" s="6" t="s">
        <v>1824</v>
      </c>
      <c r="B465" s="6"/>
      <c r="C465" s="6" t="s">
        <v>1362</v>
      </c>
      <c r="D465" s="6" t="s">
        <v>1453</v>
      </c>
      <c r="E465" s="16">
        <v>237.55</v>
      </c>
      <c r="F465" s="16">
        <v>23.35</v>
      </c>
      <c r="G465" s="7">
        <v>360</v>
      </c>
      <c r="H465" s="6"/>
      <c r="I465" s="6" t="s">
        <v>1311</v>
      </c>
      <c r="J465" s="7">
        <v>1</v>
      </c>
    </row>
    <row r="466" spans="1:10" x14ac:dyDescent="0.3">
      <c r="A466" s="6" t="s">
        <v>1825</v>
      </c>
      <c r="B466" s="6"/>
      <c r="C466" s="6" t="s">
        <v>1362</v>
      </c>
      <c r="D466" s="6" t="s">
        <v>1453</v>
      </c>
      <c r="E466" s="16">
        <v>231.05</v>
      </c>
      <c r="F466" s="16">
        <v>23.35</v>
      </c>
      <c r="G466" s="7">
        <v>360</v>
      </c>
      <c r="H466" s="6"/>
      <c r="I466" s="6" t="s">
        <v>1311</v>
      </c>
      <c r="J466" s="7">
        <v>1</v>
      </c>
    </row>
    <row r="467" spans="1:10" x14ac:dyDescent="0.3">
      <c r="A467" s="6" t="s">
        <v>1826</v>
      </c>
      <c r="B467" s="6"/>
      <c r="C467" s="6" t="s">
        <v>1362</v>
      </c>
      <c r="D467" s="6" t="s">
        <v>1453</v>
      </c>
      <c r="E467" s="16">
        <v>224.55</v>
      </c>
      <c r="F467" s="16">
        <v>23.35</v>
      </c>
      <c r="G467" s="7">
        <v>360</v>
      </c>
      <c r="H467" s="6"/>
      <c r="I467" s="6" t="s">
        <v>1311</v>
      </c>
      <c r="J467" s="7">
        <v>1</v>
      </c>
    </row>
    <row r="468" spans="1:10" x14ac:dyDescent="0.3">
      <c r="A468" s="6" t="s">
        <v>1827</v>
      </c>
      <c r="B468" s="6"/>
      <c r="C468" s="6" t="s">
        <v>1362</v>
      </c>
      <c r="D468" s="6" t="s">
        <v>1453</v>
      </c>
      <c r="E468" s="16">
        <v>218.05</v>
      </c>
      <c r="F468" s="16">
        <v>23.35</v>
      </c>
      <c r="G468" s="7">
        <v>360</v>
      </c>
      <c r="H468" s="6"/>
      <c r="I468" s="6" t="s">
        <v>1311</v>
      </c>
      <c r="J468" s="7">
        <v>1</v>
      </c>
    </row>
    <row r="469" spans="1:10" x14ac:dyDescent="0.3">
      <c r="A469" s="6" t="s">
        <v>1828</v>
      </c>
      <c r="B469" s="6"/>
      <c r="C469" s="6" t="s">
        <v>1362</v>
      </c>
      <c r="D469" s="6" t="s">
        <v>1453</v>
      </c>
      <c r="E469" s="16">
        <v>211.55</v>
      </c>
      <c r="F469" s="16">
        <v>23.35</v>
      </c>
      <c r="G469" s="7">
        <v>360</v>
      </c>
      <c r="H469" s="6"/>
      <c r="I469" s="6" t="s">
        <v>1311</v>
      </c>
      <c r="J469" s="7">
        <v>1</v>
      </c>
    </row>
    <row r="470" spans="1:10" x14ac:dyDescent="0.3">
      <c r="A470" s="6" t="s">
        <v>1829</v>
      </c>
      <c r="B470" s="6"/>
      <c r="C470" s="6" t="s">
        <v>1362</v>
      </c>
      <c r="D470" s="6" t="s">
        <v>1453</v>
      </c>
      <c r="E470" s="16">
        <v>205.05</v>
      </c>
      <c r="F470" s="16">
        <v>23.35</v>
      </c>
      <c r="G470" s="7">
        <v>360</v>
      </c>
      <c r="H470" s="6"/>
      <c r="I470" s="6" t="s">
        <v>1311</v>
      </c>
      <c r="J470" s="7">
        <v>1</v>
      </c>
    </row>
    <row r="471" spans="1:10" x14ac:dyDescent="0.3">
      <c r="A471" s="6" t="s">
        <v>1830</v>
      </c>
      <c r="B471" s="6"/>
      <c r="C471" s="6" t="s">
        <v>1362</v>
      </c>
      <c r="D471" s="6" t="s">
        <v>1453</v>
      </c>
      <c r="E471" s="16">
        <v>198.55</v>
      </c>
      <c r="F471" s="16">
        <v>23.35</v>
      </c>
      <c r="G471" s="7">
        <v>360</v>
      </c>
      <c r="H471" s="6"/>
      <c r="I471" s="6" t="s">
        <v>1311</v>
      </c>
      <c r="J471" s="7">
        <v>1</v>
      </c>
    </row>
    <row r="472" spans="1:10" x14ac:dyDescent="0.3">
      <c r="A472" s="6" t="s">
        <v>1831</v>
      </c>
      <c r="B472" s="6"/>
      <c r="C472" s="6" t="s">
        <v>1362</v>
      </c>
      <c r="D472" s="6" t="s">
        <v>1453</v>
      </c>
      <c r="E472" s="16">
        <v>192.05</v>
      </c>
      <c r="F472" s="16">
        <v>23.35</v>
      </c>
      <c r="G472" s="7">
        <v>360</v>
      </c>
      <c r="H472" s="6"/>
      <c r="I472" s="6" t="s">
        <v>1311</v>
      </c>
      <c r="J472" s="7">
        <v>1</v>
      </c>
    </row>
    <row r="473" spans="1:10" x14ac:dyDescent="0.3">
      <c r="A473" s="6" t="s">
        <v>1832</v>
      </c>
      <c r="B473" s="6"/>
      <c r="C473" s="6" t="s">
        <v>1362</v>
      </c>
      <c r="D473" s="6" t="s">
        <v>1453</v>
      </c>
      <c r="E473" s="16">
        <v>185.55</v>
      </c>
      <c r="F473" s="16">
        <v>23.35</v>
      </c>
      <c r="G473" s="7">
        <v>360</v>
      </c>
      <c r="H473" s="6"/>
      <c r="I473" s="6" t="s">
        <v>1311</v>
      </c>
      <c r="J473" s="7">
        <v>1</v>
      </c>
    </row>
    <row r="474" spans="1:10" x14ac:dyDescent="0.3">
      <c r="A474" s="6" t="s">
        <v>1833</v>
      </c>
      <c r="B474" s="6"/>
      <c r="C474" s="6" t="s">
        <v>1362</v>
      </c>
      <c r="D474" s="6" t="s">
        <v>1453</v>
      </c>
      <c r="E474" s="16">
        <v>179.05</v>
      </c>
      <c r="F474" s="16">
        <v>23.35</v>
      </c>
      <c r="G474" s="7">
        <v>360</v>
      </c>
      <c r="H474" s="6"/>
      <c r="I474" s="6" t="s">
        <v>1311</v>
      </c>
      <c r="J474" s="7">
        <v>1</v>
      </c>
    </row>
    <row r="475" spans="1:10" x14ac:dyDescent="0.3">
      <c r="A475" s="6" t="s">
        <v>1834</v>
      </c>
      <c r="B475" s="6"/>
      <c r="C475" s="6" t="s">
        <v>1362</v>
      </c>
      <c r="D475" s="6" t="s">
        <v>1453</v>
      </c>
      <c r="E475" s="16">
        <v>172.55</v>
      </c>
      <c r="F475" s="16">
        <v>23.35</v>
      </c>
      <c r="G475" s="7">
        <v>360</v>
      </c>
      <c r="H475" s="6"/>
      <c r="I475" s="6" t="s">
        <v>1311</v>
      </c>
      <c r="J475" s="7">
        <v>1</v>
      </c>
    </row>
    <row r="476" spans="1:10" x14ac:dyDescent="0.3">
      <c r="A476" s="6" t="s">
        <v>1835</v>
      </c>
      <c r="B476" s="6"/>
      <c r="C476" s="6" t="s">
        <v>1362</v>
      </c>
      <c r="D476" s="6" t="s">
        <v>1453</v>
      </c>
      <c r="E476" s="16">
        <v>166.05</v>
      </c>
      <c r="F476" s="16">
        <v>23.35</v>
      </c>
      <c r="G476" s="7">
        <v>360</v>
      </c>
      <c r="H476" s="6"/>
      <c r="I476" s="6" t="s">
        <v>1311</v>
      </c>
      <c r="J476" s="7">
        <v>1</v>
      </c>
    </row>
    <row r="477" spans="1:10" x14ac:dyDescent="0.3">
      <c r="A477" s="6" t="s">
        <v>1836</v>
      </c>
      <c r="B477" s="6"/>
      <c r="C477" s="6" t="s">
        <v>1362</v>
      </c>
      <c r="D477" s="6" t="s">
        <v>1453</v>
      </c>
      <c r="E477" s="16">
        <v>159.55000000000001</v>
      </c>
      <c r="F477" s="16">
        <v>23.35</v>
      </c>
      <c r="G477" s="7">
        <v>360</v>
      </c>
      <c r="H477" s="6"/>
      <c r="I477" s="6" t="s">
        <v>1311</v>
      </c>
      <c r="J477" s="7">
        <v>1</v>
      </c>
    </row>
    <row r="478" spans="1:10" x14ac:dyDescent="0.3">
      <c r="A478" s="6" t="s">
        <v>1837</v>
      </c>
      <c r="B478" s="6"/>
      <c r="C478" s="6" t="s">
        <v>1362</v>
      </c>
      <c r="D478" s="6" t="s">
        <v>1453</v>
      </c>
      <c r="E478" s="16">
        <v>153.05000000000001</v>
      </c>
      <c r="F478" s="16">
        <v>23.35</v>
      </c>
      <c r="G478" s="7">
        <v>360</v>
      </c>
      <c r="H478" s="6"/>
      <c r="I478" s="6" t="s">
        <v>1311</v>
      </c>
      <c r="J478" s="7">
        <v>1</v>
      </c>
    </row>
    <row r="479" spans="1:10" x14ac:dyDescent="0.3">
      <c r="A479" s="6" t="s">
        <v>1838</v>
      </c>
      <c r="B479" s="6"/>
      <c r="C479" s="6" t="s">
        <v>1362</v>
      </c>
      <c r="D479" s="6" t="s">
        <v>1453</v>
      </c>
      <c r="E479" s="16">
        <v>146.55000000000001</v>
      </c>
      <c r="F479" s="16">
        <v>23.35</v>
      </c>
      <c r="G479" s="7">
        <v>360</v>
      </c>
      <c r="H479" s="6"/>
      <c r="I479" s="6" t="s">
        <v>1311</v>
      </c>
      <c r="J479" s="7">
        <v>1</v>
      </c>
    </row>
    <row r="480" spans="1:10" x14ac:dyDescent="0.3">
      <c r="A480" s="6" t="s">
        <v>1839</v>
      </c>
      <c r="B480" s="6"/>
      <c r="C480" s="6" t="s">
        <v>1362</v>
      </c>
      <c r="D480" s="6" t="s">
        <v>1453</v>
      </c>
      <c r="E480" s="16">
        <v>140.05000000000001</v>
      </c>
      <c r="F480" s="16">
        <v>23.35</v>
      </c>
      <c r="G480" s="7">
        <v>360</v>
      </c>
      <c r="H480" s="6"/>
      <c r="I480" s="6" t="s">
        <v>1311</v>
      </c>
      <c r="J480" s="7">
        <v>1</v>
      </c>
    </row>
    <row r="481" spans="1:10" x14ac:dyDescent="0.3">
      <c r="A481" s="6" t="s">
        <v>1840</v>
      </c>
      <c r="B481" s="6"/>
      <c r="C481" s="6" t="s">
        <v>1362</v>
      </c>
      <c r="D481" s="6" t="s">
        <v>1453</v>
      </c>
      <c r="E481" s="16">
        <v>133.55000000000001</v>
      </c>
      <c r="F481" s="16">
        <v>23.35</v>
      </c>
      <c r="G481" s="7">
        <v>360</v>
      </c>
      <c r="H481" s="6"/>
      <c r="I481" s="6" t="s">
        <v>1311</v>
      </c>
      <c r="J481" s="7">
        <v>1</v>
      </c>
    </row>
    <row r="482" spans="1:10" x14ac:dyDescent="0.3">
      <c r="A482" s="6" t="s">
        <v>1841</v>
      </c>
      <c r="B482" s="6"/>
      <c r="C482" s="6" t="s">
        <v>1362</v>
      </c>
      <c r="D482" s="6" t="s">
        <v>1453</v>
      </c>
      <c r="E482" s="16">
        <v>127.05</v>
      </c>
      <c r="F482" s="16">
        <v>23.35</v>
      </c>
      <c r="G482" s="7">
        <v>360</v>
      </c>
      <c r="H482" s="6"/>
      <c r="I482" s="6" t="s">
        <v>1311</v>
      </c>
      <c r="J482" s="7">
        <v>1</v>
      </c>
    </row>
    <row r="483" spans="1:10" x14ac:dyDescent="0.3">
      <c r="A483" s="6" t="s">
        <v>1842</v>
      </c>
      <c r="B483" s="6"/>
      <c r="C483" s="6" t="s">
        <v>1362</v>
      </c>
      <c r="D483" s="6" t="s">
        <v>1453</v>
      </c>
      <c r="E483" s="16">
        <v>120.55</v>
      </c>
      <c r="F483" s="16">
        <v>23.35</v>
      </c>
      <c r="G483" s="7">
        <v>360</v>
      </c>
      <c r="H483" s="6"/>
      <c r="I483" s="6" t="s">
        <v>1311</v>
      </c>
      <c r="J483" s="7">
        <v>1</v>
      </c>
    </row>
    <row r="484" spans="1:10" x14ac:dyDescent="0.3">
      <c r="A484" s="6" t="s">
        <v>1843</v>
      </c>
      <c r="B484" s="6"/>
      <c r="C484" s="6" t="s">
        <v>1362</v>
      </c>
      <c r="D484" s="6" t="s">
        <v>1453</v>
      </c>
      <c r="E484" s="16">
        <v>114.05</v>
      </c>
      <c r="F484" s="16">
        <v>23.35</v>
      </c>
      <c r="G484" s="7">
        <v>360</v>
      </c>
      <c r="H484" s="6"/>
      <c r="I484" s="6" t="s">
        <v>1311</v>
      </c>
      <c r="J484" s="7">
        <v>1</v>
      </c>
    </row>
    <row r="485" spans="1:10" x14ac:dyDescent="0.3">
      <c r="A485" s="6" t="s">
        <v>1844</v>
      </c>
      <c r="B485" s="6"/>
      <c r="C485" s="6" t="s">
        <v>1362</v>
      </c>
      <c r="D485" s="6" t="s">
        <v>1453</v>
      </c>
      <c r="E485" s="16">
        <v>107.55</v>
      </c>
      <c r="F485" s="16">
        <v>23.35</v>
      </c>
      <c r="G485" s="7">
        <v>360</v>
      </c>
      <c r="H485" s="6"/>
      <c r="I485" s="6" t="s">
        <v>1311</v>
      </c>
      <c r="J485" s="7">
        <v>1</v>
      </c>
    </row>
    <row r="486" spans="1:10" x14ac:dyDescent="0.3">
      <c r="A486" s="6" t="s">
        <v>1845</v>
      </c>
      <c r="B486" s="6"/>
      <c r="C486" s="6" t="s">
        <v>1362</v>
      </c>
      <c r="D486" s="6" t="s">
        <v>1453</v>
      </c>
      <c r="E486" s="16">
        <v>101.05</v>
      </c>
      <c r="F486" s="16">
        <v>23.35</v>
      </c>
      <c r="G486" s="7">
        <v>360</v>
      </c>
      <c r="H486" s="6"/>
      <c r="I486" s="6" t="s">
        <v>1311</v>
      </c>
      <c r="J486" s="7">
        <v>1</v>
      </c>
    </row>
    <row r="487" spans="1:10" x14ac:dyDescent="0.3">
      <c r="A487" s="6" t="s">
        <v>1846</v>
      </c>
      <c r="B487" s="6"/>
      <c r="C487" s="6" t="s">
        <v>1362</v>
      </c>
      <c r="D487" s="6" t="s">
        <v>1453</v>
      </c>
      <c r="E487" s="16">
        <v>94.55</v>
      </c>
      <c r="F487" s="16">
        <v>23.35</v>
      </c>
      <c r="G487" s="7">
        <v>360</v>
      </c>
      <c r="H487" s="6"/>
      <c r="I487" s="6" t="s">
        <v>1311</v>
      </c>
      <c r="J487" s="7">
        <v>1</v>
      </c>
    </row>
    <row r="488" spans="1:10" x14ac:dyDescent="0.3">
      <c r="A488" s="6" t="s">
        <v>1847</v>
      </c>
      <c r="B488" s="6"/>
      <c r="C488" s="6" t="s">
        <v>1362</v>
      </c>
      <c r="D488" s="6" t="s">
        <v>1453</v>
      </c>
      <c r="E488" s="16">
        <v>88.05</v>
      </c>
      <c r="F488" s="16">
        <v>23.35</v>
      </c>
      <c r="G488" s="7">
        <v>360</v>
      </c>
      <c r="H488" s="6"/>
      <c r="I488" s="6" t="s">
        <v>1311</v>
      </c>
      <c r="J488" s="7">
        <v>1</v>
      </c>
    </row>
    <row r="489" spans="1:10" x14ac:dyDescent="0.3">
      <c r="A489" s="6" t="s">
        <v>1848</v>
      </c>
      <c r="B489" s="6"/>
      <c r="C489" s="6" t="s">
        <v>1362</v>
      </c>
      <c r="D489" s="6" t="s">
        <v>1453</v>
      </c>
      <c r="E489" s="16">
        <v>81.55</v>
      </c>
      <c r="F489" s="16">
        <v>23.35</v>
      </c>
      <c r="G489" s="7">
        <v>360</v>
      </c>
      <c r="H489" s="6"/>
      <c r="I489" s="6" t="s">
        <v>1311</v>
      </c>
      <c r="J489" s="7">
        <v>1</v>
      </c>
    </row>
    <row r="490" spans="1:10" x14ac:dyDescent="0.3">
      <c r="A490" s="6" t="s">
        <v>1849</v>
      </c>
      <c r="B490" s="6"/>
      <c r="C490" s="6" t="s">
        <v>1362</v>
      </c>
      <c r="D490" s="6" t="s">
        <v>1453</v>
      </c>
      <c r="E490" s="16">
        <v>75.05</v>
      </c>
      <c r="F490" s="16">
        <v>23.35</v>
      </c>
      <c r="G490" s="7">
        <v>360</v>
      </c>
      <c r="H490" s="6"/>
      <c r="I490" s="6" t="s">
        <v>1311</v>
      </c>
      <c r="J490" s="7">
        <v>1</v>
      </c>
    </row>
    <row r="491" spans="1:10" x14ac:dyDescent="0.3">
      <c r="A491" s="6" t="s">
        <v>1850</v>
      </c>
      <c r="B491" s="6"/>
      <c r="C491" s="6" t="s">
        <v>1362</v>
      </c>
      <c r="D491" s="6" t="s">
        <v>1453</v>
      </c>
      <c r="E491" s="16">
        <v>68.55</v>
      </c>
      <c r="F491" s="16">
        <v>23.35</v>
      </c>
      <c r="G491" s="7">
        <v>360</v>
      </c>
      <c r="H491" s="6"/>
      <c r="I491" s="6" t="s">
        <v>1311</v>
      </c>
      <c r="J491" s="7">
        <v>1</v>
      </c>
    </row>
    <row r="492" spans="1:10" x14ac:dyDescent="0.3">
      <c r="A492" s="6" t="s">
        <v>1851</v>
      </c>
      <c r="B492" s="6"/>
      <c r="C492" s="6" t="s">
        <v>1362</v>
      </c>
      <c r="D492" s="6" t="s">
        <v>1453</v>
      </c>
      <c r="E492" s="16">
        <v>62.05</v>
      </c>
      <c r="F492" s="16">
        <v>23.35</v>
      </c>
      <c r="G492" s="7">
        <v>360</v>
      </c>
      <c r="H492" s="6"/>
      <c r="I492" s="6" t="s">
        <v>1311</v>
      </c>
      <c r="J492" s="7">
        <v>1</v>
      </c>
    </row>
    <row r="493" spans="1:10" x14ac:dyDescent="0.3">
      <c r="A493" s="6" t="s">
        <v>1852</v>
      </c>
      <c r="B493" s="6"/>
      <c r="C493" s="6" t="s">
        <v>1362</v>
      </c>
      <c r="D493" s="6" t="s">
        <v>1453</v>
      </c>
      <c r="E493" s="16">
        <v>55.55</v>
      </c>
      <c r="F493" s="16">
        <v>23.35</v>
      </c>
      <c r="G493" s="7">
        <v>360</v>
      </c>
      <c r="H493" s="6"/>
      <c r="I493" s="6" t="s">
        <v>1311</v>
      </c>
      <c r="J493" s="7">
        <v>1</v>
      </c>
    </row>
    <row r="494" spans="1:10" x14ac:dyDescent="0.3">
      <c r="A494" s="6" t="s">
        <v>1853</v>
      </c>
      <c r="B494" s="6"/>
      <c r="C494" s="6" t="s">
        <v>1362</v>
      </c>
      <c r="D494" s="6" t="s">
        <v>1453</v>
      </c>
      <c r="E494" s="16">
        <v>49.05</v>
      </c>
      <c r="F494" s="16">
        <v>23.35</v>
      </c>
      <c r="G494" s="7">
        <v>360</v>
      </c>
      <c r="H494" s="6"/>
      <c r="I494" s="6" t="s">
        <v>1311</v>
      </c>
      <c r="J494" s="7">
        <v>1</v>
      </c>
    </row>
    <row r="495" spans="1:10" x14ac:dyDescent="0.3">
      <c r="A495" s="6" t="s">
        <v>1854</v>
      </c>
      <c r="B495" s="6"/>
      <c r="C495" s="6" t="s">
        <v>1362</v>
      </c>
      <c r="D495" s="6" t="s">
        <v>1453</v>
      </c>
      <c r="E495" s="16">
        <v>42.55</v>
      </c>
      <c r="F495" s="16">
        <v>23.35</v>
      </c>
      <c r="G495" s="7">
        <v>360</v>
      </c>
      <c r="H495" s="6"/>
      <c r="I495" s="6" t="s">
        <v>1311</v>
      </c>
      <c r="J495" s="7">
        <v>1</v>
      </c>
    </row>
    <row r="496" spans="1:10" x14ac:dyDescent="0.3">
      <c r="A496" s="6" t="s">
        <v>1855</v>
      </c>
      <c r="B496" s="6"/>
      <c r="C496" s="6" t="s">
        <v>1362</v>
      </c>
      <c r="D496" s="6" t="s">
        <v>1453</v>
      </c>
      <c r="E496" s="16">
        <v>36.049999999999997</v>
      </c>
      <c r="F496" s="16">
        <v>23.35</v>
      </c>
      <c r="G496" s="7">
        <v>360</v>
      </c>
      <c r="H496" s="6"/>
      <c r="I496" s="6" t="s">
        <v>1311</v>
      </c>
      <c r="J496" s="7">
        <v>1</v>
      </c>
    </row>
    <row r="497" spans="1:10" x14ac:dyDescent="0.3">
      <c r="A497" s="6" t="s">
        <v>1856</v>
      </c>
      <c r="B497" s="6"/>
      <c r="C497" s="6" t="s">
        <v>1362</v>
      </c>
      <c r="D497" s="6" t="s">
        <v>1453</v>
      </c>
      <c r="E497" s="16">
        <v>29.55</v>
      </c>
      <c r="F497" s="16">
        <v>23.35</v>
      </c>
      <c r="G497" s="7">
        <v>360</v>
      </c>
      <c r="H497" s="6"/>
      <c r="I497" s="6" t="s">
        <v>1311</v>
      </c>
      <c r="J497" s="7">
        <v>1</v>
      </c>
    </row>
    <row r="498" spans="1:10" x14ac:dyDescent="0.3">
      <c r="A498" s="6" t="s">
        <v>1857</v>
      </c>
      <c r="B498" s="6"/>
      <c r="C498" s="6" t="s">
        <v>1362</v>
      </c>
      <c r="D498" s="6" t="s">
        <v>1453</v>
      </c>
      <c r="E498" s="16">
        <v>23.05</v>
      </c>
      <c r="F498" s="16">
        <v>23.35</v>
      </c>
      <c r="G498" s="7">
        <v>360</v>
      </c>
      <c r="H498" s="6"/>
      <c r="I498" s="6" t="s">
        <v>1311</v>
      </c>
      <c r="J498" s="7">
        <v>1</v>
      </c>
    </row>
    <row r="499" spans="1:10" x14ac:dyDescent="0.3">
      <c r="A499" s="6" t="s">
        <v>1858</v>
      </c>
      <c r="B499" s="6"/>
      <c r="C499" s="6" t="s">
        <v>1362</v>
      </c>
      <c r="D499" s="6" t="s">
        <v>1453</v>
      </c>
      <c r="E499" s="16">
        <v>16.55</v>
      </c>
      <c r="F499" s="16">
        <v>23.35</v>
      </c>
      <c r="G499" s="7">
        <v>360</v>
      </c>
      <c r="H499" s="6"/>
      <c r="I499" s="6" t="s">
        <v>1311</v>
      </c>
      <c r="J499" s="7">
        <v>1</v>
      </c>
    </row>
    <row r="500" spans="1:10" x14ac:dyDescent="0.3">
      <c r="A500" s="6" t="s">
        <v>1859</v>
      </c>
      <c r="B500" s="6"/>
      <c r="C500" s="6" t="s">
        <v>1362</v>
      </c>
      <c r="D500" s="6" t="s">
        <v>1453</v>
      </c>
      <c r="E500" s="16">
        <v>10.050000000000001</v>
      </c>
      <c r="F500" s="16">
        <v>23.35</v>
      </c>
      <c r="G500" s="7">
        <v>360</v>
      </c>
      <c r="H500" s="6"/>
      <c r="I500" s="6" t="s">
        <v>1311</v>
      </c>
      <c r="J500" s="7">
        <v>1</v>
      </c>
    </row>
    <row r="501" spans="1:10" x14ac:dyDescent="0.3">
      <c r="A501" s="6" t="s">
        <v>1860</v>
      </c>
      <c r="B501" s="6"/>
      <c r="C501" s="6" t="s">
        <v>1362</v>
      </c>
      <c r="D501" s="6" t="s">
        <v>1453</v>
      </c>
      <c r="E501" s="16">
        <v>3.55</v>
      </c>
      <c r="F501" s="16">
        <v>23.35</v>
      </c>
      <c r="G501" s="7">
        <v>360</v>
      </c>
      <c r="H501" s="6"/>
      <c r="I501" s="6" t="s">
        <v>1311</v>
      </c>
      <c r="J501" s="7">
        <v>1</v>
      </c>
    </row>
    <row r="502" spans="1:10" x14ac:dyDescent="0.3">
      <c r="A502" s="6" t="s">
        <v>1861</v>
      </c>
      <c r="B502" s="6"/>
      <c r="C502" s="6" t="s">
        <v>1362</v>
      </c>
      <c r="D502" s="6" t="s">
        <v>1453</v>
      </c>
      <c r="E502" s="16">
        <v>270.05</v>
      </c>
      <c r="F502" s="16">
        <v>16.850000000000001</v>
      </c>
      <c r="G502" s="7">
        <v>360</v>
      </c>
      <c r="H502" s="6"/>
      <c r="I502" s="6" t="s">
        <v>1311</v>
      </c>
      <c r="J502" s="7">
        <v>1</v>
      </c>
    </row>
    <row r="503" spans="1:10" x14ac:dyDescent="0.3">
      <c r="A503" s="6" t="s">
        <v>1862</v>
      </c>
      <c r="B503" s="6"/>
      <c r="C503" s="6" t="s">
        <v>1362</v>
      </c>
      <c r="D503" s="6" t="s">
        <v>1453</v>
      </c>
      <c r="E503" s="16">
        <v>263.55</v>
      </c>
      <c r="F503" s="16">
        <v>16.850000000000001</v>
      </c>
      <c r="G503" s="7">
        <v>360</v>
      </c>
      <c r="H503" s="6"/>
      <c r="I503" s="6" t="s">
        <v>1311</v>
      </c>
      <c r="J503" s="7">
        <v>1</v>
      </c>
    </row>
    <row r="504" spans="1:10" x14ac:dyDescent="0.3">
      <c r="A504" s="6" t="s">
        <v>1863</v>
      </c>
      <c r="B504" s="6"/>
      <c r="C504" s="6" t="s">
        <v>1362</v>
      </c>
      <c r="D504" s="6" t="s">
        <v>1453</v>
      </c>
      <c r="E504" s="16">
        <v>257.05</v>
      </c>
      <c r="F504" s="16">
        <v>16.850000000000001</v>
      </c>
      <c r="G504" s="7">
        <v>360</v>
      </c>
      <c r="H504" s="6"/>
      <c r="I504" s="6" t="s">
        <v>1311</v>
      </c>
      <c r="J504" s="7">
        <v>1</v>
      </c>
    </row>
    <row r="505" spans="1:10" x14ac:dyDescent="0.3">
      <c r="A505" s="6" t="s">
        <v>1864</v>
      </c>
      <c r="B505" s="6"/>
      <c r="C505" s="6" t="s">
        <v>1362</v>
      </c>
      <c r="D505" s="6" t="s">
        <v>1453</v>
      </c>
      <c r="E505" s="16">
        <v>250.55</v>
      </c>
      <c r="F505" s="16">
        <v>16.850000000000001</v>
      </c>
      <c r="G505" s="7">
        <v>360</v>
      </c>
      <c r="H505" s="6"/>
      <c r="I505" s="6" t="s">
        <v>1311</v>
      </c>
      <c r="J505" s="7">
        <v>1</v>
      </c>
    </row>
    <row r="506" spans="1:10" x14ac:dyDescent="0.3">
      <c r="A506" s="6" t="s">
        <v>1865</v>
      </c>
      <c r="B506" s="6"/>
      <c r="C506" s="6" t="s">
        <v>1362</v>
      </c>
      <c r="D506" s="6" t="s">
        <v>1453</v>
      </c>
      <c r="E506" s="16">
        <v>244.05</v>
      </c>
      <c r="F506" s="16">
        <v>16.850000000000001</v>
      </c>
      <c r="G506" s="7">
        <v>360</v>
      </c>
      <c r="H506" s="6"/>
      <c r="I506" s="6" t="s">
        <v>1311</v>
      </c>
      <c r="J506" s="7">
        <v>1</v>
      </c>
    </row>
    <row r="507" spans="1:10" x14ac:dyDescent="0.3">
      <c r="A507" s="6" t="s">
        <v>1866</v>
      </c>
      <c r="B507" s="6"/>
      <c r="C507" s="6" t="s">
        <v>1362</v>
      </c>
      <c r="D507" s="6" t="s">
        <v>1453</v>
      </c>
      <c r="E507" s="16">
        <v>237.55</v>
      </c>
      <c r="F507" s="16">
        <v>16.850000000000001</v>
      </c>
      <c r="G507" s="7">
        <v>360</v>
      </c>
      <c r="H507" s="6"/>
      <c r="I507" s="6" t="s">
        <v>1311</v>
      </c>
      <c r="J507" s="7">
        <v>1</v>
      </c>
    </row>
    <row r="508" spans="1:10" x14ac:dyDescent="0.3">
      <c r="A508" s="6" t="s">
        <v>1867</v>
      </c>
      <c r="B508" s="6"/>
      <c r="C508" s="6" t="s">
        <v>1362</v>
      </c>
      <c r="D508" s="6" t="s">
        <v>1453</v>
      </c>
      <c r="E508" s="16">
        <v>231.05</v>
      </c>
      <c r="F508" s="16">
        <v>16.850000000000001</v>
      </c>
      <c r="G508" s="7">
        <v>360</v>
      </c>
      <c r="H508" s="6"/>
      <c r="I508" s="6" t="s">
        <v>1311</v>
      </c>
      <c r="J508" s="7">
        <v>1</v>
      </c>
    </row>
    <row r="509" spans="1:10" x14ac:dyDescent="0.3">
      <c r="A509" s="6" t="s">
        <v>1868</v>
      </c>
      <c r="B509" s="6"/>
      <c r="C509" s="6" t="s">
        <v>1362</v>
      </c>
      <c r="D509" s="6" t="s">
        <v>1453</v>
      </c>
      <c r="E509" s="16">
        <v>224.55</v>
      </c>
      <c r="F509" s="16">
        <v>16.850000000000001</v>
      </c>
      <c r="G509" s="7">
        <v>360</v>
      </c>
      <c r="H509" s="6"/>
      <c r="I509" s="6" t="s">
        <v>1311</v>
      </c>
      <c r="J509" s="7">
        <v>1</v>
      </c>
    </row>
    <row r="510" spans="1:10" x14ac:dyDescent="0.3">
      <c r="A510" s="6" t="s">
        <v>1869</v>
      </c>
      <c r="B510" s="6"/>
      <c r="C510" s="6" t="s">
        <v>1362</v>
      </c>
      <c r="D510" s="6" t="s">
        <v>1453</v>
      </c>
      <c r="E510" s="16">
        <v>218.05</v>
      </c>
      <c r="F510" s="16">
        <v>16.850000000000001</v>
      </c>
      <c r="G510" s="7">
        <v>360</v>
      </c>
      <c r="H510" s="6"/>
      <c r="I510" s="6" t="s">
        <v>1311</v>
      </c>
      <c r="J510" s="7">
        <v>1</v>
      </c>
    </row>
    <row r="511" spans="1:10" x14ac:dyDescent="0.3">
      <c r="A511" s="6" t="s">
        <v>1870</v>
      </c>
      <c r="B511" s="6"/>
      <c r="C511" s="6" t="s">
        <v>1362</v>
      </c>
      <c r="D511" s="6" t="s">
        <v>1453</v>
      </c>
      <c r="E511" s="16">
        <v>211.55</v>
      </c>
      <c r="F511" s="16">
        <v>16.850000000000001</v>
      </c>
      <c r="G511" s="7">
        <v>360</v>
      </c>
      <c r="H511" s="6"/>
      <c r="I511" s="6" t="s">
        <v>1311</v>
      </c>
      <c r="J511" s="7">
        <v>1</v>
      </c>
    </row>
    <row r="512" spans="1:10" x14ac:dyDescent="0.3">
      <c r="A512" s="6" t="s">
        <v>1871</v>
      </c>
      <c r="B512" s="6"/>
      <c r="C512" s="6" t="s">
        <v>1362</v>
      </c>
      <c r="D512" s="6" t="s">
        <v>1453</v>
      </c>
      <c r="E512" s="16">
        <v>205.05</v>
      </c>
      <c r="F512" s="16">
        <v>16.850000000000001</v>
      </c>
      <c r="G512" s="7">
        <v>360</v>
      </c>
      <c r="H512" s="6"/>
      <c r="I512" s="6" t="s">
        <v>1311</v>
      </c>
      <c r="J512" s="7">
        <v>1</v>
      </c>
    </row>
    <row r="513" spans="1:10" x14ac:dyDescent="0.3">
      <c r="A513" s="6" t="s">
        <v>1872</v>
      </c>
      <c r="B513" s="6"/>
      <c r="C513" s="6" t="s">
        <v>1362</v>
      </c>
      <c r="D513" s="6" t="s">
        <v>1453</v>
      </c>
      <c r="E513" s="16">
        <v>198.55</v>
      </c>
      <c r="F513" s="16">
        <v>16.850000000000001</v>
      </c>
      <c r="G513" s="7">
        <v>360</v>
      </c>
      <c r="H513" s="6"/>
      <c r="I513" s="6" t="s">
        <v>1311</v>
      </c>
      <c r="J513" s="7">
        <v>1</v>
      </c>
    </row>
    <row r="514" spans="1:10" x14ac:dyDescent="0.3">
      <c r="A514" s="6" t="s">
        <v>1873</v>
      </c>
      <c r="B514" s="6"/>
      <c r="C514" s="6" t="s">
        <v>1362</v>
      </c>
      <c r="D514" s="6" t="s">
        <v>1453</v>
      </c>
      <c r="E514" s="16">
        <v>192.05</v>
      </c>
      <c r="F514" s="16">
        <v>16.850000000000001</v>
      </c>
      <c r="G514" s="7">
        <v>360</v>
      </c>
      <c r="H514" s="6"/>
      <c r="I514" s="6" t="s">
        <v>1311</v>
      </c>
      <c r="J514" s="7">
        <v>1</v>
      </c>
    </row>
    <row r="515" spans="1:10" x14ac:dyDescent="0.3">
      <c r="A515" s="6" t="s">
        <v>1874</v>
      </c>
      <c r="B515" s="6"/>
      <c r="C515" s="6" t="s">
        <v>1362</v>
      </c>
      <c r="D515" s="6" t="s">
        <v>1453</v>
      </c>
      <c r="E515" s="16">
        <v>185.55</v>
      </c>
      <c r="F515" s="16">
        <v>16.850000000000001</v>
      </c>
      <c r="G515" s="7">
        <v>360</v>
      </c>
      <c r="H515" s="6"/>
      <c r="I515" s="6" t="s">
        <v>1311</v>
      </c>
      <c r="J515" s="7">
        <v>1</v>
      </c>
    </row>
    <row r="516" spans="1:10" x14ac:dyDescent="0.3">
      <c r="A516" s="6" t="s">
        <v>1875</v>
      </c>
      <c r="B516" s="6"/>
      <c r="C516" s="6" t="s">
        <v>1362</v>
      </c>
      <c r="D516" s="6" t="s">
        <v>1453</v>
      </c>
      <c r="E516" s="16">
        <v>179.05</v>
      </c>
      <c r="F516" s="16">
        <v>16.850000000000001</v>
      </c>
      <c r="G516" s="7">
        <v>360</v>
      </c>
      <c r="H516" s="6"/>
      <c r="I516" s="6" t="s">
        <v>1311</v>
      </c>
      <c r="J516" s="7">
        <v>1</v>
      </c>
    </row>
    <row r="517" spans="1:10" x14ac:dyDescent="0.3">
      <c r="A517" s="6" t="s">
        <v>1876</v>
      </c>
      <c r="B517" s="6"/>
      <c r="C517" s="6" t="s">
        <v>1362</v>
      </c>
      <c r="D517" s="6" t="s">
        <v>1453</v>
      </c>
      <c r="E517" s="16">
        <v>172.55</v>
      </c>
      <c r="F517" s="16">
        <v>16.850000000000001</v>
      </c>
      <c r="G517" s="7">
        <v>360</v>
      </c>
      <c r="H517" s="6"/>
      <c r="I517" s="6" t="s">
        <v>1311</v>
      </c>
      <c r="J517" s="7">
        <v>1</v>
      </c>
    </row>
    <row r="518" spans="1:10" x14ac:dyDescent="0.3">
      <c r="A518" s="6" t="s">
        <v>1877</v>
      </c>
      <c r="B518" s="6"/>
      <c r="C518" s="6" t="s">
        <v>1362</v>
      </c>
      <c r="D518" s="6" t="s">
        <v>1453</v>
      </c>
      <c r="E518" s="16">
        <v>166.05</v>
      </c>
      <c r="F518" s="16">
        <v>16.850000000000001</v>
      </c>
      <c r="G518" s="7">
        <v>360</v>
      </c>
      <c r="H518" s="6"/>
      <c r="I518" s="6" t="s">
        <v>1311</v>
      </c>
      <c r="J518" s="7">
        <v>1</v>
      </c>
    </row>
    <row r="519" spans="1:10" x14ac:dyDescent="0.3">
      <c r="A519" s="6" t="s">
        <v>1878</v>
      </c>
      <c r="B519" s="6"/>
      <c r="C519" s="6" t="s">
        <v>1362</v>
      </c>
      <c r="D519" s="6" t="s">
        <v>1453</v>
      </c>
      <c r="E519" s="16">
        <v>159.55000000000001</v>
      </c>
      <c r="F519" s="16">
        <v>16.850000000000001</v>
      </c>
      <c r="G519" s="7">
        <v>360</v>
      </c>
      <c r="H519" s="6"/>
      <c r="I519" s="6" t="s">
        <v>1311</v>
      </c>
      <c r="J519" s="7">
        <v>1</v>
      </c>
    </row>
    <row r="520" spans="1:10" x14ac:dyDescent="0.3">
      <c r="A520" s="6" t="s">
        <v>1879</v>
      </c>
      <c r="B520" s="6"/>
      <c r="C520" s="6" t="s">
        <v>1362</v>
      </c>
      <c r="D520" s="6" t="s">
        <v>1453</v>
      </c>
      <c r="E520" s="16">
        <v>153.05000000000001</v>
      </c>
      <c r="F520" s="16">
        <v>16.850000000000001</v>
      </c>
      <c r="G520" s="7">
        <v>360</v>
      </c>
      <c r="H520" s="6"/>
      <c r="I520" s="6" t="s">
        <v>1311</v>
      </c>
      <c r="J520" s="7">
        <v>1</v>
      </c>
    </row>
    <row r="521" spans="1:10" x14ac:dyDescent="0.3">
      <c r="A521" s="6" t="s">
        <v>1880</v>
      </c>
      <c r="B521" s="6"/>
      <c r="C521" s="6" t="s">
        <v>1362</v>
      </c>
      <c r="D521" s="6" t="s">
        <v>1453</v>
      </c>
      <c r="E521" s="16">
        <v>146.55000000000001</v>
      </c>
      <c r="F521" s="16">
        <v>16.850000000000001</v>
      </c>
      <c r="G521" s="7">
        <v>360</v>
      </c>
      <c r="H521" s="6"/>
      <c r="I521" s="6" t="s">
        <v>1311</v>
      </c>
      <c r="J521" s="7">
        <v>1</v>
      </c>
    </row>
    <row r="522" spans="1:10" x14ac:dyDescent="0.3">
      <c r="A522" s="6" t="s">
        <v>1881</v>
      </c>
      <c r="B522" s="6"/>
      <c r="C522" s="6" t="s">
        <v>1362</v>
      </c>
      <c r="D522" s="6" t="s">
        <v>1453</v>
      </c>
      <c r="E522" s="16">
        <v>140.05000000000001</v>
      </c>
      <c r="F522" s="16">
        <v>16.850000000000001</v>
      </c>
      <c r="G522" s="7">
        <v>360</v>
      </c>
      <c r="H522" s="6"/>
      <c r="I522" s="6" t="s">
        <v>1311</v>
      </c>
      <c r="J522" s="7">
        <v>1</v>
      </c>
    </row>
    <row r="523" spans="1:10" x14ac:dyDescent="0.3">
      <c r="A523" s="6" t="s">
        <v>1882</v>
      </c>
      <c r="B523" s="6"/>
      <c r="C523" s="6" t="s">
        <v>1362</v>
      </c>
      <c r="D523" s="6" t="s">
        <v>1453</v>
      </c>
      <c r="E523" s="16">
        <v>133.55000000000001</v>
      </c>
      <c r="F523" s="16">
        <v>16.850000000000001</v>
      </c>
      <c r="G523" s="7">
        <v>360</v>
      </c>
      <c r="H523" s="6"/>
      <c r="I523" s="6" t="s">
        <v>1311</v>
      </c>
      <c r="J523" s="7">
        <v>1</v>
      </c>
    </row>
    <row r="524" spans="1:10" x14ac:dyDescent="0.3">
      <c r="A524" s="6" t="s">
        <v>1883</v>
      </c>
      <c r="B524" s="6"/>
      <c r="C524" s="6" t="s">
        <v>1362</v>
      </c>
      <c r="D524" s="6" t="s">
        <v>1453</v>
      </c>
      <c r="E524" s="16">
        <v>127.05</v>
      </c>
      <c r="F524" s="16">
        <v>16.850000000000001</v>
      </c>
      <c r="G524" s="7">
        <v>360</v>
      </c>
      <c r="H524" s="6"/>
      <c r="I524" s="6" t="s">
        <v>1311</v>
      </c>
      <c r="J524" s="7">
        <v>1</v>
      </c>
    </row>
    <row r="525" spans="1:10" x14ac:dyDescent="0.3">
      <c r="A525" s="6" t="s">
        <v>1884</v>
      </c>
      <c r="B525" s="6"/>
      <c r="C525" s="6" t="s">
        <v>1362</v>
      </c>
      <c r="D525" s="6" t="s">
        <v>1453</v>
      </c>
      <c r="E525" s="16">
        <v>120.55</v>
      </c>
      <c r="F525" s="16">
        <v>16.850000000000001</v>
      </c>
      <c r="G525" s="7">
        <v>360</v>
      </c>
      <c r="H525" s="6"/>
      <c r="I525" s="6" t="s">
        <v>1311</v>
      </c>
      <c r="J525" s="7">
        <v>1</v>
      </c>
    </row>
    <row r="526" spans="1:10" x14ac:dyDescent="0.3">
      <c r="A526" s="6" t="s">
        <v>1885</v>
      </c>
      <c r="B526" s="6"/>
      <c r="C526" s="6" t="s">
        <v>1362</v>
      </c>
      <c r="D526" s="6" t="s">
        <v>1453</v>
      </c>
      <c r="E526" s="16">
        <v>114.05</v>
      </c>
      <c r="F526" s="16">
        <v>16.850000000000001</v>
      </c>
      <c r="G526" s="7">
        <v>360</v>
      </c>
      <c r="H526" s="6"/>
      <c r="I526" s="6" t="s">
        <v>1311</v>
      </c>
      <c r="J526" s="7">
        <v>1</v>
      </c>
    </row>
    <row r="527" spans="1:10" x14ac:dyDescent="0.3">
      <c r="A527" s="6" t="s">
        <v>1886</v>
      </c>
      <c r="B527" s="6"/>
      <c r="C527" s="6" t="s">
        <v>1362</v>
      </c>
      <c r="D527" s="6" t="s">
        <v>1453</v>
      </c>
      <c r="E527" s="16">
        <v>107.55</v>
      </c>
      <c r="F527" s="16">
        <v>16.850000000000001</v>
      </c>
      <c r="G527" s="7">
        <v>360</v>
      </c>
      <c r="H527" s="6"/>
      <c r="I527" s="6" t="s">
        <v>1311</v>
      </c>
      <c r="J527" s="7">
        <v>1</v>
      </c>
    </row>
    <row r="528" spans="1:10" x14ac:dyDescent="0.3">
      <c r="A528" s="6" t="s">
        <v>1887</v>
      </c>
      <c r="B528" s="6"/>
      <c r="C528" s="6" t="s">
        <v>1362</v>
      </c>
      <c r="D528" s="6" t="s">
        <v>1453</v>
      </c>
      <c r="E528" s="16">
        <v>101.05</v>
      </c>
      <c r="F528" s="16">
        <v>16.850000000000001</v>
      </c>
      <c r="G528" s="7">
        <v>360</v>
      </c>
      <c r="H528" s="6"/>
      <c r="I528" s="6" t="s">
        <v>1311</v>
      </c>
      <c r="J528" s="7">
        <v>1</v>
      </c>
    </row>
    <row r="529" spans="1:10" x14ac:dyDescent="0.3">
      <c r="A529" s="6" t="s">
        <v>1888</v>
      </c>
      <c r="B529" s="6"/>
      <c r="C529" s="6" t="s">
        <v>1362</v>
      </c>
      <c r="D529" s="6" t="s">
        <v>1453</v>
      </c>
      <c r="E529" s="16">
        <v>94.55</v>
      </c>
      <c r="F529" s="16">
        <v>16.850000000000001</v>
      </c>
      <c r="G529" s="7">
        <v>360</v>
      </c>
      <c r="H529" s="6"/>
      <c r="I529" s="6" t="s">
        <v>1311</v>
      </c>
      <c r="J529" s="7">
        <v>1</v>
      </c>
    </row>
    <row r="530" spans="1:10" x14ac:dyDescent="0.3">
      <c r="A530" s="6" t="s">
        <v>1889</v>
      </c>
      <c r="B530" s="6"/>
      <c r="C530" s="6" t="s">
        <v>1362</v>
      </c>
      <c r="D530" s="6" t="s">
        <v>1453</v>
      </c>
      <c r="E530" s="16">
        <v>88.05</v>
      </c>
      <c r="F530" s="16">
        <v>16.850000000000001</v>
      </c>
      <c r="G530" s="7">
        <v>360</v>
      </c>
      <c r="H530" s="6"/>
      <c r="I530" s="6" t="s">
        <v>1311</v>
      </c>
      <c r="J530" s="7">
        <v>1</v>
      </c>
    </row>
    <row r="531" spans="1:10" x14ac:dyDescent="0.3">
      <c r="A531" s="6" t="s">
        <v>1890</v>
      </c>
      <c r="B531" s="6"/>
      <c r="C531" s="6" t="s">
        <v>1362</v>
      </c>
      <c r="D531" s="6" t="s">
        <v>1453</v>
      </c>
      <c r="E531" s="16">
        <v>81.55</v>
      </c>
      <c r="F531" s="16">
        <v>16.850000000000001</v>
      </c>
      <c r="G531" s="7">
        <v>360</v>
      </c>
      <c r="H531" s="6"/>
      <c r="I531" s="6" t="s">
        <v>1311</v>
      </c>
      <c r="J531" s="7">
        <v>1</v>
      </c>
    </row>
    <row r="532" spans="1:10" x14ac:dyDescent="0.3">
      <c r="A532" s="6" t="s">
        <v>1891</v>
      </c>
      <c r="B532" s="6"/>
      <c r="C532" s="6" t="s">
        <v>1362</v>
      </c>
      <c r="D532" s="6" t="s">
        <v>1453</v>
      </c>
      <c r="E532" s="16">
        <v>75.05</v>
      </c>
      <c r="F532" s="16">
        <v>16.850000000000001</v>
      </c>
      <c r="G532" s="7">
        <v>360</v>
      </c>
      <c r="H532" s="6"/>
      <c r="I532" s="6" t="s">
        <v>1311</v>
      </c>
      <c r="J532" s="7">
        <v>1</v>
      </c>
    </row>
    <row r="533" spans="1:10" x14ac:dyDescent="0.3">
      <c r="A533" s="6" t="s">
        <v>1892</v>
      </c>
      <c r="B533" s="6"/>
      <c r="C533" s="6" t="s">
        <v>1362</v>
      </c>
      <c r="D533" s="6" t="s">
        <v>1453</v>
      </c>
      <c r="E533" s="16">
        <v>68.55</v>
      </c>
      <c r="F533" s="16">
        <v>16.850000000000001</v>
      </c>
      <c r="G533" s="7">
        <v>360</v>
      </c>
      <c r="H533" s="6"/>
      <c r="I533" s="6" t="s">
        <v>1311</v>
      </c>
      <c r="J533" s="7">
        <v>1</v>
      </c>
    </row>
    <row r="534" spans="1:10" x14ac:dyDescent="0.3">
      <c r="A534" s="6" t="s">
        <v>1893</v>
      </c>
      <c r="B534" s="6"/>
      <c r="C534" s="6" t="s">
        <v>1362</v>
      </c>
      <c r="D534" s="6" t="s">
        <v>1453</v>
      </c>
      <c r="E534" s="16">
        <v>62.05</v>
      </c>
      <c r="F534" s="16">
        <v>16.850000000000001</v>
      </c>
      <c r="G534" s="7">
        <v>360</v>
      </c>
      <c r="H534" s="6"/>
      <c r="I534" s="6" t="s">
        <v>1311</v>
      </c>
      <c r="J534" s="7">
        <v>1</v>
      </c>
    </row>
    <row r="535" spans="1:10" x14ac:dyDescent="0.3">
      <c r="A535" s="6" t="s">
        <v>1894</v>
      </c>
      <c r="B535" s="6"/>
      <c r="C535" s="6" t="s">
        <v>1362</v>
      </c>
      <c r="D535" s="6" t="s">
        <v>1453</v>
      </c>
      <c r="E535" s="16">
        <v>55.55</v>
      </c>
      <c r="F535" s="16">
        <v>16.850000000000001</v>
      </c>
      <c r="G535" s="7">
        <v>360</v>
      </c>
      <c r="H535" s="6"/>
      <c r="I535" s="6" t="s">
        <v>1311</v>
      </c>
      <c r="J535" s="7">
        <v>1</v>
      </c>
    </row>
    <row r="536" spans="1:10" x14ac:dyDescent="0.3">
      <c r="A536" s="6" t="s">
        <v>1895</v>
      </c>
      <c r="B536" s="6"/>
      <c r="C536" s="6" t="s">
        <v>1362</v>
      </c>
      <c r="D536" s="6" t="s">
        <v>1453</v>
      </c>
      <c r="E536" s="16">
        <v>49.05</v>
      </c>
      <c r="F536" s="16">
        <v>16.850000000000001</v>
      </c>
      <c r="G536" s="7">
        <v>360</v>
      </c>
      <c r="H536" s="6"/>
      <c r="I536" s="6" t="s">
        <v>1311</v>
      </c>
      <c r="J536" s="7">
        <v>1</v>
      </c>
    </row>
    <row r="537" spans="1:10" x14ac:dyDescent="0.3">
      <c r="A537" s="6" t="s">
        <v>1896</v>
      </c>
      <c r="B537" s="6"/>
      <c r="C537" s="6" t="s">
        <v>1362</v>
      </c>
      <c r="D537" s="6" t="s">
        <v>1453</v>
      </c>
      <c r="E537" s="16">
        <v>42.55</v>
      </c>
      <c r="F537" s="16">
        <v>16.850000000000001</v>
      </c>
      <c r="G537" s="7">
        <v>360</v>
      </c>
      <c r="H537" s="6"/>
      <c r="I537" s="6" t="s">
        <v>1311</v>
      </c>
      <c r="J537" s="7">
        <v>1</v>
      </c>
    </row>
    <row r="538" spans="1:10" x14ac:dyDescent="0.3">
      <c r="A538" s="6" t="s">
        <v>1897</v>
      </c>
      <c r="B538" s="6"/>
      <c r="C538" s="6" t="s">
        <v>1362</v>
      </c>
      <c r="D538" s="6" t="s">
        <v>1453</v>
      </c>
      <c r="E538" s="16">
        <v>36.049999999999997</v>
      </c>
      <c r="F538" s="16">
        <v>16.850000000000001</v>
      </c>
      <c r="G538" s="7">
        <v>360</v>
      </c>
      <c r="H538" s="6"/>
      <c r="I538" s="6" t="s">
        <v>1311</v>
      </c>
      <c r="J538" s="7">
        <v>1</v>
      </c>
    </row>
    <row r="539" spans="1:10" x14ac:dyDescent="0.3">
      <c r="A539" s="6" t="s">
        <v>1898</v>
      </c>
      <c r="B539" s="6"/>
      <c r="C539" s="6" t="s">
        <v>1362</v>
      </c>
      <c r="D539" s="6" t="s">
        <v>1453</v>
      </c>
      <c r="E539" s="16">
        <v>29.55</v>
      </c>
      <c r="F539" s="16">
        <v>16.850000000000001</v>
      </c>
      <c r="G539" s="7">
        <v>360</v>
      </c>
      <c r="H539" s="6"/>
      <c r="I539" s="6" t="s">
        <v>1311</v>
      </c>
      <c r="J539" s="7">
        <v>1</v>
      </c>
    </row>
    <row r="540" spans="1:10" x14ac:dyDescent="0.3">
      <c r="A540" s="6" t="s">
        <v>1899</v>
      </c>
      <c r="B540" s="6"/>
      <c r="C540" s="6" t="s">
        <v>1362</v>
      </c>
      <c r="D540" s="6" t="s">
        <v>1453</v>
      </c>
      <c r="E540" s="16">
        <v>23.05</v>
      </c>
      <c r="F540" s="16">
        <v>16.850000000000001</v>
      </c>
      <c r="G540" s="7">
        <v>360</v>
      </c>
      <c r="H540" s="6"/>
      <c r="I540" s="6" t="s">
        <v>1311</v>
      </c>
      <c r="J540" s="7">
        <v>1</v>
      </c>
    </row>
    <row r="541" spans="1:10" x14ac:dyDescent="0.3">
      <c r="A541" s="6" t="s">
        <v>1900</v>
      </c>
      <c r="B541" s="6"/>
      <c r="C541" s="6" t="s">
        <v>1362</v>
      </c>
      <c r="D541" s="6" t="s">
        <v>1453</v>
      </c>
      <c r="E541" s="16">
        <v>16.55</v>
      </c>
      <c r="F541" s="16">
        <v>16.850000000000001</v>
      </c>
      <c r="G541" s="7">
        <v>360</v>
      </c>
      <c r="H541" s="6"/>
      <c r="I541" s="6" t="s">
        <v>1311</v>
      </c>
      <c r="J541" s="7">
        <v>1</v>
      </c>
    </row>
    <row r="542" spans="1:10" x14ac:dyDescent="0.3">
      <c r="A542" s="6" t="s">
        <v>1901</v>
      </c>
      <c r="B542" s="6"/>
      <c r="C542" s="6" t="s">
        <v>1362</v>
      </c>
      <c r="D542" s="6" t="s">
        <v>1453</v>
      </c>
      <c r="E542" s="16">
        <v>10.050000000000001</v>
      </c>
      <c r="F542" s="16">
        <v>16.850000000000001</v>
      </c>
      <c r="G542" s="7">
        <v>360</v>
      </c>
      <c r="H542" s="6"/>
      <c r="I542" s="6" t="s">
        <v>1311</v>
      </c>
      <c r="J542" s="7">
        <v>1</v>
      </c>
    </row>
    <row r="543" spans="1:10" x14ac:dyDescent="0.3">
      <c r="A543" s="6" t="s">
        <v>1902</v>
      </c>
      <c r="B543" s="6"/>
      <c r="C543" s="6" t="s">
        <v>1362</v>
      </c>
      <c r="D543" s="6" t="s">
        <v>1453</v>
      </c>
      <c r="E543" s="16">
        <v>3.55</v>
      </c>
      <c r="F543" s="16">
        <v>16.850000000000001</v>
      </c>
      <c r="G543" s="7">
        <v>360</v>
      </c>
      <c r="H543" s="6"/>
      <c r="I543" s="6" t="s">
        <v>1311</v>
      </c>
      <c r="J543" s="7">
        <v>1</v>
      </c>
    </row>
    <row r="544" spans="1:10" x14ac:dyDescent="0.3">
      <c r="A544" s="6" t="s">
        <v>1903</v>
      </c>
      <c r="B544" s="6"/>
      <c r="C544" s="6" t="s">
        <v>1362</v>
      </c>
      <c r="D544" s="6" t="s">
        <v>1453</v>
      </c>
      <c r="E544" s="16">
        <v>270.05</v>
      </c>
      <c r="F544" s="16">
        <v>10.35</v>
      </c>
      <c r="G544" s="7">
        <v>360</v>
      </c>
      <c r="H544" s="6"/>
      <c r="I544" s="6" t="s">
        <v>1311</v>
      </c>
      <c r="J544" s="7">
        <v>1</v>
      </c>
    </row>
    <row r="545" spans="1:10" x14ac:dyDescent="0.3">
      <c r="A545" s="6" t="s">
        <v>1904</v>
      </c>
      <c r="B545" s="6"/>
      <c r="C545" s="6" t="s">
        <v>1362</v>
      </c>
      <c r="D545" s="6" t="s">
        <v>1453</v>
      </c>
      <c r="E545" s="16">
        <v>263.55</v>
      </c>
      <c r="F545" s="16">
        <v>10.35</v>
      </c>
      <c r="G545" s="7">
        <v>360</v>
      </c>
      <c r="H545" s="6"/>
      <c r="I545" s="6" t="s">
        <v>1311</v>
      </c>
      <c r="J545" s="7">
        <v>1</v>
      </c>
    </row>
    <row r="546" spans="1:10" x14ac:dyDescent="0.3">
      <c r="A546" s="6" t="s">
        <v>1905</v>
      </c>
      <c r="B546" s="6"/>
      <c r="C546" s="6" t="s">
        <v>1362</v>
      </c>
      <c r="D546" s="6" t="s">
        <v>1453</v>
      </c>
      <c r="E546" s="16">
        <v>257.05</v>
      </c>
      <c r="F546" s="16">
        <v>10.35</v>
      </c>
      <c r="G546" s="7">
        <v>360</v>
      </c>
      <c r="H546" s="6"/>
      <c r="I546" s="6" t="s">
        <v>1311</v>
      </c>
      <c r="J546" s="7">
        <v>1</v>
      </c>
    </row>
    <row r="547" spans="1:10" x14ac:dyDescent="0.3">
      <c r="A547" s="6" t="s">
        <v>1906</v>
      </c>
      <c r="B547" s="6"/>
      <c r="C547" s="6" t="s">
        <v>1362</v>
      </c>
      <c r="D547" s="6" t="s">
        <v>1453</v>
      </c>
      <c r="E547" s="16">
        <v>250.55</v>
      </c>
      <c r="F547" s="16">
        <v>10.35</v>
      </c>
      <c r="G547" s="7">
        <v>360</v>
      </c>
      <c r="H547" s="6"/>
      <c r="I547" s="6" t="s">
        <v>1311</v>
      </c>
      <c r="J547" s="7">
        <v>1</v>
      </c>
    </row>
    <row r="548" spans="1:10" x14ac:dyDescent="0.3">
      <c r="A548" s="6" t="s">
        <v>1907</v>
      </c>
      <c r="B548" s="6"/>
      <c r="C548" s="6" t="s">
        <v>1362</v>
      </c>
      <c r="D548" s="6" t="s">
        <v>1453</v>
      </c>
      <c r="E548" s="16">
        <v>244.05</v>
      </c>
      <c r="F548" s="16">
        <v>10.35</v>
      </c>
      <c r="G548" s="7">
        <v>360</v>
      </c>
      <c r="H548" s="6"/>
      <c r="I548" s="6" t="s">
        <v>1311</v>
      </c>
      <c r="J548" s="7">
        <v>1</v>
      </c>
    </row>
    <row r="549" spans="1:10" x14ac:dyDescent="0.3">
      <c r="A549" s="6" t="s">
        <v>1908</v>
      </c>
      <c r="B549" s="6"/>
      <c r="C549" s="6" t="s">
        <v>1362</v>
      </c>
      <c r="D549" s="6" t="s">
        <v>1453</v>
      </c>
      <c r="E549" s="16">
        <v>237.55</v>
      </c>
      <c r="F549" s="16">
        <v>10.35</v>
      </c>
      <c r="G549" s="7">
        <v>360</v>
      </c>
      <c r="H549" s="6"/>
      <c r="I549" s="6" t="s">
        <v>1311</v>
      </c>
      <c r="J549" s="7">
        <v>1</v>
      </c>
    </row>
    <row r="550" spans="1:10" x14ac:dyDescent="0.3">
      <c r="A550" s="6" t="s">
        <v>1909</v>
      </c>
      <c r="B550" s="6"/>
      <c r="C550" s="6" t="s">
        <v>1362</v>
      </c>
      <c r="D550" s="6" t="s">
        <v>1453</v>
      </c>
      <c r="E550" s="16">
        <v>231.05</v>
      </c>
      <c r="F550" s="16">
        <v>10.35</v>
      </c>
      <c r="G550" s="7">
        <v>360</v>
      </c>
      <c r="H550" s="6"/>
      <c r="I550" s="6" t="s">
        <v>1311</v>
      </c>
      <c r="J550" s="7">
        <v>1</v>
      </c>
    </row>
    <row r="551" spans="1:10" x14ac:dyDescent="0.3">
      <c r="A551" s="6" t="s">
        <v>1910</v>
      </c>
      <c r="B551" s="6"/>
      <c r="C551" s="6" t="s">
        <v>1362</v>
      </c>
      <c r="D551" s="6" t="s">
        <v>1453</v>
      </c>
      <c r="E551" s="16">
        <v>224.55</v>
      </c>
      <c r="F551" s="16">
        <v>10.35</v>
      </c>
      <c r="G551" s="7">
        <v>360</v>
      </c>
      <c r="H551" s="6"/>
      <c r="I551" s="6" t="s">
        <v>1311</v>
      </c>
      <c r="J551" s="7">
        <v>1</v>
      </c>
    </row>
    <row r="552" spans="1:10" x14ac:dyDescent="0.3">
      <c r="A552" s="6" t="s">
        <v>1911</v>
      </c>
      <c r="B552" s="6"/>
      <c r="C552" s="6" t="s">
        <v>1362</v>
      </c>
      <c r="D552" s="6" t="s">
        <v>1453</v>
      </c>
      <c r="E552" s="16">
        <v>218.05</v>
      </c>
      <c r="F552" s="16">
        <v>10.35</v>
      </c>
      <c r="G552" s="7">
        <v>360</v>
      </c>
      <c r="H552" s="6"/>
      <c r="I552" s="6" t="s">
        <v>1311</v>
      </c>
      <c r="J552" s="7">
        <v>1</v>
      </c>
    </row>
    <row r="553" spans="1:10" x14ac:dyDescent="0.3">
      <c r="A553" s="6" t="s">
        <v>1912</v>
      </c>
      <c r="B553" s="6"/>
      <c r="C553" s="6" t="s">
        <v>1362</v>
      </c>
      <c r="D553" s="6" t="s">
        <v>1453</v>
      </c>
      <c r="E553" s="16">
        <v>211.55</v>
      </c>
      <c r="F553" s="16">
        <v>10.35</v>
      </c>
      <c r="G553" s="7">
        <v>360</v>
      </c>
      <c r="H553" s="6"/>
      <c r="I553" s="6" t="s">
        <v>1311</v>
      </c>
      <c r="J553" s="7">
        <v>1</v>
      </c>
    </row>
    <row r="554" spans="1:10" x14ac:dyDescent="0.3">
      <c r="A554" s="6" t="s">
        <v>1913</v>
      </c>
      <c r="B554" s="6"/>
      <c r="C554" s="6" t="s">
        <v>1362</v>
      </c>
      <c r="D554" s="6" t="s">
        <v>1453</v>
      </c>
      <c r="E554" s="16">
        <v>205.05</v>
      </c>
      <c r="F554" s="16">
        <v>10.35</v>
      </c>
      <c r="G554" s="7">
        <v>360</v>
      </c>
      <c r="H554" s="6"/>
      <c r="I554" s="6" t="s">
        <v>1311</v>
      </c>
      <c r="J554" s="7">
        <v>1</v>
      </c>
    </row>
    <row r="555" spans="1:10" x14ac:dyDescent="0.3">
      <c r="A555" s="6" t="s">
        <v>1914</v>
      </c>
      <c r="B555" s="6"/>
      <c r="C555" s="6" t="s">
        <v>1362</v>
      </c>
      <c r="D555" s="6" t="s">
        <v>1453</v>
      </c>
      <c r="E555" s="16">
        <v>198.55</v>
      </c>
      <c r="F555" s="16">
        <v>10.35</v>
      </c>
      <c r="G555" s="7">
        <v>360</v>
      </c>
      <c r="H555" s="6"/>
      <c r="I555" s="6" t="s">
        <v>1311</v>
      </c>
      <c r="J555" s="7">
        <v>1</v>
      </c>
    </row>
    <row r="556" spans="1:10" x14ac:dyDescent="0.3">
      <c r="A556" s="6" t="s">
        <v>1915</v>
      </c>
      <c r="B556" s="6"/>
      <c r="C556" s="6" t="s">
        <v>1362</v>
      </c>
      <c r="D556" s="6" t="s">
        <v>1453</v>
      </c>
      <c r="E556" s="16">
        <v>192.05</v>
      </c>
      <c r="F556" s="16">
        <v>10.35</v>
      </c>
      <c r="G556" s="7">
        <v>360</v>
      </c>
      <c r="H556" s="6"/>
      <c r="I556" s="6" t="s">
        <v>1311</v>
      </c>
      <c r="J556" s="7">
        <v>1</v>
      </c>
    </row>
    <row r="557" spans="1:10" x14ac:dyDescent="0.3">
      <c r="A557" s="6" t="s">
        <v>1916</v>
      </c>
      <c r="B557" s="6"/>
      <c r="C557" s="6" t="s">
        <v>1362</v>
      </c>
      <c r="D557" s="6" t="s">
        <v>1453</v>
      </c>
      <c r="E557" s="16">
        <v>185.55</v>
      </c>
      <c r="F557" s="16">
        <v>10.35</v>
      </c>
      <c r="G557" s="7">
        <v>360</v>
      </c>
      <c r="H557" s="6"/>
      <c r="I557" s="6" t="s">
        <v>1311</v>
      </c>
      <c r="J557" s="7">
        <v>1</v>
      </c>
    </row>
    <row r="558" spans="1:10" x14ac:dyDescent="0.3">
      <c r="A558" s="6" t="s">
        <v>1917</v>
      </c>
      <c r="B558" s="6"/>
      <c r="C558" s="6" t="s">
        <v>1362</v>
      </c>
      <c r="D558" s="6" t="s">
        <v>1453</v>
      </c>
      <c r="E558" s="16">
        <v>179.05</v>
      </c>
      <c r="F558" s="16">
        <v>10.35</v>
      </c>
      <c r="G558" s="7">
        <v>360</v>
      </c>
      <c r="H558" s="6"/>
      <c r="I558" s="6" t="s">
        <v>1311</v>
      </c>
      <c r="J558" s="7">
        <v>1</v>
      </c>
    </row>
    <row r="559" spans="1:10" x14ac:dyDescent="0.3">
      <c r="A559" s="6" t="s">
        <v>1918</v>
      </c>
      <c r="B559" s="6"/>
      <c r="C559" s="6" t="s">
        <v>1362</v>
      </c>
      <c r="D559" s="6" t="s">
        <v>1453</v>
      </c>
      <c r="E559" s="16">
        <v>172.55</v>
      </c>
      <c r="F559" s="16">
        <v>10.35</v>
      </c>
      <c r="G559" s="7">
        <v>360</v>
      </c>
      <c r="H559" s="6"/>
      <c r="I559" s="6" t="s">
        <v>1311</v>
      </c>
      <c r="J559" s="7">
        <v>1</v>
      </c>
    </row>
    <row r="560" spans="1:10" x14ac:dyDescent="0.3">
      <c r="A560" s="6" t="s">
        <v>1919</v>
      </c>
      <c r="B560" s="6"/>
      <c r="C560" s="6" t="s">
        <v>1362</v>
      </c>
      <c r="D560" s="6" t="s">
        <v>1453</v>
      </c>
      <c r="E560" s="16">
        <v>166.05</v>
      </c>
      <c r="F560" s="16">
        <v>10.35</v>
      </c>
      <c r="G560" s="7">
        <v>360</v>
      </c>
      <c r="H560" s="6"/>
      <c r="I560" s="6" t="s">
        <v>1311</v>
      </c>
      <c r="J560" s="7">
        <v>1</v>
      </c>
    </row>
    <row r="561" spans="1:10" x14ac:dyDescent="0.3">
      <c r="A561" s="6" t="s">
        <v>1920</v>
      </c>
      <c r="B561" s="6"/>
      <c r="C561" s="6" t="s">
        <v>1362</v>
      </c>
      <c r="D561" s="6" t="s">
        <v>1453</v>
      </c>
      <c r="E561" s="16">
        <v>159.55000000000001</v>
      </c>
      <c r="F561" s="16">
        <v>10.35</v>
      </c>
      <c r="G561" s="7">
        <v>360</v>
      </c>
      <c r="H561" s="6"/>
      <c r="I561" s="6" t="s">
        <v>1311</v>
      </c>
      <c r="J561" s="7">
        <v>1</v>
      </c>
    </row>
    <row r="562" spans="1:10" x14ac:dyDescent="0.3">
      <c r="A562" s="6" t="s">
        <v>1921</v>
      </c>
      <c r="B562" s="6"/>
      <c r="C562" s="6" t="s">
        <v>1362</v>
      </c>
      <c r="D562" s="6" t="s">
        <v>1453</v>
      </c>
      <c r="E562" s="16">
        <v>153.05000000000001</v>
      </c>
      <c r="F562" s="16">
        <v>10.35</v>
      </c>
      <c r="G562" s="7">
        <v>360</v>
      </c>
      <c r="H562" s="6"/>
      <c r="I562" s="6" t="s">
        <v>1311</v>
      </c>
      <c r="J562" s="7">
        <v>1</v>
      </c>
    </row>
    <row r="563" spans="1:10" x14ac:dyDescent="0.3">
      <c r="A563" s="6" t="s">
        <v>1922</v>
      </c>
      <c r="B563" s="6"/>
      <c r="C563" s="6" t="s">
        <v>1362</v>
      </c>
      <c r="D563" s="6" t="s">
        <v>1453</v>
      </c>
      <c r="E563" s="16">
        <v>146.55000000000001</v>
      </c>
      <c r="F563" s="16">
        <v>10.35</v>
      </c>
      <c r="G563" s="7">
        <v>360</v>
      </c>
      <c r="H563" s="6"/>
      <c r="I563" s="6" t="s">
        <v>1311</v>
      </c>
      <c r="J563" s="7">
        <v>1</v>
      </c>
    </row>
    <row r="564" spans="1:10" x14ac:dyDescent="0.3">
      <c r="A564" s="6" t="s">
        <v>1923</v>
      </c>
      <c r="B564" s="6"/>
      <c r="C564" s="6" t="s">
        <v>1362</v>
      </c>
      <c r="D564" s="6" t="s">
        <v>1453</v>
      </c>
      <c r="E564" s="16">
        <v>140.05000000000001</v>
      </c>
      <c r="F564" s="16">
        <v>10.35</v>
      </c>
      <c r="G564" s="7">
        <v>360</v>
      </c>
      <c r="H564" s="6"/>
      <c r="I564" s="6" t="s">
        <v>1311</v>
      </c>
      <c r="J564" s="7">
        <v>1</v>
      </c>
    </row>
    <row r="565" spans="1:10" x14ac:dyDescent="0.3">
      <c r="A565" s="6" t="s">
        <v>1924</v>
      </c>
      <c r="B565" s="6"/>
      <c r="C565" s="6" t="s">
        <v>1362</v>
      </c>
      <c r="D565" s="6" t="s">
        <v>1453</v>
      </c>
      <c r="E565" s="16">
        <v>133.55000000000001</v>
      </c>
      <c r="F565" s="16">
        <v>10.35</v>
      </c>
      <c r="G565" s="7">
        <v>360</v>
      </c>
      <c r="H565" s="6"/>
      <c r="I565" s="6" t="s">
        <v>1311</v>
      </c>
      <c r="J565" s="7">
        <v>1</v>
      </c>
    </row>
    <row r="566" spans="1:10" x14ac:dyDescent="0.3">
      <c r="A566" s="6" t="s">
        <v>1925</v>
      </c>
      <c r="B566" s="6"/>
      <c r="C566" s="6" t="s">
        <v>1362</v>
      </c>
      <c r="D566" s="6" t="s">
        <v>1453</v>
      </c>
      <c r="E566" s="16">
        <v>127.05</v>
      </c>
      <c r="F566" s="16">
        <v>10.35</v>
      </c>
      <c r="G566" s="7">
        <v>360</v>
      </c>
      <c r="H566" s="6"/>
      <c r="I566" s="6" t="s">
        <v>1311</v>
      </c>
      <c r="J566" s="7">
        <v>1</v>
      </c>
    </row>
    <row r="567" spans="1:10" x14ac:dyDescent="0.3">
      <c r="A567" s="6" t="s">
        <v>1926</v>
      </c>
      <c r="B567" s="6"/>
      <c r="C567" s="6" t="s">
        <v>1362</v>
      </c>
      <c r="D567" s="6" t="s">
        <v>1453</v>
      </c>
      <c r="E567" s="16">
        <v>120.55</v>
      </c>
      <c r="F567" s="16">
        <v>10.35</v>
      </c>
      <c r="G567" s="7">
        <v>360</v>
      </c>
      <c r="H567" s="6"/>
      <c r="I567" s="6" t="s">
        <v>1311</v>
      </c>
      <c r="J567" s="7">
        <v>1</v>
      </c>
    </row>
    <row r="568" spans="1:10" x14ac:dyDescent="0.3">
      <c r="A568" s="6" t="s">
        <v>1927</v>
      </c>
      <c r="B568" s="6"/>
      <c r="C568" s="6" t="s">
        <v>1362</v>
      </c>
      <c r="D568" s="6" t="s">
        <v>1453</v>
      </c>
      <c r="E568" s="16">
        <v>114.05</v>
      </c>
      <c r="F568" s="16">
        <v>10.35</v>
      </c>
      <c r="G568" s="7">
        <v>360</v>
      </c>
      <c r="H568" s="6"/>
      <c r="I568" s="6" t="s">
        <v>1311</v>
      </c>
      <c r="J568" s="7">
        <v>1</v>
      </c>
    </row>
    <row r="569" spans="1:10" x14ac:dyDescent="0.3">
      <c r="A569" s="6" t="s">
        <v>1928</v>
      </c>
      <c r="B569" s="6"/>
      <c r="C569" s="6" t="s">
        <v>1362</v>
      </c>
      <c r="D569" s="6" t="s">
        <v>1453</v>
      </c>
      <c r="E569" s="16">
        <v>107.55</v>
      </c>
      <c r="F569" s="16">
        <v>10.35</v>
      </c>
      <c r="G569" s="7">
        <v>360</v>
      </c>
      <c r="H569" s="6"/>
      <c r="I569" s="6" t="s">
        <v>1311</v>
      </c>
      <c r="J569" s="7">
        <v>1</v>
      </c>
    </row>
    <row r="570" spans="1:10" x14ac:dyDescent="0.3">
      <c r="A570" s="6" t="s">
        <v>1929</v>
      </c>
      <c r="B570" s="6"/>
      <c r="C570" s="6" t="s">
        <v>1362</v>
      </c>
      <c r="D570" s="6" t="s">
        <v>1453</v>
      </c>
      <c r="E570" s="16">
        <v>101.05</v>
      </c>
      <c r="F570" s="16">
        <v>10.35</v>
      </c>
      <c r="G570" s="7">
        <v>360</v>
      </c>
      <c r="H570" s="6"/>
      <c r="I570" s="6" t="s">
        <v>1311</v>
      </c>
      <c r="J570" s="7">
        <v>1</v>
      </c>
    </row>
    <row r="571" spans="1:10" x14ac:dyDescent="0.3">
      <c r="A571" s="6" t="s">
        <v>1930</v>
      </c>
      <c r="B571" s="6"/>
      <c r="C571" s="6" t="s">
        <v>1362</v>
      </c>
      <c r="D571" s="6" t="s">
        <v>1453</v>
      </c>
      <c r="E571" s="16">
        <v>94.55</v>
      </c>
      <c r="F571" s="16">
        <v>10.35</v>
      </c>
      <c r="G571" s="7">
        <v>360</v>
      </c>
      <c r="H571" s="6"/>
      <c r="I571" s="6" t="s">
        <v>1311</v>
      </c>
      <c r="J571" s="7">
        <v>1</v>
      </c>
    </row>
    <row r="572" spans="1:10" x14ac:dyDescent="0.3">
      <c r="A572" s="6" t="s">
        <v>1931</v>
      </c>
      <c r="B572" s="6"/>
      <c r="C572" s="6" t="s">
        <v>1362</v>
      </c>
      <c r="D572" s="6" t="s">
        <v>1453</v>
      </c>
      <c r="E572" s="16">
        <v>88.05</v>
      </c>
      <c r="F572" s="16">
        <v>10.35</v>
      </c>
      <c r="G572" s="7">
        <v>360</v>
      </c>
      <c r="H572" s="6"/>
      <c r="I572" s="6" t="s">
        <v>1311</v>
      </c>
      <c r="J572" s="7">
        <v>1</v>
      </c>
    </row>
    <row r="573" spans="1:10" x14ac:dyDescent="0.3">
      <c r="A573" s="6" t="s">
        <v>1932</v>
      </c>
      <c r="B573" s="6"/>
      <c r="C573" s="6" t="s">
        <v>1362</v>
      </c>
      <c r="D573" s="6" t="s">
        <v>1453</v>
      </c>
      <c r="E573" s="16">
        <v>81.55</v>
      </c>
      <c r="F573" s="16">
        <v>10.35</v>
      </c>
      <c r="G573" s="7">
        <v>360</v>
      </c>
      <c r="H573" s="6"/>
      <c r="I573" s="6" t="s">
        <v>1311</v>
      </c>
      <c r="J573" s="7">
        <v>1</v>
      </c>
    </row>
    <row r="574" spans="1:10" x14ac:dyDescent="0.3">
      <c r="A574" s="6" t="s">
        <v>1933</v>
      </c>
      <c r="B574" s="6"/>
      <c r="C574" s="6" t="s">
        <v>1362</v>
      </c>
      <c r="D574" s="6" t="s">
        <v>1453</v>
      </c>
      <c r="E574" s="16">
        <v>75.05</v>
      </c>
      <c r="F574" s="16">
        <v>10.35</v>
      </c>
      <c r="G574" s="7">
        <v>360</v>
      </c>
      <c r="H574" s="6"/>
      <c r="I574" s="6" t="s">
        <v>1311</v>
      </c>
      <c r="J574" s="7">
        <v>1</v>
      </c>
    </row>
    <row r="575" spans="1:10" x14ac:dyDescent="0.3">
      <c r="A575" s="6" t="s">
        <v>1934</v>
      </c>
      <c r="B575" s="6"/>
      <c r="C575" s="6" t="s">
        <v>1362</v>
      </c>
      <c r="D575" s="6" t="s">
        <v>1453</v>
      </c>
      <c r="E575" s="16">
        <v>68.55</v>
      </c>
      <c r="F575" s="16">
        <v>10.35</v>
      </c>
      <c r="G575" s="7">
        <v>360</v>
      </c>
      <c r="H575" s="6"/>
      <c r="I575" s="6" t="s">
        <v>1311</v>
      </c>
      <c r="J575" s="7">
        <v>1</v>
      </c>
    </row>
    <row r="576" spans="1:10" x14ac:dyDescent="0.3">
      <c r="A576" s="6" t="s">
        <v>1935</v>
      </c>
      <c r="B576" s="6"/>
      <c r="C576" s="6" t="s">
        <v>1362</v>
      </c>
      <c r="D576" s="6" t="s">
        <v>1453</v>
      </c>
      <c r="E576" s="16">
        <v>62.05</v>
      </c>
      <c r="F576" s="16">
        <v>10.35</v>
      </c>
      <c r="G576" s="7">
        <v>360</v>
      </c>
      <c r="H576" s="6"/>
      <c r="I576" s="6" t="s">
        <v>1311</v>
      </c>
      <c r="J576" s="7">
        <v>1</v>
      </c>
    </row>
    <row r="577" spans="1:10" x14ac:dyDescent="0.3">
      <c r="A577" s="6" t="s">
        <v>1936</v>
      </c>
      <c r="B577" s="6"/>
      <c r="C577" s="6" t="s">
        <v>1362</v>
      </c>
      <c r="D577" s="6" t="s">
        <v>1453</v>
      </c>
      <c r="E577" s="16">
        <v>55.55</v>
      </c>
      <c r="F577" s="16">
        <v>10.35</v>
      </c>
      <c r="G577" s="7">
        <v>360</v>
      </c>
      <c r="H577" s="6"/>
      <c r="I577" s="6" t="s">
        <v>1311</v>
      </c>
      <c r="J577" s="7">
        <v>1</v>
      </c>
    </row>
    <row r="578" spans="1:10" x14ac:dyDescent="0.3">
      <c r="A578" s="6" t="s">
        <v>1937</v>
      </c>
      <c r="B578" s="6"/>
      <c r="C578" s="6" t="s">
        <v>1362</v>
      </c>
      <c r="D578" s="6" t="s">
        <v>1453</v>
      </c>
      <c r="E578" s="16">
        <v>49.05</v>
      </c>
      <c r="F578" s="16">
        <v>10.35</v>
      </c>
      <c r="G578" s="7">
        <v>360</v>
      </c>
      <c r="H578" s="6"/>
      <c r="I578" s="6" t="s">
        <v>1311</v>
      </c>
      <c r="J578" s="7">
        <v>1</v>
      </c>
    </row>
    <row r="579" spans="1:10" x14ac:dyDescent="0.3">
      <c r="A579" s="6" t="s">
        <v>1938</v>
      </c>
      <c r="B579" s="6"/>
      <c r="C579" s="6" t="s">
        <v>1362</v>
      </c>
      <c r="D579" s="6" t="s">
        <v>1453</v>
      </c>
      <c r="E579" s="16">
        <v>42.55</v>
      </c>
      <c r="F579" s="16">
        <v>10.35</v>
      </c>
      <c r="G579" s="7">
        <v>360</v>
      </c>
      <c r="H579" s="6"/>
      <c r="I579" s="6" t="s">
        <v>1311</v>
      </c>
      <c r="J579" s="7">
        <v>1</v>
      </c>
    </row>
    <row r="580" spans="1:10" x14ac:dyDescent="0.3">
      <c r="A580" s="6" t="s">
        <v>1939</v>
      </c>
      <c r="B580" s="6"/>
      <c r="C580" s="6" t="s">
        <v>1362</v>
      </c>
      <c r="D580" s="6" t="s">
        <v>1453</v>
      </c>
      <c r="E580" s="16">
        <v>36.049999999999997</v>
      </c>
      <c r="F580" s="16">
        <v>10.35</v>
      </c>
      <c r="G580" s="7">
        <v>360</v>
      </c>
      <c r="H580" s="6"/>
      <c r="I580" s="6" t="s">
        <v>1311</v>
      </c>
      <c r="J580" s="7">
        <v>1</v>
      </c>
    </row>
    <row r="581" spans="1:10" x14ac:dyDescent="0.3">
      <c r="A581" s="6" t="s">
        <v>1940</v>
      </c>
      <c r="B581" s="6"/>
      <c r="C581" s="6" t="s">
        <v>1362</v>
      </c>
      <c r="D581" s="6" t="s">
        <v>1453</v>
      </c>
      <c r="E581" s="16">
        <v>29.55</v>
      </c>
      <c r="F581" s="16">
        <v>10.35</v>
      </c>
      <c r="G581" s="7">
        <v>360</v>
      </c>
      <c r="H581" s="6"/>
      <c r="I581" s="6" t="s">
        <v>1311</v>
      </c>
      <c r="J581" s="7">
        <v>1</v>
      </c>
    </row>
    <row r="582" spans="1:10" x14ac:dyDescent="0.3">
      <c r="A582" s="6" t="s">
        <v>1941</v>
      </c>
      <c r="B582" s="6"/>
      <c r="C582" s="6" t="s">
        <v>1362</v>
      </c>
      <c r="D582" s="6" t="s">
        <v>1453</v>
      </c>
      <c r="E582" s="16">
        <v>23.05</v>
      </c>
      <c r="F582" s="16">
        <v>10.35</v>
      </c>
      <c r="G582" s="7">
        <v>360</v>
      </c>
      <c r="H582" s="6"/>
      <c r="I582" s="6" t="s">
        <v>1311</v>
      </c>
      <c r="J582" s="7">
        <v>1</v>
      </c>
    </row>
    <row r="583" spans="1:10" x14ac:dyDescent="0.3">
      <c r="A583" s="6" t="s">
        <v>1942</v>
      </c>
      <c r="B583" s="6"/>
      <c r="C583" s="6" t="s">
        <v>1362</v>
      </c>
      <c r="D583" s="6" t="s">
        <v>1453</v>
      </c>
      <c r="E583" s="16">
        <v>16.55</v>
      </c>
      <c r="F583" s="16">
        <v>10.35</v>
      </c>
      <c r="G583" s="7">
        <v>360</v>
      </c>
      <c r="H583" s="6"/>
      <c r="I583" s="6" t="s">
        <v>1311</v>
      </c>
      <c r="J583" s="7">
        <v>1</v>
      </c>
    </row>
    <row r="584" spans="1:10" x14ac:dyDescent="0.3">
      <c r="A584" s="6" t="s">
        <v>1943</v>
      </c>
      <c r="B584" s="6"/>
      <c r="C584" s="6" t="s">
        <v>1362</v>
      </c>
      <c r="D584" s="6" t="s">
        <v>1453</v>
      </c>
      <c r="E584" s="16">
        <v>10.050000000000001</v>
      </c>
      <c r="F584" s="16">
        <v>10.35</v>
      </c>
      <c r="G584" s="7">
        <v>360</v>
      </c>
      <c r="H584" s="6"/>
      <c r="I584" s="6" t="s">
        <v>1311</v>
      </c>
      <c r="J584" s="7">
        <v>1</v>
      </c>
    </row>
    <row r="585" spans="1:10" x14ac:dyDescent="0.3">
      <c r="A585" s="6" t="s">
        <v>1944</v>
      </c>
      <c r="B585" s="6"/>
      <c r="C585" s="6" t="s">
        <v>1362</v>
      </c>
      <c r="D585" s="6" t="s">
        <v>1453</v>
      </c>
      <c r="E585" s="16">
        <v>3.55</v>
      </c>
      <c r="F585" s="16">
        <v>10.35</v>
      </c>
      <c r="G585" s="7">
        <v>360</v>
      </c>
      <c r="H585" s="6"/>
      <c r="I585" s="6" t="s">
        <v>1311</v>
      </c>
      <c r="J585" s="7">
        <v>1</v>
      </c>
    </row>
    <row r="586" spans="1:10" x14ac:dyDescent="0.3">
      <c r="A586" s="6" t="s">
        <v>1945</v>
      </c>
      <c r="B586" s="6"/>
      <c r="C586" s="6" t="s">
        <v>1362</v>
      </c>
      <c r="D586" s="6" t="s">
        <v>1453</v>
      </c>
      <c r="E586" s="16">
        <v>270.05</v>
      </c>
      <c r="F586" s="16">
        <v>3.85</v>
      </c>
      <c r="G586" s="7">
        <v>360</v>
      </c>
      <c r="H586" s="6"/>
      <c r="I586" s="6" t="s">
        <v>1311</v>
      </c>
      <c r="J586" s="7">
        <v>1</v>
      </c>
    </row>
    <row r="587" spans="1:10" x14ac:dyDescent="0.3">
      <c r="A587" s="6" t="s">
        <v>1946</v>
      </c>
      <c r="B587" s="6"/>
      <c r="C587" s="6" t="s">
        <v>1362</v>
      </c>
      <c r="D587" s="6" t="s">
        <v>1453</v>
      </c>
      <c r="E587" s="16">
        <v>263.55</v>
      </c>
      <c r="F587" s="16">
        <v>3.85</v>
      </c>
      <c r="G587" s="7">
        <v>360</v>
      </c>
      <c r="H587" s="6"/>
      <c r="I587" s="6" t="s">
        <v>1311</v>
      </c>
      <c r="J587" s="7">
        <v>1</v>
      </c>
    </row>
    <row r="588" spans="1:10" x14ac:dyDescent="0.3">
      <c r="A588" s="6" t="s">
        <v>1947</v>
      </c>
      <c r="B588" s="6"/>
      <c r="C588" s="6" t="s">
        <v>1362</v>
      </c>
      <c r="D588" s="6" t="s">
        <v>1453</v>
      </c>
      <c r="E588" s="16">
        <v>257.05</v>
      </c>
      <c r="F588" s="16">
        <v>3.85</v>
      </c>
      <c r="G588" s="7">
        <v>360</v>
      </c>
      <c r="H588" s="6"/>
      <c r="I588" s="6" t="s">
        <v>1311</v>
      </c>
      <c r="J588" s="7">
        <v>1</v>
      </c>
    </row>
    <row r="589" spans="1:10" x14ac:dyDescent="0.3">
      <c r="A589" s="6" t="s">
        <v>1948</v>
      </c>
      <c r="B589" s="6"/>
      <c r="C589" s="6" t="s">
        <v>1362</v>
      </c>
      <c r="D589" s="6" t="s">
        <v>1453</v>
      </c>
      <c r="E589" s="16">
        <v>250.55</v>
      </c>
      <c r="F589" s="16">
        <v>3.85</v>
      </c>
      <c r="G589" s="7">
        <v>360</v>
      </c>
      <c r="H589" s="6"/>
      <c r="I589" s="6" t="s">
        <v>1311</v>
      </c>
      <c r="J589" s="7">
        <v>1</v>
      </c>
    </row>
    <row r="590" spans="1:10" x14ac:dyDescent="0.3">
      <c r="A590" s="6" t="s">
        <v>1949</v>
      </c>
      <c r="B590" s="6"/>
      <c r="C590" s="6" t="s">
        <v>1362</v>
      </c>
      <c r="D590" s="6" t="s">
        <v>1453</v>
      </c>
      <c r="E590" s="16">
        <v>244.05</v>
      </c>
      <c r="F590" s="16">
        <v>3.85</v>
      </c>
      <c r="G590" s="7">
        <v>360</v>
      </c>
      <c r="H590" s="6"/>
      <c r="I590" s="6" t="s">
        <v>1311</v>
      </c>
      <c r="J590" s="7">
        <v>1</v>
      </c>
    </row>
    <row r="591" spans="1:10" x14ac:dyDescent="0.3">
      <c r="A591" s="6" t="s">
        <v>1950</v>
      </c>
      <c r="B591" s="6"/>
      <c r="C591" s="6" t="s">
        <v>1362</v>
      </c>
      <c r="D591" s="6" t="s">
        <v>1453</v>
      </c>
      <c r="E591" s="16">
        <v>237.55</v>
      </c>
      <c r="F591" s="16">
        <v>3.85</v>
      </c>
      <c r="G591" s="7">
        <v>360</v>
      </c>
      <c r="H591" s="6"/>
      <c r="I591" s="6" t="s">
        <v>1311</v>
      </c>
      <c r="J591" s="7">
        <v>1</v>
      </c>
    </row>
    <row r="592" spans="1:10" x14ac:dyDescent="0.3">
      <c r="A592" s="6" t="s">
        <v>1951</v>
      </c>
      <c r="B592" s="6"/>
      <c r="C592" s="6" t="s">
        <v>1362</v>
      </c>
      <c r="D592" s="6" t="s">
        <v>1453</v>
      </c>
      <c r="E592" s="16">
        <v>231.05</v>
      </c>
      <c r="F592" s="16">
        <v>3.85</v>
      </c>
      <c r="G592" s="7">
        <v>360</v>
      </c>
      <c r="H592" s="6"/>
      <c r="I592" s="6" t="s">
        <v>1311</v>
      </c>
      <c r="J592" s="7">
        <v>1</v>
      </c>
    </row>
    <row r="593" spans="1:10" x14ac:dyDescent="0.3">
      <c r="A593" s="6" t="s">
        <v>1952</v>
      </c>
      <c r="B593" s="6"/>
      <c r="C593" s="6" t="s">
        <v>1362</v>
      </c>
      <c r="D593" s="6" t="s">
        <v>1453</v>
      </c>
      <c r="E593" s="16">
        <v>224.55</v>
      </c>
      <c r="F593" s="16">
        <v>3.85</v>
      </c>
      <c r="G593" s="7">
        <v>360</v>
      </c>
      <c r="H593" s="6"/>
      <c r="I593" s="6" t="s">
        <v>1311</v>
      </c>
      <c r="J593" s="7">
        <v>1</v>
      </c>
    </row>
    <row r="594" spans="1:10" x14ac:dyDescent="0.3">
      <c r="A594" s="6" t="s">
        <v>1953</v>
      </c>
      <c r="B594" s="6"/>
      <c r="C594" s="6" t="s">
        <v>1362</v>
      </c>
      <c r="D594" s="6" t="s">
        <v>1453</v>
      </c>
      <c r="E594" s="16">
        <v>218.05</v>
      </c>
      <c r="F594" s="16">
        <v>3.85</v>
      </c>
      <c r="G594" s="7">
        <v>360</v>
      </c>
      <c r="H594" s="6"/>
      <c r="I594" s="6" t="s">
        <v>1311</v>
      </c>
      <c r="J594" s="7">
        <v>1</v>
      </c>
    </row>
    <row r="595" spans="1:10" x14ac:dyDescent="0.3">
      <c r="A595" s="6" t="s">
        <v>1954</v>
      </c>
      <c r="B595" s="6"/>
      <c r="C595" s="6" t="s">
        <v>1362</v>
      </c>
      <c r="D595" s="6" t="s">
        <v>1453</v>
      </c>
      <c r="E595" s="16">
        <v>211.55</v>
      </c>
      <c r="F595" s="16">
        <v>3.85</v>
      </c>
      <c r="G595" s="7">
        <v>360</v>
      </c>
      <c r="H595" s="6"/>
      <c r="I595" s="6" t="s">
        <v>1311</v>
      </c>
      <c r="J595" s="7">
        <v>1</v>
      </c>
    </row>
    <row r="596" spans="1:10" x14ac:dyDescent="0.3">
      <c r="A596" s="6" t="s">
        <v>1955</v>
      </c>
      <c r="B596" s="6"/>
      <c r="C596" s="6" t="s">
        <v>1362</v>
      </c>
      <c r="D596" s="6" t="s">
        <v>1453</v>
      </c>
      <c r="E596" s="16">
        <v>205.05</v>
      </c>
      <c r="F596" s="16">
        <v>3.85</v>
      </c>
      <c r="G596" s="7">
        <v>360</v>
      </c>
      <c r="H596" s="6"/>
      <c r="I596" s="6" t="s">
        <v>1311</v>
      </c>
      <c r="J596" s="7">
        <v>1</v>
      </c>
    </row>
    <row r="597" spans="1:10" x14ac:dyDescent="0.3">
      <c r="A597" s="6" t="s">
        <v>1956</v>
      </c>
      <c r="B597" s="6"/>
      <c r="C597" s="6" t="s">
        <v>1362</v>
      </c>
      <c r="D597" s="6" t="s">
        <v>1453</v>
      </c>
      <c r="E597" s="16">
        <v>198.55</v>
      </c>
      <c r="F597" s="16">
        <v>3.85</v>
      </c>
      <c r="G597" s="7">
        <v>360</v>
      </c>
      <c r="H597" s="6"/>
      <c r="I597" s="6" t="s">
        <v>1311</v>
      </c>
      <c r="J597" s="7">
        <v>1</v>
      </c>
    </row>
    <row r="598" spans="1:10" x14ac:dyDescent="0.3">
      <c r="A598" s="6" t="s">
        <v>1957</v>
      </c>
      <c r="B598" s="6"/>
      <c r="C598" s="6" t="s">
        <v>1362</v>
      </c>
      <c r="D598" s="6" t="s">
        <v>1453</v>
      </c>
      <c r="E598" s="16">
        <v>192.05</v>
      </c>
      <c r="F598" s="16">
        <v>3.85</v>
      </c>
      <c r="G598" s="7">
        <v>360</v>
      </c>
      <c r="H598" s="6"/>
      <c r="I598" s="6" t="s">
        <v>1311</v>
      </c>
      <c r="J598" s="7">
        <v>1</v>
      </c>
    </row>
    <row r="599" spans="1:10" x14ac:dyDescent="0.3">
      <c r="A599" s="6" t="s">
        <v>1958</v>
      </c>
      <c r="B599" s="6"/>
      <c r="C599" s="6" t="s">
        <v>1362</v>
      </c>
      <c r="D599" s="6" t="s">
        <v>1453</v>
      </c>
      <c r="E599" s="16">
        <v>185.55</v>
      </c>
      <c r="F599" s="16">
        <v>3.85</v>
      </c>
      <c r="G599" s="7">
        <v>360</v>
      </c>
      <c r="H599" s="6"/>
      <c r="I599" s="6" t="s">
        <v>1311</v>
      </c>
      <c r="J599" s="7">
        <v>1</v>
      </c>
    </row>
    <row r="600" spans="1:10" x14ac:dyDescent="0.3">
      <c r="A600" s="6" t="s">
        <v>1959</v>
      </c>
      <c r="B600" s="6"/>
      <c r="C600" s="6" t="s">
        <v>1362</v>
      </c>
      <c r="D600" s="6" t="s">
        <v>1453</v>
      </c>
      <c r="E600" s="16">
        <v>179.05</v>
      </c>
      <c r="F600" s="16">
        <v>3.85</v>
      </c>
      <c r="G600" s="7">
        <v>360</v>
      </c>
      <c r="H600" s="6"/>
      <c r="I600" s="6" t="s">
        <v>1311</v>
      </c>
      <c r="J600" s="7">
        <v>1</v>
      </c>
    </row>
    <row r="601" spans="1:10" x14ac:dyDescent="0.3">
      <c r="A601" s="6" t="s">
        <v>1960</v>
      </c>
      <c r="B601" s="6"/>
      <c r="C601" s="6" t="s">
        <v>1362</v>
      </c>
      <c r="D601" s="6" t="s">
        <v>1453</v>
      </c>
      <c r="E601" s="16">
        <v>172.55</v>
      </c>
      <c r="F601" s="16">
        <v>3.85</v>
      </c>
      <c r="G601" s="7">
        <v>360</v>
      </c>
      <c r="H601" s="6"/>
      <c r="I601" s="6" t="s">
        <v>1311</v>
      </c>
      <c r="J601" s="7">
        <v>1</v>
      </c>
    </row>
    <row r="602" spans="1:10" x14ac:dyDescent="0.3">
      <c r="A602" s="6" t="s">
        <v>1961</v>
      </c>
      <c r="B602" s="6"/>
      <c r="C602" s="6" t="s">
        <v>1362</v>
      </c>
      <c r="D602" s="6" t="s">
        <v>1453</v>
      </c>
      <c r="E602" s="16">
        <v>166.05</v>
      </c>
      <c r="F602" s="16">
        <v>3.85</v>
      </c>
      <c r="G602" s="7">
        <v>360</v>
      </c>
      <c r="H602" s="6"/>
      <c r="I602" s="6" t="s">
        <v>1311</v>
      </c>
      <c r="J602" s="7">
        <v>1</v>
      </c>
    </row>
    <row r="603" spans="1:10" x14ac:dyDescent="0.3">
      <c r="A603" s="6" t="s">
        <v>1962</v>
      </c>
      <c r="B603" s="6"/>
      <c r="C603" s="6" t="s">
        <v>1362</v>
      </c>
      <c r="D603" s="6" t="s">
        <v>1453</v>
      </c>
      <c r="E603" s="16">
        <v>159.55000000000001</v>
      </c>
      <c r="F603" s="16">
        <v>3.85</v>
      </c>
      <c r="G603" s="7">
        <v>360</v>
      </c>
      <c r="H603" s="6"/>
      <c r="I603" s="6" t="s">
        <v>1311</v>
      </c>
      <c r="J603" s="7">
        <v>1</v>
      </c>
    </row>
    <row r="604" spans="1:10" x14ac:dyDescent="0.3">
      <c r="A604" s="6" t="s">
        <v>1963</v>
      </c>
      <c r="B604" s="6"/>
      <c r="C604" s="6" t="s">
        <v>1362</v>
      </c>
      <c r="D604" s="6" t="s">
        <v>1453</v>
      </c>
      <c r="E604" s="16">
        <v>153.05000000000001</v>
      </c>
      <c r="F604" s="16">
        <v>3.85</v>
      </c>
      <c r="G604" s="7">
        <v>360</v>
      </c>
      <c r="H604" s="6"/>
      <c r="I604" s="6" t="s">
        <v>1311</v>
      </c>
      <c r="J604" s="7">
        <v>1</v>
      </c>
    </row>
    <row r="605" spans="1:10" x14ac:dyDescent="0.3">
      <c r="A605" s="6" t="s">
        <v>1964</v>
      </c>
      <c r="B605" s="6"/>
      <c r="C605" s="6" t="s">
        <v>1362</v>
      </c>
      <c r="D605" s="6" t="s">
        <v>1453</v>
      </c>
      <c r="E605" s="16">
        <v>146.55000000000001</v>
      </c>
      <c r="F605" s="16">
        <v>3.85</v>
      </c>
      <c r="G605" s="7">
        <v>360</v>
      </c>
      <c r="H605" s="6"/>
      <c r="I605" s="6" t="s">
        <v>1311</v>
      </c>
      <c r="J605" s="7">
        <v>1</v>
      </c>
    </row>
    <row r="606" spans="1:10" x14ac:dyDescent="0.3">
      <c r="A606" s="6" t="s">
        <v>1965</v>
      </c>
      <c r="B606" s="6"/>
      <c r="C606" s="6" t="s">
        <v>1362</v>
      </c>
      <c r="D606" s="6" t="s">
        <v>1453</v>
      </c>
      <c r="E606" s="16">
        <v>140.05000000000001</v>
      </c>
      <c r="F606" s="16">
        <v>3.85</v>
      </c>
      <c r="G606" s="7">
        <v>360</v>
      </c>
      <c r="H606" s="6"/>
      <c r="I606" s="6" t="s">
        <v>1311</v>
      </c>
      <c r="J606" s="7">
        <v>1</v>
      </c>
    </row>
    <row r="607" spans="1:10" x14ac:dyDescent="0.3">
      <c r="A607" s="6" t="s">
        <v>1966</v>
      </c>
      <c r="B607" s="6"/>
      <c r="C607" s="6" t="s">
        <v>1362</v>
      </c>
      <c r="D607" s="6" t="s">
        <v>1453</v>
      </c>
      <c r="E607" s="16">
        <v>133.55000000000001</v>
      </c>
      <c r="F607" s="16">
        <v>3.85</v>
      </c>
      <c r="G607" s="7">
        <v>360</v>
      </c>
      <c r="H607" s="6"/>
      <c r="I607" s="6" t="s">
        <v>1311</v>
      </c>
      <c r="J607" s="7">
        <v>1</v>
      </c>
    </row>
    <row r="608" spans="1:10" x14ac:dyDescent="0.3">
      <c r="A608" s="6" t="s">
        <v>1967</v>
      </c>
      <c r="B608" s="6"/>
      <c r="C608" s="6" t="s">
        <v>1362</v>
      </c>
      <c r="D608" s="6" t="s">
        <v>1453</v>
      </c>
      <c r="E608" s="16">
        <v>127.05</v>
      </c>
      <c r="F608" s="16">
        <v>3.85</v>
      </c>
      <c r="G608" s="7">
        <v>360</v>
      </c>
      <c r="H608" s="6"/>
      <c r="I608" s="6" t="s">
        <v>1311</v>
      </c>
      <c r="J608" s="7">
        <v>1</v>
      </c>
    </row>
    <row r="609" spans="1:10" x14ac:dyDescent="0.3">
      <c r="A609" s="6" t="s">
        <v>1968</v>
      </c>
      <c r="B609" s="6"/>
      <c r="C609" s="6" t="s">
        <v>1362</v>
      </c>
      <c r="D609" s="6" t="s">
        <v>1453</v>
      </c>
      <c r="E609" s="16">
        <v>120.55</v>
      </c>
      <c r="F609" s="16">
        <v>3.85</v>
      </c>
      <c r="G609" s="7">
        <v>360</v>
      </c>
      <c r="H609" s="6"/>
      <c r="I609" s="6" t="s">
        <v>1311</v>
      </c>
      <c r="J609" s="7">
        <v>1</v>
      </c>
    </row>
    <row r="610" spans="1:10" x14ac:dyDescent="0.3">
      <c r="A610" s="6" t="s">
        <v>1969</v>
      </c>
      <c r="B610" s="6"/>
      <c r="C610" s="6" t="s">
        <v>1362</v>
      </c>
      <c r="D610" s="6" t="s">
        <v>1453</v>
      </c>
      <c r="E610" s="16">
        <v>114.05</v>
      </c>
      <c r="F610" s="16">
        <v>3.85</v>
      </c>
      <c r="G610" s="7">
        <v>360</v>
      </c>
      <c r="H610" s="6"/>
      <c r="I610" s="6" t="s">
        <v>1311</v>
      </c>
      <c r="J610" s="7">
        <v>1</v>
      </c>
    </row>
    <row r="611" spans="1:10" x14ac:dyDescent="0.3">
      <c r="A611" s="6" t="s">
        <v>1970</v>
      </c>
      <c r="B611" s="6"/>
      <c r="C611" s="6" t="s">
        <v>1362</v>
      </c>
      <c r="D611" s="6" t="s">
        <v>1453</v>
      </c>
      <c r="E611" s="16">
        <v>107.55</v>
      </c>
      <c r="F611" s="16">
        <v>3.85</v>
      </c>
      <c r="G611" s="7">
        <v>360</v>
      </c>
      <c r="H611" s="6"/>
      <c r="I611" s="6" t="s">
        <v>1311</v>
      </c>
      <c r="J611" s="7">
        <v>1</v>
      </c>
    </row>
    <row r="612" spans="1:10" x14ac:dyDescent="0.3">
      <c r="A612" s="6" t="s">
        <v>1971</v>
      </c>
      <c r="B612" s="6"/>
      <c r="C612" s="6" t="s">
        <v>1362</v>
      </c>
      <c r="D612" s="6" t="s">
        <v>1453</v>
      </c>
      <c r="E612" s="16">
        <v>101.05</v>
      </c>
      <c r="F612" s="16">
        <v>3.85</v>
      </c>
      <c r="G612" s="7">
        <v>360</v>
      </c>
      <c r="H612" s="6"/>
      <c r="I612" s="6" t="s">
        <v>1311</v>
      </c>
      <c r="J612" s="7">
        <v>1</v>
      </c>
    </row>
    <row r="613" spans="1:10" x14ac:dyDescent="0.3">
      <c r="A613" s="6" t="s">
        <v>1972</v>
      </c>
      <c r="B613" s="6"/>
      <c r="C613" s="6" t="s">
        <v>1362</v>
      </c>
      <c r="D613" s="6" t="s">
        <v>1453</v>
      </c>
      <c r="E613" s="16">
        <v>94.55</v>
      </c>
      <c r="F613" s="16">
        <v>3.85</v>
      </c>
      <c r="G613" s="7">
        <v>360</v>
      </c>
      <c r="H613" s="6"/>
      <c r="I613" s="6" t="s">
        <v>1311</v>
      </c>
      <c r="J613" s="7">
        <v>1</v>
      </c>
    </row>
    <row r="614" spans="1:10" x14ac:dyDescent="0.3">
      <c r="A614" s="6" t="s">
        <v>1973</v>
      </c>
      <c r="B614" s="6"/>
      <c r="C614" s="6" t="s">
        <v>1362</v>
      </c>
      <c r="D614" s="6" t="s">
        <v>1453</v>
      </c>
      <c r="E614" s="16">
        <v>88.05</v>
      </c>
      <c r="F614" s="16">
        <v>3.85</v>
      </c>
      <c r="G614" s="7">
        <v>360</v>
      </c>
      <c r="H614" s="6"/>
      <c r="I614" s="6" t="s">
        <v>1311</v>
      </c>
      <c r="J614" s="7">
        <v>1</v>
      </c>
    </row>
    <row r="615" spans="1:10" x14ac:dyDescent="0.3">
      <c r="A615" s="6" t="s">
        <v>1974</v>
      </c>
      <c r="B615" s="6"/>
      <c r="C615" s="6" t="s">
        <v>1362</v>
      </c>
      <c r="D615" s="6" t="s">
        <v>1453</v>
      </c>
      <c r="E615" s="16">
        <v>81.55</v>
      </c>
      <c r="F615" s="16">
        <v>3.85</v>
      </c>
      <c r="G615" s="7">
        <v>360</v>
      </c>
      <c r="H615" s="6"/>
      <c r="I615" s="6" t="s">
        <v>1311</v>
      </c>
      <c r="J615" s="7">
        <v>1</v>
      </c>
    </row>
    <row r="616" spans="1:10" x14ac:dyDescent="0.3">
      <c r="A616" s="6" t="s">
        <v>1975</v>
      </c>
      <c r="B616" s="6"/>
      <c r="C616" s="6" t="s">
        <v>1362</v>
      </c>
      <c r="D616" s="6" t="s">
        <v>1453</v>
      </c>
      <c r="E616" s="16">
        <v>75.05</v>
      </c>
      <c r="F616" s="16">
        <v>3.85</v>
      </c>
      <c r="G616" s="7">
        <v>360</v>
      </c>
      <c r="H616" s="6"/>
      <c r="I616" s="6" t="s">
        <v>1311</v>
      </c>
      <c r="J616" s="7">
        <v>1</v>
      </c>
    </row>
    <row r="617" spans="1:10" x14ac:dyDescent="0.3">
      <c r="A617" s="6" t="s">
        <v>1976</v>
      </c>
      <c r="B617" s="6"/>
      <c r="C617" s="6" t="s">
        <v>1362</v>
      </c>
      <c r="D617" s="6" t="s">
        <v>1453</v>
      </c>
      <c r="E617" s="16">
        <v>68.55</v>
      </c>
      <c r="F617" s="16">
        <v>3.85</v>
      </c>
      <c r="G617" s="7">
        <v>360</v>
      </c>
      <c r="H617" s="6"/>
      <c r="I617" s="6" t="s">
        <v>1311</v>
      </c>
      <c r="J617" s="7">
        <v>1</v>
      </c>
    </row>
    <row r="618" spans="1:10" x14ac:dyDescent="0.3">
      <c r="A618" s="6" t="s">
        <v>1977</v>
      </c>
      <c r="B618" s="6"/>
      <c r="C618" s="6" t="s">
        <v>1362</v>
      </c>
      <c r="D618" s="6" t="s">
        <v>1453</v>
      </c>
      <c r="E618" s="16">
        <v>62.05</v>
      </c>
      <c r="F618" s="16">
        <v>3.85</v>
      </c>
      <c r="G618" s="7">
        <v>360</v>
      </c>
      <c r="H618" s="6"/>
      <c r="I618" s="6" t="s">
        <v>1311</v>
      </c>
      <c r="J618" s="7">
        <v>1</v>
      </c>
    </row>
    <row r="619" spans="1:10" x14ac:dyDescent="0.3">
      <c r="A619" s="6" t="s">
        <v>1978</v>
      </c>
      <c r="B619" s="6"/>
      <c r="C619" s="6" t="s">
        <v>1362</v>
      </c>
      <c r="D619" s="6" t="s">
        <v>1453</v>
      </c>
      <c r="E619" s="16">
        <v>55.55</v>
      </c>
      <c r="F619" s="16">
        <v>3.85</v>
      </c>
      <c r="G619" s="7">
        <v>360</v>
      </c>
      <c r="H619" s="6"/>
      <c r="I619" s="6" t="s">
        <v>1311</v>
      </c>
      <c r="J619" s="7">
        <v>1</v>
      </c>
    </row>
    <row r="620" spans="1:10" x14ac:dyDescent="0.3">
      <c r="A620" s="6" t="s">
        <v>1979</v>
      </c>
      <c r="B620" s="6"/>
      <c r="C620" s="6" t="s">
        <v>1362</v>
      </c>
      <c r="D620" s="6" t="s">
        <v>1453</v>
      </c>
      <c r="E620" s="16">
        <v>49.05</v>
      </c>
      <c r="F620" s="16">
        <v>3.85</v>
      </c>
      <c r="G620" s="7">
        <v>360</v>
      </c>
      <c r="H620" s="6"/>
      <c r="I620" s="6" t="s">
        <v>1311</v>
      </c>
      <c r="J620" s="7">
        <v>1</v>
      </c>
    </row>
    <row r="621" spans="1:10" x14ac:dyDescent="0.3">
      <c r="A621" s="6" t="s">
        <v>1980</v>
      </c>
      <c r="B621" s="6"/>
      <c r="C621" s="6" t="s">
        <v>1362</v>
      </c>
      <c r="D621" s="6" t="s">
        <v>1453</v>
      </c>
      <c r="E621" s="16">
        <v>42.55</v>
      </c>
      <c r="F621" s="16">
        <v>3.85</v>
      </c>
      <c r="G621" s="7">
        <v>360</v>
      </c>
      <c r="H621" s="6"/>
      <c r="I621" s="6" t="s">
        <v>1311</v>
      </c>
      <c r="J621" s="7">
        <v>1</v>
      </c>
    </row>
    <row r="622" spans="1:10" x14ac:dyDescent="0.3">
      <c r="A622" s="6" t="s">
        <v>1981</v>
      </c>
      <c r="B622" s="6"/>
      <c r="C622" s="6" t="s">
        <v>1362</v>
      </c>
      <c r="D622" s="6" t="s">
        <v>1453</v>
      </c>
      <c r="E622" s="16">
        <v>36.049999999999997</v>
      </c>
      <c r="F622" s="16">
        <v>3.85</v>
      </c>
      <c r="G622" s="7">
        <v>360</v>
      </c>
      <c r="H622" s="6"/>
      <c r="I622" s="6" t="s">
        <v>1311</v>
      </c>
      <c r="J622" s="7">
        <v>1</v>
      </c>
    </row>
    <row r="623" spans="1:10" x14ac:dyDescent="0.3">
      <c r="A623" s="6" t="s">
        <v>1982</v>
      </c>
      <c r="B623" s="6"/>
      <c r="C623" s="6" t="s">
        <v>1362</v>
      </c>
      <c r="D623" s="6" t="s">
        <v>1453</v>
      </c>
      <c r="E623" s="16">
        <v>29.55</v>
      </c>
      <c r="F623" s="16">
        <v>3.85</v>
      </c>
      <c r="G623" s="7">
        <v>360</v>
      </c>
      <c r="H623" s="6"/>
      <c r="I623" s="6" t="s">
        <v>1311</v>
      </c>
      <c r="J623" s="7">
        <v>1</v>
      </c>
    </row>
    <row r="624" spans="1:10" x14ac:dyDescent="0.3">
      <c r="A624" s="6" t="s">
        <v>1983</v>
      </c>
      <c r="B624" s="6"/>
      <c r="C624" s="6" t="s">
        <v>1362</v>
      </c>
      <c r="D624" s="6" t="s">
        <v>1453</v>
      </c>
      <c r="E624" s="16">
        <v>23.05</v>
      </c>
      <c r="F624" s="16">
        <v>3.85</v>
      </c>
      <c r="G624" s="7">
        <v>360</v>
      </c>
      <c r="H624" s="6"/>
      <c r="I624" s="6" t="s">
        <v>1311</v>
      </c>
      <c r="J624" s="7">
        <v>1</v>
      </c>
    </row>
    <row r="625" spans="1:10" x14ac:dyDescent="0.3">
      <c r="A625" s="6" t="s">
        <v>1984</v>
      </c>
      <c r="B625" s="6"/>
      <c r="C625" s="6" t="s">
        <v>1362</v>
      </c>
      <c r="D625" s="6" t="s">
        <v>1453</v>
      </c>
      <c r="E625" s="16">
        <v>16.55</v>
      </c>
      <c r="F625" s="16">
        <v>3.85</v>
      </c>
      <c r="G625" s="7">
        <v>360</v>
      </c>
      <c r="H625" s="6"/>
      <c r="I625" s="6" t="s">
        <v>1311</v>
      </c>
      <c r="J625" s="7">
        <v>1</v>
      </c>
    </row>
    <row r="626" spans="1:10" x14ac:dyDescent="0.3">
      <c r="A626" s="6" t="s">
        <v>1985</v>
      </c>
      <c r="B626" s="6"/>
      <c r="C626" s="6" t="s">
        <v>1362</v>
      </c>
      <c r="D626" s="6" t="s">
        <v>1453</v>
      </c>
      <c r="E626" s="16">
        <v>10.050000000000001</v>
      </c>
      <c r="F626" s="16">
        <v>3.85</v>
      </c>
      <c r="G626" s="7">
        <v>360</v>
      </c>
      <c r="H626" s="6"/>
      <c r="I626" s="6" t="s">
        <v>1311</v>
      </c>
      <c r="J626" s="7">
        <v>1</v>
      </c>
    </row>
    <row r="627" spans="1:10" x14ac:dyDescent="0.3">
      <c r="A627" s="6" t="s">
        <v>1986</v>
      </c>
      <c r="B627" s="6"/>
      <c r="C627" s="6" t="s">
        <v>1362</v>
      </c>
      <c r="D627" s="6" t="s">
        <v>1453</v>
      </c>
      <c r="E627" s="16">
        <v>3.55</v>
      </c>
      <c r="F627" s="16">
        <v>3.85</v>
      </c>
      <c r="G627" s="7">
        <v>360</v>
      </c>
      <c r="H627" s="6"/>
      <c r="I627" s="6" t="s">
        <v>1311</v>
      </c>
      <c r="J627" s="7">
        <v>1</v>
      </c>
    </row>
    <row r="628" spans="1:10" x14ac:dyDescent="0.3">
      <c r="A628" s="6" t="s">
        <v>1987</v>
      </c>
      <c r="B628" s="6" t="s">
        <v>1353</v>
      </c>
      <c r="C628" s="6" t="s">
        <v>1362</v>
      </c>
      <c r="D628" s="6" t="s">
        <v>1988</v>
      </c>
      <c r="E628" s="16">
        <v>7.157</v>
      </c>
      <c r="F628" s="16">
        <v>6.9249999999999998</v>
      </c>
      <c r="G628" s="7">
        <v>90.550000000046595</v>
      </c>
      <c r="H628" s="6"/>
      <c r="I628" s="6" t="s">
        <v>1989</v>
      </c>
      <c r="J628" s="7">
        <v>1</v>
      </c>
    </row>
    <row r="629" spans="1:10" x14ac:dyDescent="0.3">
      <c r="A629" s="6" t="s">
        <v>1990</v>
      </c>
      <c r="B629" s="6" t="s">
        <v>1353</v>
      </c>
      <c r="C629" s="6" t="s">
        <v>1362</v>
      </c>
      <c r="D629" s="6" t="s">
        <v>1988</v>
      </c>
      <c r="E629" s="16">
        <v>267.55700000000002</v>
      </c>
      <c r="F629" s="16">
        <v>163.328</v>
      </c>
      <c r="G629" s="7">
        <v>90.550000000046595</v>
      </c>
      <c r="H629" s="6"/>
      <c r="I629" s="6" t="s">
        <v>1989</v>
      </c>
      <c r="J629" s="7">
        <v>1</v>
      </c>
    </row>
    <row r="630" spans="1:10" x14ac:dyDescent="0.3">
      <c r="A630" s="6" t="s">
        <v>1991</v>
      </c>
      <c r="B630" s="6" t="s">
        <v>1353</v>
      </c>
      <c r="C630" s="6" t="s">
        <v>1362</v>
      </c>
      <c r="D630" s="6" t="s">
        <v>1988</v>
      </c>
      <c r="E630" s="16">
        <v>266.87799999999999</v>
      </c>
      <c r="F630" s="16">
        <v>6.9930000000000003</v>
      </c>
      <c r="G630" s="7">
        <v>90.550000000046595</v>
      </c>
      <c r="H630" s="6"/>
      <c r="I630" s="6" t="s">
        <v>1989</v>
      </c>
      <c r="J630" s="7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9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1" customWidth="1"/>
    <col min="2" max="2" width="10" customWidth="1"/>
    <col min="3" max="3" width="11" customWidth="1"/>
    <col min="4" max="4" width="16" customWidth="1"/>
    <col min="5" max="6" width="13" customWidth="1"/>
    <col min="7" max="7" width="10" customWidth="1"/>
    <col min="8" max="8" width="12" customWidth="1"/>
    <col min="9" max="10" width="10" customWidth="1"/>
  </cols>
  <sheetData>
    <row r="1" spans="1:10" ht="17.399999999999999" x14ac:dyDescent="0.3">
      <c r="A1" s="1" t="s">
        <v>1992</v>
      </c>
    </row>
    <row r="2" spans="1:10" x14ac:dyDescent="0.3">
      <c r="A2" s="2" t="s">
        <v>1351</v>
      </c>
    </row>
    <row r="4" spans="1:10" ht="26.4" x14ac:dyDescent="0.3">
      <c r="A4" s="5" t="s">
        <v>1352</v>
      </c>
      <c r="B4" s="5" t="s">
        <v>1353</v>
      </c>
      <c r="C4" s="5" t="s">
        <v>1354</v>
      </c>
      <c r="D4" s="5" t="s">
        <v>1355</v>
      </c>
      <c r="E4" s="5" t="s">
        <v>1356</v>
      </c>
      <c r="F4" s="5" t="s">
        <v>1357</v>
      </c>
      <c r="G4" s="5" t="s">
        <v>1358</v>
      </c>
      <c r="H4" s="5" t="s">
        <v>123</v>
      </c>
      <c r="I4" s="5" t="s">
        <v>1359</v>
      </c>
      <c r="J4" s="5" t="s">
        <v>1360</v>
      </c>
    </row>
    <row r="5" spans="1:10" x14ac:dyDescent="0.3">
      <c r="A5" s="6" t="s">
        <v>1993</v>
      </c>
      <c r="B5" s="6" t="s">
        <v>1311</v>
      </c>
      <c r="C5" s="6" t="s">
        <v>1362</v>
      </c>
      <c r="D5" s="6" t="s">
        <v>1994</v>
      </c>
      <c r="E5" s="16">
        <v>3.75</v>
      </c>
      <c r="F5" s="16">
        <v>31.6</v>
      </c>
      <c r="G5" s="7">
        <v>0</v>
      </c>
      <c r="H5" s="6"/>
      <c r="I5" s="6" t="s">
        <v>1311</v>
      </c>
      <c r="J5" s="7">
        <v>2</v>
      </c>
    </row>
    <row r="6" spans="1:10" x14ac:dyDescent="0.3">
      <c r="A6" s="6" t="s">
        <v>1995</v>
      </c>
      <c r="B6" s="6" t="s">
        <v>1311</v>
      </c>
      <c r="C6" s="6" t="s">
        <v>1362</v>
      </c>
      <c r="D6" s="6" t="s">
        <v>1994</v>
      </c>
      <c r="E6" s="16">
        <v>8.65</v>
      </c>
      <c r="F6" s="16">
        <v>31.6</v>
      </c>
      <c r="G6" s="7">
        <v>0</v>
      </c>
      <c r="H6" s="6"/>
      <c r="I6" s="6" t="s">
        <v>1311</v>
      </c>
      <c r="J6" s="7">
        <v>2</v>
      </c>
    </row>
    <row r="7" spans="1:10" x14ac:dyDescent="0.3">
      <c r="A7" s="6" t="s">
        <v>1996</v>
      </c>
      <c r="B7" s="6" t="s">
        <v>1311</v>
      </c>
      <c r="C7" s="6" t="s">
        <v>1362</v>
      </c>
      <c r="D7" s="6" t="s">
        <v>1994</v>
      </c>
      <c r="E7" s="16">
        <v>13.55</v>
      </c>
      <c r="F7" s="16">
        <v>31.6</v>
      </c>
      <c r="G7" s="7">
        <v>0</v>
      </c>
      <c r="H7" s="6"/>
      <c r="I7" s="6" t="s">
        <v>1311</v>
      </c>
      <c r="J7" s="7">
        <v>2</v>
      </c>
    </row>
    <row r="8" spans="1:10" x14ac:dyDescent="0.3">
      <c r="A8" s="6" t="s">
        <v>1997</v>
      </c>
      <c r="B8" s="6" t="s">
        <v>1311</v>
      </c>
      <c r="C8" s="6" t="s">
        <v>1362</v>
      </c>
      <c r="D8" s="6" t="s">
        <v>1994</v>
      </c>
      <c r="E8" s="16">
        <v>18.45</v>
      </c>
      <c r="F8" s="16">
        <v>31.6</v>
      </c>
      <c r="G8" s="7">
        <v>0</v>
      </c>
      <c r="H8" s="6"/>
      <c r="I8" s="6" t="s">
        <v>1311</v>
      </c>
      <c r="J8" s="7">
        <v>2</v>
      </c>
    </row>
    <row r="9" spans="1:10" x14ac:dyDescent="0.3">
      <c r="A9" s="6" t="s">
        <v>1998</v>
      </c>
      <c r="B9" s="6" t="s">
        <v>1311</v>
      </c>
      <c r="C9" s="6" t="s">
        <v>1362</v>
      </c>
      <c r="D9" s="6" t="s">
        <v>1994</v>
      </c>
      <c r="E9" s="16">
        <v>23.35</v>
      </c>
      <c r="F9" s="16">
        <v>31.6</v>
      </c>
      <c r="G9" s="7">
        <v>0</v>
      </c>
      <c r="H9" s="6"/>
      <c r="I9" s="6" t="s">
        <v>1311</v>
      </c>
      <c r="J9" s="7">
        <v>2</v>
      </c>
    </row>
    <row r="10" spans="1:10" x14ac:dyDescent="0.3">
      <c r="A10" s="6" t="s">
        <v>1999</v>
      </c>
      <c r="B10" s="6" t="s">
        <v>1311</v>
      </c>
      <c r="C10" s="6" t="s">
        <v>1362</v>
      </c>
      <c r="D10" s="6" t="s">
        <v>1994</v>
      </c>
      <c r="E10" s="16">
        <v>28.25</v>
      </c>
      <c r="F10" s="16">
        <v>31.6</v>
      </c>
      <c r="G10" s="7">
        <v>0</v>
      </c>
      <c r="H10" s="6"/>
      <c r="I10" s="6" t="s">
        <v>1311</v>
      </c>
      <c r="J10" s="7">
        <v>2</v>
      </c>
    </row>
    <row r="11" spans="1:10" x14ac:dyDescent="0.3">
      <c r="A11" s="6" t="s">
        <v>2000</v>
      </c>
      <c r="B11" s="6" t="s">
        <v>1311</v>
      </c>
      <c r="C11" s="6" t="s">
        <v>1362</v>
      </c>
      <c r="D11" s="6" t="s">
        <v>1994</v>
      </c>
      <c r="E11" s="16">
        <v>33.15</v>
      </c>
      <c r="F11" s="16">
        <v>31.6</v>
      </c>
      <c r="G11" s="7">
        <v>0</v>
      </c>
      <c r="H11" s="6"/>
      <c r="I11" s="6" t="s">
        <v>1311</v>
      </c>
      <c r="J11" s="7">
        <v>2</v>
      </c>
    </row>
    <row r="12" spans="1:10" x14ac:dyDescent="0.3">
      <c r="A12" s="6" t="s">
        <v>2001</v>
      </c>
      <c r="B12" s="6" t="s">
        <v>1311</v>
      </c>
      <c r="C12" s="6" t="s">
        <v>1362</v>
      </c>
      <c r="D12" s="6" t="s">
        <v>1994</v>
      </c>
      <c r="E12" s="16">
        <v>38.049999999999997</v>
      </c>
      <c r="F12" s="16">
        <v>31.6</v>
      </c>
      <c r="G12" s="7">
        <v>0</v>
      </c>
      <c r="H12" s="6"/>
      <c r="I12" s="6" t="s">
        <v>1311</v>
      </c>
      <c r="J12" s="7">
        <v>2</v>
      </c>
    </row>
    <row r="13" spans="1:10" x14ac:dyDescent="0.3">
      <c r="A13" s="6" t="s">
        <v>2002</v>
      </c>
      <c r="B13" s="6" t="s">
        <v>1311</v>
      </c>
      <c r="C13" s="6" t="s">
        <v>1362</v>
      </c>
      <c r="D13" s="6" t="s">
        <v>1994</v>
      </c>
      <c r="E13" s="16">
        <v>42.95</v>
      </c>
      <c r="F13" s="16">
        <v>31.6</v>
      </c>
      <c r="G13" s="7">
        <v>0</v>
      </c>
      <c r="H13" s="6"/>
      <c r="I13" s="6" t="s">
        <v>1311</v>
      </c>
      <c r="J13" s="7">
        <v>2</v>
      </c>
    </row>
    <row r="14" spans="1:10" x14ac:dyDescent="0.3">
      <c r="A14" s="6" t="s">
        <v>2003</v>
      </c>
      <c r="B14" s="6" t="s">
        <v>1311</v>
      </c>
      <c r="C14" s="6" t="s">
        <v>1362</v>
      </c>
      <c r="D14" s="6" t="s">
        <v>1994</v>
      </c>
      <c r="E14" s="16">
        <v>47.85</v>
      </c>
      <c r="F14" s="16">
        <v>31.6</v>
      </c>
      <c r="G14" s="7">
        <v>0</v>
      </c>
      <c r="H14" s="6"/>
      <c r="I14" s="6" t="s">
        <v>1311</v>
      </c>
      <c r="J14" s="7">
        <v>2</v>
      </c>
    </row>
    <row r="15" spans="1:10" x14ac:dyDescent="0.3">
      <c r="A15" s="6" t="s">
        <v>2004</v>
      </c>
      <c r="B15" s="6" t="s">
        <v>1311</v>
      </c>
      <c r="C15" s="6" t="s">
        <v>1362</v>
      </c>
      <c r="D15" s="6" t="s">
        <v>1994</v>
      </c>
      <c r="E15" s="16">
        <v>52.75</v>
      </c>
      <c r="F15" s="16">
        <v>31.6</v>
      </c>
      <c r="G15" s="7">
        <v>0</v>
      </c>
      <c r="H15" s="6"/>
      <c r="I15" s="6" t="s">
        <v>1311</v>
      </c>
      <c r="J15" s="7">
        <v>2</v>
      </c>
    </row>
    <row r="16" spans="1:10" x14ac:dyDescent="0.3">
      <c r="A16" s="6" t="s">
        <v>2005</v>
      </c>
      <c r="B16" s="6" t="s">
        <v>1311</v>
      </c>
      <c r="C16" s="6" t="s">
        <v>1362</v>
      </c>
      <c r="D16" s="6" t="s">
        <v>1994</v>
      </c>
      <c r="E16" s="16">
        <v>57.65</v>
      </c>
      <c r="F16" s="16">
        <v>31.6</v>
      </c>
      <c r="G16" s="7">
        <v>0</v>
      </c>
      <c r="H16" s="6"/>
      <c r="I16" s="6" t="s">
        <v>1311</v>
      </c>
      <c r="J16" s="7">
        <v>2</v>
      </c>
    </row>
    <row r="17" spans="1:10" x14ac:dyDescent="0.3">
      <c r="A17" s="6" t="s">
        <v>2006</v>
      </c>
      <c r="B17" s="6" t="s">
        <v>1311</v>
      </c>
      <c r="C17" s="6" t="s">
        <v>1362</v>
      </c>
      <c r="D17" s="6" t="s">
        <v>1994</v>
      </c>
      <c r="E17" s="16">
        <v>62.55</v>
      </c>
      <c r="F17" s="16">
        <v>31.6</v>
      </c>
      <c r="G17" s="7">
        <v>0</v>
      </c>
      <c r="H17" s="6"/>
      <c r="I17" s="6" t="s">
        <v>1311</v>
      </c>
      <c r="J17" s="7">
        <v>2</v>
      </c>
    </row>
    <row r="18" spans="1:10" x14ac:dyDescent="0.3">
      <c r="A18" s="6" t="s">
        <v>2007</v>
      </c>
      <c r="B18" s="6" t="s">
        <v>1311</v>
      </c>
      <c r="C18" s="6" t="s">
        <v>1362</v>
      </c>
      <c r="D18" s="6" t="s">
        <v>1994</v>
      </c>
      <c r="E18" s="16">
        <v>67.45</v>
      </c>
      <c r="F18" s="16">
        <v>31.6</v>
      </c>
      <c r="G18" s="7">
        <v>0</v>
      </c>
      <c r="H18" s="6"/>
      <c r="I18" s="6" t="s">
        <v>1311</v>
      </c>
      <c r="J18" s="7">
        <v>2</v>
      </c>
    </row>
    <row r="19" spans="1:10" x14ac:dyDescent="0.3">
      <c r="A19" s="6" t="s">
        <v>2008</v>
      </c>
      <c r="B19" s="6" t="s">
        <v>1311</v>
      </c>
      <c r="C19" s="6" t="s">
        <v>1362</v>
      </c>
      <c r="D19" s="6" t="s">
        <v>1994</v>
      </c>
      <c r="E19" s="16">
        <v>72.349999999999994</v>
      </c>
      <c r="F19" s="16">
        <v>31.6</v>
      </c>
      <c r="G19" s="7">
        <v>0</v>
      </c>
      <c r="H19" s="6"/>
      <c r="I19" s="6" t="s">
        <v>1311</v>
      </c>
      <c r="J19" s="7">
        <v>2</v>
      </c>
    </row>
    <row r="20" spans="1:10" x14ac:dyDescent="0.3">
      <c r="A20" s="6" t="s">
        <v>2009</v>
      </c>
      <c r="B20" s="6" t="s">
        <v>1311</v>
      </c>
      <c r="C20" s="6" t="s">
        <v>1362</v>
      </c>
      <c r="D20" s="6" t="s">
        <v>1994</v>
      </c>
      <c r="E20" s="16">
        <v>77.25</v>
      </c>
      <c r="F20" s="16">
        <v>31.6</v>
      </c>
      <c r="G20" s="7">
        <v>0</v>
      </c>
      <c r="H20" s="6"/>
      <c r="I20" s="6" t="s">
        <v>1311</v>
      </c>
      <c r="J20" s="7">
        <v>2</v>
      </c>
    </row>
    <row r="21" spans="1:10" x14ac:dyDescent="0.3">
      <c r="A21" s="6" t="s">
        <v>2010</v>
      </c>
      <c r="B21" s="6" t="s">
        <v>1311</v>
      </c>
      <c r="C21" s="6" t="s">
        <v>1362</v>
      </c>
      <c r="D21" s="6" t="s">
        <v>1994</v>
      </c>
      <c r="E21" s="16">
        <v>82.15</v>
      </c>
      <c r="F21" s="16">
        <v>31.6</v>
      </c>
      <c r="G21" s="7">
        <v>0</v>
      </c>
      <c r="H21" s="6"/>
      <c r="I21" s="6" t="s">
        <v>1311</v>
      </c>
      <c r="J21" s="7">
        <v>2</v>
      </c>
    </row>
    <row r="22" spans="1:10" x14ac:dyDescent="0.3">
      <c r="A22" s="6" t="s">
        <v>2011</v>
      </c>
      <c r="B22" s="6" t="s">
        <v>1311</v>
      </c>
      <c r="C22" s="6" t="s">
        <v>1362</v>
      </c>
      <c r="D22" s="6" t="s">
        <v>1994</v>
      </c>
      <c r="E22" s="16">
        <v>87.05</v>
      </c>
      <c r="F22" s="16">
        <v>31.6</v>
      </c>
      <c r="G22" s="7">
        <v>0</v>
      </c>
      <c r="H22" s="6"/>
      <c r="I22" s="6" t="s">
        <v>1311</v>
      </c>
      <c r="J22" s="7">
        <v>2</v>
      </c>
    </row>
    <row r="23" spans="1:10" x14ac:dyDescent="0.3">
      <c r="A23" s="6" t="s">
        <v>2012</v>
      </c>
      <c r="B23" s="6" t="s">
        <v>1311</v>
      </c>
      <c r="C23" s="6" t="s">
        <v>1362</v>
      </c>
      <c r="D23" s="6" t="s">
        <v>1994</v>
      </c>
      <c r="E23" s="16">
        <v>91.95</v>
      </c>
      <c r="F23" s="16">
        <v>31.6</v>
      </c>
      <c r="G23" s="7">
        <v>0</v>
      </c>
      <c r="H23" s="6"/>
      <c r="I23" s="6" t="s">
        <v>1311</v>
      </c>
      <c r="J23" s="7">
        <v>2</v>
      </c>
    </row>
    <row r="24" spans="1:10" x14ac:dyDescent="0.3">
      <c r="A24" s="6" t="s">
        <v>2013</v>
      </c>
      <c r="B24" s="6" t="s">
        <v>1311</v>
      </c>
      <c r="C24" s="6" t="s">
        <v>1362</v>
      </c>
      <c r="D24" s="6" t="s">
        <v>1994</v>
      </c>
      <c r="E24" s="16">
        <v>96.85</v>
      </c>
      <c r="F24" s="16">
        <v>31.6</v>
      </c>
      <c r="G24" s="7">
        <v>0</v>
      </c>
      <c r="H24" s="6"/>
      <c r="I24" s="6" t="s">
        <v>1311</v>
      </c>
      <c r="J24" s="7">
        <v>2</v>
      </c>
    </row>
    <row r="25" spans="1:10" x14ac:dyDescent="0.3">
      <c r="A25" s="6" t="s">
        <v>2014</v>
      </c>
      <c r="B25" s="6" t="s">
        <v>1311</v>
      </c>
      <c r="C25" s="6" t="s">
        <v>1362</v>
      </c>
      <c r="D25" s="6" t="s">
        <v>1994</v>
      </c>
      <c r="E25" s="16">
        <v>101.75</v>
      </c>
      <c r="F25" s="16">
        <v>31.6</v>
      </c>
      <c r="G25" s="7">
        <v>0</v>
      </c>
      <c r="H25" s="6"/>
      <c r="I25" s="6" t="s">
        <v>1311</v>
      </c>
      <c r="J25" s="7">
        <v>2</v>
      </c>
    </row>
    <row r="26" spans="1:10" x14ac:dyDescent="0.3">
      <c r="A26" s="6" t="s">
        <v>2015</v>
      </c>
      <c r="B26" s="6" t="s">
        <v>1311</v>
      </c>
      <c r="C26" s="6" t="s">
        <v>1362</v>
      </c>
      <c r="D26" s="6" t="s">
        <v>1994</v>
      </c>
      <c r="E26" s="16">
        <v>106.65</v>
      </c>
      <c r="F26" s="16">
        <v>31.6</v>
      </c>
      <c r="G26" s="7">
        <v>0</v>
      </c>
      <c r="H26" s="6"/>
      <c r="I26" s="6" t="s">
        <v>1311</v>
      </c>
      <c r="J26" s="7">
        <v>2</v>
      </c>
    </row>
    <row r="27" spans="1:10" x14ac:dyDescent="0.3">
      <c r="A27" s="6" t="s">
        <v>2016</v>
      </c>
      <c r="B27" s="6" t="s">
        <v>1311</v>
      </c>
      <c r="C27" s="6" t="s">
        <v>1362</v>
      </c>
      <c r="D27" s="6" t="s">
        <v>1994</v>
      </c>
      <c r="E27" s="16">
        <v>111.55</v>
      </c>
      <c r="F27" s="16">
        <v>31.6</v>
      </c>
      <c r="G27" s="7">
        <v>0</v>
      </c>
      <c r="H27" s="6"/>
      <c r="I27" s="6" t="s">
        <v>1311</v>
      </c>
      <c r="J27" s="7">
        <v>2</v>
      </c>
    </row>
    <row r="28" spans="1:10" x14ac:dyDescent="0.3">
      <c r="A28" s="6" t="s">
        <v>2017</v>
      </c>
      <c r="B28" s="6" t="s">
        <v>1311</v>
      </c>
      <c r="C28" s="6" t="s">
        <v>1362</v>
      </c>
      <c r="D28" s="6" t="s">
        <v>1994</v>
      </c>
      <c r="E28" s="16">
        <v>116.45</v>
      </c>
      <c r="F28" s="16">
        <v>31.6</v>
      </c>
      <c r="G28" s="7">
        <v>0</v>
      </c>
      <c r="H28" s="6"/>
      <c r="I28" s="6" t="s">
        <v>1311</v>
      </c>
      <c r="J28" s="7">
        <v>2</v>
      </c>
    </row>
    <row r="29" spans="1:10" x14ac:dyDescent="0.3">
      <c r="A29" s="6" t="s">
        <v>2018</v>
      </c>
      <c r="B29" s="6" t="s">
        <v>1311</v>
      </c>
      <c r="C29" s="6" t="s">
        <v>1362</v>
      </c>
      <c r="D29" s="6" t="s">
        <v>1994</v>
      </c>
      <c r="E29" s="16">
        <v>121.35</v>
      </c>
      <c r="F29" s="16">
        <v>31.6</v>
      </c>
      <c r="G29" s="7">
        <v>0</v>
      </c>
      <c r="H29" s="6"/>
      <c r="I29" s="6" t="s">
        <v>1311</v>
      </c>
      <c r="J29" s="7">
        <v>2</v>
      </c>
    </row>
    <row r="30" spans="1:10" x14ac:dyDescent="0.3">
      <c r="A30" s="6" t="s">
        <v>2019</v>
      </c>
      <c r="B30" s="6" t="s">
        <v>1311</v>
      </c>
      <c r="C30" s="6" t="s">
        <v>1362</v>
      </c>
      <c r="D30" s="6" t="s">
        <v>1994</v>
      </c>
      <c r="E30" s="16">
        <v>126.25</v>
      </c>
      <c r="F30" s="16">
        <v>31.6</v>
      </c>
      <c r="G30" s="7">
        <v>0</v>
      </c>
      <c r="H30" s="6"/>
      <c r="I30" s="6" t="s">
        <v>1311</v>
      </c>
      <c r="J30" s="7">
        <v>2</v>
      </c>
    </row>
    <row r="31" spans="1:10" x14ac:dyDescent="0.3">
      <c r="A31" s="6" t="s">
        <v>2020</v>
      </c>
      <c r="B31" s="6" t="s">
        <v>1311</v>
      </c>
      <c r="C31" s="6" t="s">
        <v>1362</v>
      </c>
      <c r="D31" s="6" t="s">
        <v>1994</v>
      </c>
      <c r="E31" s="16">
        <v>131.15</v>
      </c>
      <c r="F31" s="16">
        <v>31.6</v>
      </c>
      <c r="G31" s="7">
        <v>0</v>
      </c>
      <c r="H31" s="6"/>
      <c r="I31" s="6" t="s">
        <v>1311</v>
      </c>
      <c r="J31" s="7">
        <v>2</v>
      </c>
    </row>
    <row r="32" spans="1:10" x14ac:dyDescent="0.3">
      <c r="A32" s="6" t="s">
        <v>2021</v>
      </c>
      <c r="B32" s="6" t="s">
        <v>1311</v>
      </c>
      <c r="C32" s="6" t="s">
        <v>1362</v>
      </c>
      <c r="D32" s="6" t="s">
        <v>1994</v>
      </c>
      <c r="E32" s="16">
        <v>136.05000000000001</v>
      </c>
      <c r="F32" s="16">
        <v>31.6</v>
      </c>
      <c r="G32" s="7">
        <v>0</v>
      </c>
      <c r="H32" s="6"/>
      <c r="I32" s="6" t="s">
        <v>1311</v>
      </c>
      <c r="J32" s="7">
        <v>2</v>
      </c>
    </row>
    <row r="33" spans="1:10" x14ac:dyDescent="0.3">
      <c r="A33" s="6" t="s">
        <v>2022</v>
      </c>
      <c r="B33" s="6" t="s">
        <v>1311</v>
      </c>
      <c r="C33" s="6" t="s">
        <v>1362</v>
      </c>
      <c r="D33" s="6" t="s">
        <v>1994</v>
      </c>
      <c r="E33" s="16">
        <v>3.75</v>
      </c>
      <c r="F33" s="16">
        <v>36.700000000000003</v>
      </c>
      <c r="G33" s="7">
        <v>0</v>
      </c>
      <c r="H33" s="6"/>
      <c r="I33" s="6" t="s">
        <v>1311</v>
      </c>
      <c r="J33" s="7">
        <v>2</v>
      </c>
    </row>
    <row r="34" spans="1:10" x14ac:dyDescent="0.3">
      <c r="A34" s="6" t="s">
        <v>2023</v>
      </c>
      <c r="B34" s="6" t="s">
        <v>1311</v>
      </c>
      <c r="C34" s="6" t="s">
        <v>1362</v>
      </c>
      <c r="D34" s="6" t="s">
        <v>1994</v>
      </c>
      <c r="E34" s="16">
        <v>8.65</v>
      </c>
      <c r="F34" s="16">
        <v>36.700000000000003</v>
      </c>
      <c r="G34" s="7">
        <v>0</v>
      </c>
      <c r="H34" s="6"/>
      <c r="I34" s="6" t="s">
        <v>1311</v>
      </c>
      <c r="J34" s="7">
        <v>2</v>
      </c>
    </row>
    <row r="35" spans="1:10" x14ac:dyDescent="0.3">
      <c r="A35" s="6" t="s">
        <v>2024</v>
      </c>
      <c r="B35" s="6" t="s">
        <v>1311</v>
      </c>
      <c r="C35" s="6" t="s">
        <v>1362</v>
      </c>
      <c r="D35" s="6" t="s">
        <v>1994</v>
      </c>
      <c r="E35" s="16">
        <v>13.55</v>
      </c>
      <c r="F35" s="16">
        <v>36.700000000000003</v>
      </c>
      <c r="G35" s="7">
        <v>0</v>
      </c>
      <c r="H35" s="6"/>
      <c r="I35" s="6" t="s">
        <v>1311</v>
      </c>
      <c r="J35" s="7">
        <v>2</v>
      </c>
    </row>
    <row r="36" spans="1:10" x14ac:dyDescent="0.3">
      <c r="A36" s="6" t="s">
        <v>2025</v>
      </c>
      <c r="B36" s="6" t="s">
        <v>1311</v>
      </c>
      <c r="C36" s="6" t="s">
        <v>1362</v>
      </c>
      <c r="D36" s="6" t="s">
        <v>1994</v>
      </c>
      <c r="E36" s="16">
        <v>18.45</v>
      </c>
      <c r="F36" s="16">
        <v>36.700000000000003</v>
      </c>
      <c r="G36" s="7">
        <v>0</v>
      </c>
      <c r="H36" s="6"/>
      <c r="I36" s="6" t="s">
        <v>1311</v>
      </c>
      <c r="J36" s="7">
        <v>2</v>
      </c>
    </row>
    <row r="37" spans="1:10" x14ac:dyDescent="0.3">
      <c r="A37" s="6" t="s">
        <v>2026</v>
      </c>
      <c r="B37" s="6" t="s">
        <v>1311</v>
      </c>
      <c r="C37" s="6" t="s">
        <v>1362</v>
      </c>
      <c r="D37" s="6" t="s">
        <v>1994</v>
      </c>
      <c r="E37" s="16">
        <v>23.35</v>
      </c>
      <c r="F37" s="16">
        <v>36.700000000000003</v>
      </c>
      <c r="G37" s="7">
        <v>0</v>
      </c>
      <c r="H37" s="6"/>
      <c r="I37" s="6" t="s">
        <v>1311</v>
      </c>
      <c r="J37" s="7">
        <v>2</v>
      </c>
    </row>
    <row r="38" spans="1:10" x14ac:dyDescent="0.3">
      <c r="A38" s="6" t="s">
        <v>2027</v>
      </c>
      <c r="B38" s="6" t="s">
        <v>1311</v>
      </c>
      <c r="C38" s="6" t="s">
        <v>1362</v>
      </c>
      <c r="D38" s="6" t="s">
        <v>1994</v>
      </c>
      <c r="E38" s="16">
        <v>28.25</v>
      </c>
      <c r="F38" s="16">
        <v>36.700000000000003</v>
      </c>
      <c r="G38" s="7">
        <v>0</v>
      </c>
      <c r="H38" s="6"/>
      <c r="I38" s="6" t="s">
        <v>1311</v>
      </c>
      <c r="J38" s="7">
        <v>2</v>
      </c>
    </row>
    <row r="39" spans="1:10" x14ac:dyDescent="0.3">
      <c r="A39" s="6" t="s">
        <v>2028</v>
      </c>
      <c r="B39" s="6" t="s">
        <v>1311</v>
      </c>
      <c r="C39" s="6" t="s">
        <v>1362</v>
      </c>
      <c r="D39" s="6" t="s">
        <v>1994</v>
      </c>
      <c r="E39" s="16">
        <v>33.15</v>
      </c>
      <c r="F39" s="16">
        <v>36.700000000000003</v>
      </c>
      <c r="G39" s="7">
        <v>0</v>
      </c>
      <c r="H39" s="6"/>
      <c r="I39" s="6" t="s">
        <v>1311</v>
      </c>
      <c r="J39" s="7">
        <v>2</v>
      </c>
    </row>
    <row r="40" spans="1:10" x14ac:dyDescent="0.3">
      <c r="A40" s="6" t="s">
        <v>2029</v>
      </c>
      <c r="B40" s="6" t="s">
        <v>1311</v>
      </c>
      <c r="C40" s="6" t="s">
        <v>1362</v>
      </c>
      <c r="D40" s="6" t="s">
        <v>1994</v>
      </c>
      <c r="E40" s="16">
        <v>38.049999999999997</v>
      </c>
      <c r="F40" s="16">
        <v>36.700000000000003</v>
      </c>
      <c r="G40" s="7">
        <v>0</v>
      </c>
      <c r="H40" s="6"/>
      <c r="I40" s="6" t="s">
        <v>1311</v>
      </c>
      <c r="J40" s="7">
        <v>2</v>
      </c>
    </row>
    <row r="41" spans="1:10" x14ac:dyDescent="0.3">
      <c r="A41" s="6" t="s">
        <v>2030</v>
      </c>
      <c r="B41" s="6" t="s">
        <v>1311</v>
      </c>
      <c r="C41" s="6" t="s">
        <v>1362</v>
      </c>
      <c r="D41" s="6" t="s">
        <v>1994</v>
      </c>
      <c r="E41" s="16">
        <v>42.95</v>
      </c>
      <c r="F41" s="16">
        <v>36.700000000000003</v>
      </c>
      <c r="G41" s="7">
        <v>0</v>
      </c>
      <c r="H41" s="6"/>
      <c r="I41" s="6" t="s">
        <v>1311</v>
      </c>
      <c r="J41" s="7">
        <v>2</v>
      </c>
    </row>
    <row r="42" spans="1:10" x14ac:dyDescent="0.3">
      <c r="A42" s="6" t="s">
        <v>2031</v>
      </c>
      <c r="B42" s="6" t="s">
        <v>1311</v>
      </c>
      <c r="C42" s="6" t="s">
        <v>1362</v>
      </c>
      <c r="D42" s="6" t="s">
        <v>1994</v>
      </c>
      <c r="E42" s="16">
        <v>47.85</v>
      </c>
      <c r="F42" s="16">
        <v>36.700000000000003</v>
      </c>
      <c r="G42" s="7">
        <v>0</v>
      </c>
      <c r="H42" s="6"/>
      <c r="I42" s="6" t="s">
        <v>1311</v>
      </c>
      <c r="J42" s="7">
        <v>2</v>
      </c>
    </row>
    <row r="43" spans="1:10" x14ac:dyDescent="0.3">
      <c r="A43" s="6" t="s">
        <v>2032</v>
      </c>
      <c r="B43" s="6" t="s">
        <v>1311</v>
      </c>
      <c r="C43" s="6" t="s">
        <v>1362</v>
      </c>
      <c r="D43" s="6" t="s">
        <v>1994</v>
      </c>
      <c r="E43" s="16">
        <v>52.75</v>
      </c>
      <c r="F43" s="16">
        <v>36.700000000000003</v>
      </c>
      <c r="G43" s="7">
        <v>0</v>
      </c>
      <c r="H43" s="6"/>
      <c r="I43" s="6" t="s">
        <v>1311</v>
      </c>
      <c r="J43" s="7">
        <v>2</v>
      </c>
    </row>
    <row r="44" spans="1:10" x14ac:dyDescent="0.3">
      <c r="A44" s="6" t="s">
        <v>2033</v>
      </c>
      <c r="B44" s="6" t="s">
        <v>1311</v>
      </c>
      <c r="C44" s="6" t="s">
        <v>1362</v>
      </c>
      <c r="D44" s="6" t="s">
        <v>1994</v>
      </c>
      <c r="E44" s="16">
        <v>57.65</v>
      </c>
      <c r="F44" s="16">
        <v>36.700000000000003</v>
      </c>
      <c r="G44" s="7">
        <v>0</v>
      </c>
      <c r="H44" s="6"/>
      <c r="I44" s="6" t="s">
        <v>1311</v>
      </c>
      <c r="J44" s="7">
        <v>2</v>
      </c>
    </row>
    <row r="45" spans="1:10" x14ac:dyDescent="0.3">
      <c r="A45" s="6" t="s">
        <v>2034</v>
      </c>
      <c r="B45" s="6" t="s">
        <v>1311</v>
      </c>
      <c r="C45" s="6" t="s">
        <v>1362</v>
      </c>
      <c r="D45" s="6" t="s">
        <v>1994</v>
      </c>
      <c r="E45" s="16">
        <v>62.55</v>
      </c>
      <c r="F45" s="16">
        <v>36.700000000000003</v>
      </c>
      <c r="G45" s="7">
        <v>0</v>
      </c>
      <c r="H45" s="6"/>
      <c r="I45" s="6" t="s">
        <v>1311</v>
      </c>
      <c r="J45" s="7">
        <v>2</v>
      </c>
    </row>
    <row r="46" spans="1:10" x14ac:dyDescent="0.3">
      <c r="A46" s="6" t="s">
        <v>2035</v>
      </c>
      <c r="B46" s="6" t="s">
        <v>1311</v>
      </c>
      <c r="C46" s="6" t="s">
        <v>1362</v>
      </c>
      <c r="D46" s="6" t="s">
        <v>1994</v>
      </c>
      <c r="E46" s="16">
        <v>67.45</v>
      </c>
      <c r="F46" s="16">
        <v>36.700000000000003</v>
      </c>
      <c r="G46" s="7">
        <v>0</v>
      </c>
      <c r="H46" s="6"/>
      <c r="I46" s="6" t="s">
        <v>1311</v>
      </c>
      <c r="J46" s="7">
        <v>2</v>
      </c>
    </row>
    <row r="47" spans="1:10" x14ac:dyDescent="0.3">
      <c r="A47" s="6" t="s">
        <v>2036</v>
      </c>
      <c r="B47" s="6" t="s">
        <v>1311</v>
      </c>
      <c r="C47" s="6" t="s">
        <v>1362</v>
      </c>
      <c r="D47" s="6" t="s">
        <v>1994</v>
      </c>
      <c r="E47" s="16">
        <v>72.349999999999994</v>
      </c>
      <c r="F47" s="16">
        <v>36.700000000000003</v>
      </c>
      <c r="G47" s="7">
        <v>0</v>
      </c>
      <c r="H47" s="6"/>
      <c r="I47" s="6" t="s">
        <v>1311</v>
      </c>
      <c r="J47" s="7">
        <v>2</v>
      </c>
    </row>
    <row r="48" spans="1:10" x14ac:dyDescent="0.3">
      <c r="A48" s="6" t="s">
        <v>2037</v>
      </c>
      <c r="B48" s="6" t="s">
        <v>1311</v>
      </c>
      <c r="C48" s="6" t="s">
        <v>1362</v>
      </c>
      <c r="D48" s="6" t="s">
        <v>1994</v>
      </c>
      <c r="E48" s="16">
        <v>77.25</v>
      </c>
      <c r="F48" s="16">
        <v>36.700000000000003</v>
      </c>
      <c r="G48" s="7">
        <v>0</v>
      </c>
      <c r="H48" s="6"/>
      <c r="I48" s="6" t="s">
        <v>1311</v>
      </c>
      <c r="J48" s="7">
        <v>2</v>
      </c>
    </row>
    <row r="49" spans="1:10" x14ac:dyDescent="0.3">
      <c r="A49" s="6" t="s">
        <v>2038</v>
      </c>
      <c r="B49" s="6" t="s">
        <v>1311</v>
      </c>
      <c r="C49" s="6" t="s">
        <v>1362</v>
      </c>
      <c r="D49" s="6" t="s">
        <v>1994</v>
      </c>
      <c r="E49" s="16">
        <v>82.15</v>
      </c>
      <c r="F49" s="16">
        <v>36.700000000000003</v>
      </c>
      <c r="G49" s="7">
        <v>0</v>
      </c>
      <c r="H49" s="6"/>
      <c r="I49" s="6" t="s">
        <v>1311</v>
      </c>
      <c r="J49" s="7">
        <v>2</v>
      </c>
    </row>
    <row r="50" spans="1:10" x14ac:dyDescent="0.3">
      <c r="A50" s="6" t="s">
        <v>2039</v>
      </c>
      <c r="B50" s="6" t="s">
        <v>1311</v>
      </c>
      <c r="C50" s="6" t="s">
        <v>1362</v>
      </c>
      <c r="D50" s="6" t="s">
        <v>1994</v>
      </c>
      <c r="E50" s="16">
        <v>87.05</v>
      </c>
      <c r="F50" s="16">
        <v>36.700000000000003</v>
      </c>
      <c r="G50" s="7">
        <v>0</v>
      </c>
      <c r="H50" s="6"/>
      <c r="I50" s="6" t="s">
        <v>1311</v>
      </c>
      <c r="J50" s="7">
        <v>2</v>
      </c>
    </row>
    <row r="51" spans="1:10" x14ac:dyDescent="0.3">
      <c r="A51" s="6" t="s">
        <v>2040</v>
      </c>
      <c r="B51" s="6" t="s">
        <v>1311</v>
      </c>
      <c r="C51" s="6" t="s">
        <v>1362</v>
      </c>
      <c r="D51" s="6" t="s">
        <v>1994</v>
      </c>
      <c r="E51" s="16">
        <v>91.95</v>
      </c>
      <c r="F51" s="16">
        <v>36.700000000000003</v>
      </c>
      <c r="G51" s="7">
        <v>0</v>
      </c>
      <c r="H51" s="6"/>
      <c r="I51" s="6" t="s">
        <v>1311</v>
      </c>
      <c r="J51" s="7">
        <v>2</v>
      </c>
    </row>
    <row r="52" spans="1:10" x14ac:dyDescent="0.3">
      <c r="A52" s="6" t="s">
        <v>2041</v>
      </c>
      <c r="B52" s="6" t="s">
        <v>1311</v>
      </c>
      <c r="C52" s="6" t="s">
        <v>1362</v>
      </c>
      <c r="D52" s="6" t="s">
        <v>1994</v>
      </c>
      <c r="E52" s="16">
        <v>96.85</v>
      </c>
      <c r="F52" s="16">
        <v>36.700000000000003</v>
      </c>
      <c r="G52" s="7">
        <v>0</v>
      </c>
      <c r="H52" s="6"/>
      <c r="I52" s="6" t="s">
        <v>1311</v>
      </c>
      <c r="J52" s="7">
        <v>2</v>
      </c>
    </row>
    <row r="53" spans="1:10" x14ac:dyDescent="0.3">
      <c r="A53" s="6" t="s">
        <v>2042</v>
      </c>
      <c r="B53" s="6" t="s">
        <v>1311</v>
      </c>
      <c r="C53" s="6" t="s">
        <v>1362</v>
      </c>
      <c r="D53" s="6" t="s">
        <v>1994</v>
      </c>
      <c r="E53" s="16">
        <v>101.75</v>
      </c>
      <c r="F53" s="16">
        <v>36.700000000000003</v>
      </c>
      <c r="G53" s="7">
        <v>0</v>
      </c>
      <c r="H53" s="6"/>
      <c r="I53" s="6" t="s">
        <v>1311</v>
      </c>
      <c r="J53" s="7">
        <v>2</v>
      </c>
    </row>
    <row r="54" spans="1:10" x14ac:dyDescent="0.3">
      <c r="A54" s="6" t="s">
        <v>2043</v>
      </c>
      <c r="B54" s="6" t="s">
        <v>1311</v>
      </c>
      <c r="C54" s="6" t="s">
        <v>1362</v>
      </c>
      <c r="D54" s="6" t="s">
        <v>1994</v>
      </c>
      <c r="E54" s="16">
        <v>106.65</v>
      </c>
      <c r="F54" s="16">
        <v>36.700000000000003</v>
      </c>
      <c r="G54" s="7">
        <v>0</v>
      </c>
      <c r="H54" s="6"/>
      <c r="I54" s="6" t="s">
        <v>1311</v>
      </c>
      <c r="J54" s="7">
        <v>2</v>
      </c>
    </row>
    <row r="55" spans="1:10" x14ac:dyDescent="0.3">
      <c r="A55" s="6" t="s">
        <v>2044</v>
      </c>
      <c r="B55" s="6" t="s">
        <v>1311</v>
      </c>
      <c r="C55" s="6" t="s">
        <v>1362</v>
      </c>
      <c r="D55" s="6" t="s">
        <v>1994</v>
      </c>
      <c r="E55" s="16">
        <v>111.55</v>
      </c>
      <c r="F55" s="16">
        <v>36.700000000000003</v>
      </c>
      <c r="G55" s="7">
        <v>0</v>
      </c>
      <c r="H55" s="6"/>
      <c r="I55" s="6" t="s">
        <v>1311</v>
      </c>
      <c r="J55" s="7">
        <v>2</v>
      </c>
    </row>
    <row r="56" spans="1:10" x14ac:dyDescent="0.3">
      <c r="A56" s="6" t="s">
        <v>2045</v>
      </c>
      <c r="B56" s="6" t="s">
        <v>1311</v>
      </c>
      <c r="C56" s="6" t="s">
        <v>1362</v>
      </c>
      <c r="D56" s="6" t="s">
        <v>1994</v>
      </c>
      <c r="E56" s="16">
        <v>116.45</v>
      </c>
      <c r="F56" s="16">
        <v>36.700000000000003</v>
      </c>
      <c r="G56" s="7">
        <v>0</v>
      </c>
      <c r="H56" s="6"/>
      <c r="I56" s="6" t="s">
        <v>1311</v>
      </c>
      <c r="J56" s="7">
        <v>2</v>
      </c>
    </row>
    <row r="57" spans="1:10" x14ac:dyDescent="0.3">
      <c r="A57" s="6" t="s">
        <v>2046</v>
      </c>
      <c r="B57" s="6" t="s">
        <v>1311</v>
      </c>
      <c r="C57" s="6" t="s">
        <v>1362</v>
      </c>
      <c r="D57" s="6" t="s">
        <v>1994</v>
      </c>
      <c r="E57" s="16">
        <v>121.35</v>
      </c>
      <c r="F57" s="16">
        <v>36.700000000000003</v>
      </c>
      <c r="G57" s="7">
        <v>0</v>
      </c>
      <c r="H57" s="6"/>
      <c r="I57" s="6" t="s">
        <v>1311</v>
      </c>
      <c r="J57" s="7">
        <v>2</v>
      </c>
    </row>
    <row r="58" spans="1:10" x14ac:dyDescent="0.3">
      <c r="A58" s="6" t="s">
        <v>2047</v>
      </c>
      <c r="B58" s="6" t="s">
        <v>1311</v>
      </c>
      <c r="C58" s="6" t="s">
        <v>1362</v>
      </c>
      <c r="D58" s="6" t="s">
        <v>1994</v>
      </c>
      <c r="E58" s="16">
        <v>126.25</v>
      </c>
      <c r="F58" s="16">
        <v>36.700000000000003</v>
      </c>
      <c r="G58" s="7">
        <v>0</v>
      </c>
      <c r="H58" s="6"/>
      <c r="I58" s="6" t="s">
        <v>1311</v>
      </c>
      <c r="J58" s="7">
        <v>2</v>
      </c>
    </row>
    <row r="59" spans="1:10" x14ac:dyDescent="0.3">
      <c r="A59" s="6" t="s">
        <v>2048</v>
      </c>
      <c r="B59" s="6" t="s">
        <v>1311</v>
      </c>
      <c r="C59" s="6" t="s">
        <v>1362</v>
      </c>
      <c r="D59" s="6" t="s">
        <v>1994</v>
      </c>
      <c r="E59" s="16">
        <v>131.15</v>
      </c>
      <c r="F59" s="16">
        <v>36.700000000000003</v>
      </c>
      <c r="G59" s="7">
        <v>0</v>
      </c>
      <c r="H59" s="6"/>
      <c r="I59" s="6" t="s">
        <v>1311</v>
      </c>
      <c r="J59" s="7">
        <v>2</v>
      </c>
    </row>
    <row r="60" spans="1:10" x14ac:dyDescent="0.3">
      <c r="A60" s="6" t="s">
        <v>2049</v>
      </c>
      <c r="B60" s="6" t="s">
        <v>1311</v>
      </c>
      <c r="C60" s="6" t="s">
        <v>1362</v>
      </c>
      <c r="D60" s="6" t="s">
        <v>1994</v>
      </c>
      <c r="E60" s="16">
        <v>136.05000000000001</v>
      </c>
      <c r="F60" s="16">
        <v>36.700000000000003</v>
      </c>
      <c r="G60" s="7">
        <v>0</v>
      </c>
      <c r="H60" s="6"/>
      <c r="I60" s="6" t="s">
        <v>1311</v>
      </c>
      <c r="J60" s="7">
        <v>2</v>
      </c>
    </row>
    <row r="61" spans="1:10" x14ac:dyDescent="0.3">
      <c r="A61" s="6" t="s">
        <v>2050</v>
      </c>
      <c r="B61" s="6" t="s">
        <v>1311</v>
      </c>
      <c r="C61" s="6" t="s">
        <v>1362</v>
      </c>
      <c r="D61" s="6" t="s">
        <v>1994</v>
      </c>
      <c r="E61" s="16">
        <v>3.75</v>
      </c>
      <c r="F61" s="16">
        <v>41.8</v>
      </c>
      <c r="G61" s="7">
        <v>0</v>
      </c>
      <c r="H61" s="6"/>
      <c r="I61" s="6" t="s">
        <v>1311</v>
      </c>
      <c r="J61" s="7">
        <v>2</v>
      </c>
    </row>
    <row r="62" spans="1:10" x14ac:dyDescent="0.3">
      <c r="A62" s="6" t="s">
        <v>2051</v>
      </c>
      <c r="B62" s="6" t="s">
        <v>1311</v>
      </c>
      <c r="C62" s="6" t="s">
        <v>1362</v>
      </c>
      <c r="D62" s="6" t="s">
        <v>1994</v>
      </c>
      <c r="E62" s="16">
        <v>8.65</v>
      </c>
      <c r="F62" s="16">
        <v>41.8</v>
      </c>
      <c r="G62" s="7">
        <v>0</v>
      </c>
      <c r="H62" s="6"/>
      <c r="I62" s="6" t="s">
        <v>1311</v>
      </c>
      <c r="J62" s="7">
        <v>2</v>
      </c>
    </row>
    <row r="63" spans="1:10" x14ac:dyDescent="0.3">
      <c r="A63" s="6" t="s">
        <v>2052</v>
      </c>
      <c r="B63" s="6" t="s">
        <v>1311</v>
      </c>
      <c r="C63" s="6" t="s">
        <v>1362</v>
      </c>
      <c r="D63" s="6" t="s">
        <v>1994</v>
      </c>
      <c r="E63" s="16">
        <v>13.55</v>
      </c>
      <c r="F63" s="16">
        <v>41.8</v>
      </c>
      <c r="G63" s="7">
        <v>0</v>
      </c>
      <c r="H63" s="6"/>
      <c r="I63" s="6" t="s">
        <v>1311</v>
      </c>
      <c r="J63" s="7">
        <v>2</v>
      </c>
    </row>
    <row r="64" spans="1:10" x14ac:dyDescent="0.3">
      <c r="A64" s="6" t="s">
        <v>2053</v>
      </c>
      <c r="B64" s="6" t="s">
        <v>1311</v>
      </c>
      <c r="C64" s="6" t="s">
        <v>1362</v>
      </c>
      <c r="D64" s="6" t="s">
        <v>1994</v>
      </c>
      <c r="E64" s="16">
        <v>18.45</v>
      </c>
      <c r="F64" s="16">
        <v>41.8</v>
      </c>
      <c r="G64" s="7">
        <v>0</v>
      </c>
      <c r="H64" s="6"/>
      <c r="I64" s="6" t="s">
        <v>1311</v>
      </c>
      <c r="J64" s="7">
        <v>2</v>
      </c>
    </row>
    <row r="65" spans="1:10" x14ac:dyDescent="0.3">
      <c r="A65" s="6" t="s">
        <v>2054</v>
      </c>
      <c r="B65" s="6" t="s">
        <v>1311</v>
      </c>
      <c r="C65" s="6" t="s">
        <v>1362</v>
      </c>
      <c r="D65" s="6" t="s">
        <v>1994</v>
      </c>
      <c r="E65" s="16">
        <v>23.35</v>
      </c>
      <c r="F65" s="16">
        <v>41.8</v>
      </c>
      <c r="G65" s="7">
        <v>0</v>
      </c>
      <c r="H65" s="6"/>
      <c r="I65" s="6" t="s">
        <v>1311</v>
      </c>
      <c r="J65" s="7">
        <v>2</v>
      </c>
    </row>
    <row r="66" spans="1:10" x14ac:dyDescent="0.3">
      <c r="A66" s="6" t="s">
        <v>2055</v>
      </c>
      <c r="B66" s="6" t="s">
        <v>1311</v>
      </c>
      <c r="C66" s="6" t="s">
        <v>1362</v>
      </c>
      <c r="D66" s="6" t="s">
        <v>1994</v>
      </c>
      <c r="E66" s="16">
        <v>28.25</v>
      </c>
      <c r="F66" s="16">
        <v>41.8</v>
      </c>
      <c r="G66" s="7">
        <v>0</v>
      </c>
      <c r="H66" s="6"/>
      <c r="I66" s="6" t="s">
        <v>1311</v>
      </c>
      <c r="J66" s="7">
        <v>2</v>
      </c>
    </row>
    <row r="67" spans="1:10" x14ac:dyDescent="0.3">
      <c r="A67" s="6" t="s">
        <v>2056</v>
      </c>
      <c r="B67" s="6" t="s">
        <v>1311</v>
      </c>
      <c r="C67" s="6" t="s">
        <v>1362</v>
      </c>
      <c r="D67" s="6" t="s">
        <v>1994</v>
      </c>
      <c r="E67" s="16">
        <v>33.15</v>
      </c>
      <c r="F67" s="16">
        <v>41.8</v>
      </c>
      <c r="G67" s="7">
        <v>0</v>
      </c>
      <c r="H67" s="6"/>
      <c r="I67" s="6" t="s">
        <v>1311</v>
      </c>
      <c r="J67" s="7">
        <v>2</v>
      </c>
    </row>
    <row r="68" spans="1:10" x14ac:dyDescent="0.3">
      <c r="A68" s="6" t="s">
        <v>2057</v>
      </c>
      <c r="B68" s="6" t="s">
        <v>1311</v>
      </c>
      <c r="C68" s="6" t="s">
        <v>1362</v>
      </c>
      <c r="D68" s="6" t="s">
        <v>1994</v>
      </c>
      <c r="E68" s="16">
        <v>38.049999999999997</v>
      </c>
      <c r="F68" s="16">
        <v>41.8</v>
      </c>
      <c r="G68" s="7">
        <v>0</v>
      </c>
      <c r="H68" s="6"/>
      <c r="I68" s="6" t="s">
        <v>1311</v>
      </c>
      <c r="J68" s="7">
        <v>2</v>
      </c>
    </row>
    <row r="69" spans="1:10" x14ac:dyDescent="0.3">
      <c r="A69" s="6" t="s">
        <v>2058</v>
      </c>
      <c r="B69" s="6" t="s">
        <v>1311</v>
      </c>
      <c r="C69" s="6" t="s">
        <v>1362</v>
      </c>
      <c r="D69" s="6" t="s">
        <v>1994</v>
      </c>
      <c r="E69" s="16">
        <v>42.95</v>
      </c>
      <c r="F69" s="16">
        <v>41.8</v>
      </c>
      <c r="G69" s="7">
        <v>0</v>
      </c>
      <c r="H69" s="6"/>
      <c r="I69" s="6" t="s">
        <v>1311</v>
      </c>
      <c r="J69" s="7">
        <v>2</v>
      </c>
    </row>
    <row r="70" spans="1:10" x14ac:dyDescent="0.3">
      <c r="A70" s="6" t="s">
        <v>2059</v>
      </c>
      <c r="B70" s="6" t="s">
        <v>1311</v>
      </c>
      <c r="C70" s="6" t="s">
        <v>1362</v>
      </c>
      <c r="D70" s="6" t="s">
        <v>1994</v>
      </c>
      <c r="E70" s="16">
        <v>47.85</v>
      </c>
      <c r="F70" s="16">
        <v>41.8</v>
      </c>
      <c r="G70" s="7">
        <v>0</v>
      </c>
      <c r="H70" s="6"/>
      <c r="I70" s="6" t="s">
        <v>1311</v>
      </c>
      <c r="J70" s="7">
        <v>2</v>
      </c>
    </row>
    <row r="71" spans="1:10" x14ac:dyDescent="0.3">
      <c r="A71" s="6" t="s">
        <v>2060</v>
      </c>
      <c r="B71" s="6" t="s">
        <v>1311</v>
      </c>
      <c r="C71" s="6" t="s">
        <v>1362</v>
      </c>
      <c r="D71" s="6" t="s">
        <v>1994</v>
      </c>
      <c r="E71" s="16">
        <v>52.75</v>
      </c>
      <c r="F71" s="16">
        <v>41.8</v>
      </c>
      <c r="G71" s="7">
        <v>0</v>
      </c>
      <c r="H71" s="6"/>
      <c r="I71" s="6" t="s">
        <v>1311</v>
      </c>
      <c r="J71" s="7">
        <v>2</v>
      </c>
    </row>
    <row r="72" spans="1:10" x14ac:dyDescent="0.3">
      <c r="A72" s="6" t="s">
        <v>2061</v>
      </c>
      <c r="B72" s="6" t="s">
        <v>1311</v>
      </c>
      <c r="C72" s="6" t="s">
        <v>1362</v>
      </c>
      <c r="D72" s="6" t="s">
        <v>1994</v>
      </c>
      <c r="E72" s="16">
        <v>57.65</v>
      </c>
      <c r="F72" s="16">
        <v>41.8</v>
      </c>
      <c r="G72" s="7">
        <v>0</v>
      </c>
      <c r="H72" s="6"/>
      <c r="I72" s="6" t="s">
        <v>1311</v>
      </c>
      <c r="J72" s="7">
        <v>2</v>
      </c>
    </row>
    <row r="73" spans="1:10" x14ac:dyDescent="0.3">
      <c r="A73" s="6" t="s">
        <v>2062</v>
      </c>
      <c r="B73" s="6" t="s">
        <v>1311</v>
      </c>
      <c r="C73" s="6" t="s">
        <v>1362</v>
      </c>
      <c r="D73" s="6" t="s">
        <v>1994</v>
      </c>
      <c r="E73" s="16">
        <v>62.55</v>
      </c>
      <c r="F73" s="16">
        <v>41.8</v>
      </c>
      <c r="G73" s="7">
        <v>0</v>
      </c>
      <c r="H73" s="6"/>
      <c r="I73" s="6" t="s">
        <v>1311</v>
      </c>
      <c r="J73" s="7">
        <v>2</v>
      </c>
    </row>
    <row r="74" spans="1:10" x14ac:dyDescent="0.3">
      <c r="A74" s="6" t="s">
        <v>2063</v>
      </c>
      <c r="B74" s="6" t="s">
        <v>1311</v>
      </c>
      <c r="C74" s="6" t="s">
        <v>1362</v>
      </c>
      <c r="D74" s="6" t="s">
        <v>1994</v>
      </c>
      <c r="E74" s="16">
        <v>67.45</v>
      </c>
      <c r="F74" s="16">
        <v>41.8</v>
      </c>
      <c r="G74" s="7">
        <v>0</v>
      </c>
      <c r="H74" s="6"/>
      <c r="I74" s="6" t="s">
        <v>1311</v>
      </c>
      <c r="J74" s="7">
        <v>2</v>
      </c>
    </row>
    <row r="75" spans="1:10" x14ac:dyDescent="0.3">
      <c r="A75" s="6" t="s">
        <v>2064</v>
      </c>
      <c r="B75" s="6" t="s">
        <v>1311</v>
      </c>
      <c r="C75" s="6" t="s">
        <v>1362</v>
      </c>
      <c r="D75" s="6" t="s">
        <v>1994</v>
      </c>
      <c r="E75" s="16">
        <v>72.349999999999994</v>
      </c>
      <c r="F75" s="16">
        <v>41.8</v>
      </c>
      <c r="G75" s="7">
        <v>0</v>
      </c>
      <c r="H75" s="6"/>
      <c r="I75" s="6" t="s">
        <v>1311</v>
      </c>
      <c r="J75" s="7">
        <v>2</v>
      </c>
    </row>
    <row r="76" spans="1:10" x14ac:dyDescent="0.3">
      <c r="A76" s="6" t="s">
        <v>2065</v>
      </c>
      <c r="B76" s="6" t="s">
        <v>1311</v>
      </c>
      <c r="C76" s="6" t="s">
        <v>1362</v>
      </c>
      <c r="D76" s="6" t="s">
        <v>1994</v>
      </c>
      <c r="E76" s="16">
        <v>77.25</v>
      </c>
      <c r="F76" s="16">
        <v>41.8</v>
      </c>
      <c r="G76" s="7">
        <v>0</v>
      </c>
      <c r="H76" s="6"/>
      <c r="I76" s="6" t="s">
        <v>1311</v>
      </c>
      <c r="J76" s="7">
        <v>2</v>
      </c>
    </row>
    <row r="77" spans="1:10" x14ac:dyDescent="0.3">
      <c r="A77" s="6" t="s">
        <v>2066</v>
      </c>
      <c r="B77" s="6" t="s">
        <v>1311</v>
      </c>
      <c r="C77" s="6" t="s">
        <v>1362</v>
      </c>
      <c r="D77" s="6" t="s">
        <v>1994</v>
      </c>
      <c r="E77" s="16">
        <v>82.15</v>
      </c>
      <c r="F77" s="16">
        <v>41.8</v>
      </c>
      <c r="G77" s="7">
        <v>0</v>
      </c>
      <c r="H77" s="6"/>
      <c r="I77" s="6" t="s">
        <v>1311</v>
      </c>
      <c r="J77" s="7">
        <v>2</v>
      </c>
    </row>
    <row r="78" spans="1:10" x14ac:dyDescent="0.3">
      <c r="A78" s="6" t="s">
        <v>2067</v>
      </c>
      <c r="B78" s="6" t="s">
        <v>1311</v>
      </c>
      <c r="C78" s="6" t="s">
        <v>1362</v>
      </c>
      <c r="D78" s="6" t="s">
        <v>1994</v>
      </c>
      <c r="E78" s="16">
        <v>87.05</v>
      </c>
      <c r="F78" s="16">
        <v>41.8</v>
      </c>
      <c r="G78" s="7">
        <v>0</v>
      </c>
      <c r="H78" s="6"/>
      <c r="I78" s="6" t="s">
        <v>1311</v>
      </c>
      <c r="J78" s="7">
        <v>2</v>
      </c>
    </row>
    <row r="79" spans="1:10" x14ac:dyDescent="0.3">
      <c r="A79" s="6" t="s">
        <v>2068</v>
      </c>
      <c r="B79" s="6" t="s">
        <v>1311</v>
      </c>
      <c r="C79" s="6" t="s">
        <v>1362</v>
      </c>
      <c r="D79" s="6" t="s">
        <v>1994</v>
      </c>
      <c r="E79" s="16">
        <v>91.95</v>
      </c>
      <c r="F79" s="16">
        <v>41.8</v>
      </c>
      <c r="G79" s="7">
        <v>0</v>
      </c>
      <c r="H79" s="6"/>
      <c r="I79" s="6" t="s">
        <v>1311</v>
      </c>
      <c r="J79" s="7">
        <v>2</v>
      </c>
    </row>
    <row r="80" spans="1:10" x14ac:dyDescent="0.3">
      <c r="A80" s="6" t="s">
        <v>2069</v>
      </c>
      <c r="B80" s="6" t="s">
        <v>1311</v>
      </c>
      <c r="C80" s="6" t="s">
        <v>1362</v>
      </c>
      <c r="D80" s="6" t="s">
        <v>1994</v>
      </c>
      <c r="E80" s="16">
        <v>96.85</v>
      </c>
      <c r="F80" s="16">
        <v>41.8</v>
      </c>
      <c r="G80" s="7">
        <v>0</v>
      </c>
      <c r="H80" s="6"/>
      <c r="I80" s="6" t="s">
        <v>1311</v>
      </c>
      <c r="J80" s="7">
        <v>2</v>
      </c>
    </row>
    <row r="81" spans="1:10" x14ac:dyDescent="0.3">
      <c r="A81" s="6" t="s">
        <v>2070</v>
      </c>
      <c r="B81" s="6" t="s">
        <v>1311</v>
      </c>
      <c r="C81" s="6" t="s">
        <v>1362</v>
      </c>
      <c r="D81" s="6" t="s">
        <v>1994</v>
      </c>
      <c r="E81" s="16">
        <v>101.75</v>
      </c>
      <c r="F81" s="16">
        <v>41.8</v>
      </c>
      <c r="G81" s="7">
        <v>0</v>
      </c>
      <c r="H81" s="6"/>
      <c r="I81" s="6" t="s">
        <v>1311</v>
      </c>
      <c r="J81" s="7">
        <v>2</v>
      </c>
    </row>
    <row r="82" spans="1:10" x14ac:dyDescent="0.3">
      <c r="A82" s="6" t="s">
        <v>2071</v>
      </c>
      <c r="B82" s="6" t="s">
        <v>1311</v>
      </c>
      <c r="C82" s="6" t="s">
        <v>1362</v>
      </c>
      <c r="D82" s="6" t="s">
        <v>1994</v>
      </c>
      <c r="E82" s="16">
        <v>106.65</v>
      </c>
      <c r="F82" s="16">
        <v>41.8</v>
      </c>
      <c r="G82" s="7">
        <v>0</v>
      </c>
      <c r="H82" s="6"/>
      <c r="I82" s="6" t="s">
        <v>1311</v>
      </c>
      <c r="J82" s="7">
        <v>2</v>
      </c>
    </row>
    <row r="83" spans="1:10" x14ac:dyDescent="0.3">
      <c r="A83" s="6" t="s">
        <v>2072</v>
      </c>
      <c r="B83" s="6" t="s">
        <v>1311</v>
      </c>
      <c r="C83" s="6" t="s">
        <v>1362</v>
      </c>
      <c r="D83" s="6" t="s">
        <v>1994</v>
      </c>
      <c r="E83" s="16">
        <v>111.55</v>
      </c>
      <c r="F83" s="16">
        <v>41.8</v>
      </c>
      <c r="G83" s="7">
        <v>0</v>
      </c>
      <c r="H83" s="6"/>
      <c r="I83" s="6" t="s">
        <v>1311</v>
      </c>
      <c r="J83" s="7">
        <v>2</v>
      </c>
    </row>
    <row r="84" spans="1:10" x14ac:dyDescent="0.3">
      <c r="A84" s="6" t="s">
        <v>2073</v>
      </c>
      <c r="B84" s="6" t="s">
        <v>1311</v>
      </c>
      <c r="C84" s="6" t="s">
        <v>1362</v>
      </c>
      <c r="D84" s="6" t="s">
        <v>1994</v>
      </c>
      <c r="E84" s="16">
        <v>116.45</v>
      </c>
      <c r="F84" s="16">
        <v>41.8</v>
      </c>
      <c r="G84" s="7">
        <v>0</v>
      </c>
      <c r="H84" s="6"/>
      <c r="I84" s="6" t="s">
        <v>1311</v>
      </c>
      <c r="J84" s="7">
        <v>2</v>
      </c>
    </row>
    <row r="85" spans="1:10" x14ac:dyDescent="0.3">
      <c r="A85" s="6" t="s">
        <v>2074</v>
      </c>
      <c r="B85" s="6" t="s">
        <v>1311</v>
      </c>
      <c r="C85" s="6" t="s">
        <v>1362</v>
      </c>
      <c r="D85" s="6" t="s">
        <v>1994</v>
      </c>
      <c r="E85" s="16">
        <v>121.35</v>
      </c>
      <c r="F85" s="16">
        <v>41.8</v>
      </c>
      <c r="G85" s="7">
        <v>0</v>
      </c>
      <c r="H85" s="6"/>
      <c r="I85" s="6" t="s">
        <v>1311</v>
      </c>
      <c r="J85" s="7">
        <v>2</v>
      </c>
    </row>
    <row r="86" spans="1:10" x14ac:dyDescent="0.3">
      <c r="A86" s="6" t="s">
        <v>2075</v>
      </c>
      <c r="B86" s="6" t="s">
        <v>1311</v>
      </c>
      <c r="C86" s="6" t="s">
        <v>1362</v>
      </c>
      <c r="D86" s="6" t="s">
        <v>1994</v>
      </c>
      <c r="E86" s="16">
        <v>126.25</v>
      </c>
      <c r="F86" s="16">
        <v>41.8</v>
      </c>
      <c r="G86" s="7">
        <v>0</v>
      </c>
      <c r="H86" s="6"/>
      <c r="I86" s="6" t="s">
        <v>1311</v>
      </c>
      <c r="J86" s="7">
        <v>2</v>
      </c>
    </row>
    <row r="87" spans="1:10" x14ac:dyDescent="0.3">
      <c r="A87" s="6" t="s">
        <v>2076</v>
      </c>
      <c r="B87" s="6" t="s">
        <v>1311</v>
      </c>
      <c r="C87" s="6" t="s">
        <v>1362</v>
      </c>
      <c r="D87" s="6" t="s">
        <v>1994</v>
      </c>
      <c r="E87" s="16">
        <v>131.15</v>
      </c>
      <c r="F87" s="16">
        <v>41.8</v>
      </c>
      <c r="G87" s="7">
        <v>0</v>
      </c>
      <c r="H87" s="6"/>
      <c r="I87" s="6" t="s">
        <v>1311</v>
      </c>
      <c r="J87" s="7">
        <v>2</v>
      </c>
    </row>
    <row r="88" spans="1:10" x14ac:dyDescent="0.3">
      <c r="A88" s="6" t="s">
        <v>2077</v>
      </c>
      <c r="B88" s="6" t="s">
        <v>1311</v>
      </c>
      <c r="C88" s="6" t="s">
        <v>1362</v>
      </c>
      <c r="D88" s="6" t="s">
        <v>1994</v>
      </c>
      <c r="E88" s="16">
        <v>136.05000000000001</v>
      </c>
      <c r="F88" s="16">
        <v>41.8</v>
      </c>
      <c r="G88" s="7">
        <v>0</v>
      </c>
      <c r="H88" s="6"/>
      <c r="I88" s="6" t="s">
        <v>1311</v>
      </c>
      <c r="J88" s="7">
        <v>2</v>
      </c>
    </row>
    <row r="89" spans="1:10" ht="26.4" x14ac:dyDescent="0.3">
      <c r="A89" s="6" t="s">
        <v>2078</v>
      </c>
      <c r="B89" s="6" t="s">
        <v>2079</v>
      </c>
      <c r="C89" s="6" t="s">
        <v>2080</v>
      </c>
      <c r="D89" s="6" t="s">
        <v>2081</v>
      </c>
      <c r="E89" s="16">
        <v>30.7</v>
      </c>
      <c r="F89" s="16">
        <v>34.15</v>
      </c>
      <c r="G89" s="7">
        <v>0</v>
      </c>
      <c r="H89" s="6"/>
      <c r="I89" s="6" t="s">
        <v>266</v>
      </c>
      <c r="J89" s="7">
        <v>2</v>
      </c>
    </row>
    <row r="90" spans="1:10" ht="26.4" x14ac:dyDescent="0.3">
      <c r="A90" s="6" t="s">
        <v>2082</v>
      </c>
      <c r="B90" s="6" t="s">
        <v>2079</v>
      </c>
      <c r="C90" s="6" t="s">
        <v>2080</v>
      </c>
      <c r="D90" s="6" t="s">
        <v>2081</v>
      </c>
      <c r="E90" s="16">
        <v>50.3</v>
      </c>
      <c r="F90" s="16">
        <v>34.15</v>
      </c>
      <c r="G90" s="7">
        <v>0</v>
      </c>
      <c r="H90" s="6"/>
      <c r="I90" s="6" t="s">
        <v>266</v>
      </c>
      <c r="J90" s="7">
        <v>2</v>
      </c>
    </row>
    <row r="91" spans="1:10" ht="26.4" x14ac:dyDescent="0.3">
      <c r="A91" s="6" t="s">
        <v>2083</v>
      </c>
      <c r="B91" s="6" t="s">
        <v>2079</v>
      </c>
      <c r="C91" s="6" t="s">
        <v>2080</v>
      </c>
      <c r="D91" s="6" t="s">
        <v>2081</v>
      </c>
      <c r="E91" s="16">
        <v>84.6</v>
      </c>
      <c r="F91" s="16">
        <v>34.15</v>
      </c>
      <c r="G91" s="7">
        <v>0</v>
      </c>
      <c r="H91" s="6"/>
      <c r="I91" s="6" t="s">
        <v>266</v>
      </c>
      <c r="J91" s="7">
        <v>2</v>
      </c>
    </row>
    <row r="92" spans="1:10" ht="26.4" x14ac:dyDescent="0.3">
      <c r="A92" s="6" t="s">
        <v>2084</v>
      </c>
      <c r="B92" s="6" t="s">
        <v>2079</v>
      </c>
      <c r="C92" s="6" t="s">
        <v>2080</v>
      </c>
      <c r="D92" s="6" t="s">
        <v>2081</v>
      </c>
      <c r="E92" s="16">
        <v>118.9</v>
      </c>
      <c r="F92" s="16">
        <v>34.15</v>
      </c>
      <c r="G92" s="7">
        <v>0</v>
      </c>
      <c r="H92" s="6"/>
      <c r="I92" s="6" t="s">
        <v>266</v>
      </c>
      <c r="J92" s="7">
        <v>2</v>
      </c>
    </row>
    <row r="93" spans="1:10" ht="26.4" x14ac:dyDescent="0.3">
      <c r="A93" s="6" t="s">
        <v>2085</v>
      </c>
      <c r="B93" s="6" t="s">
        <v>2079</v>
      </c>
      <c r="C93" s="6" t="s">
        <v>2080</v>
      </c>
      <c r="D93" s="6" t="s">
        <v>2081</v>
      </c>
      <c r="E93" s="16">
        <v>16</v>
      </c>
      <c r="F93" s="16">
        <v>39.25</v>
      </c>
      <c r="G93" s="7">
        <v>0</v>
      </c>
      <c r="H93" s="6"/>
      <c r="I93" s="6" t="s">
        <v>266</v>
      </c>
      <c r="J93" s="7">
        <v>2</v>
      </c>
    </row>
    <row r="94" spans="1:10" ht="26.4" x14ac:dyDescent="0.3">
      <c r="A94" s="6" t="s">
        <v>2086</v>
      </c>
      <c r="B94" s="6" t="s">
        <v>2079</v>
      </c>
      <c r="C94" s="6" t="s">
        <v>2080</v>
      </c>
      <c r="D94" s="6" t="s">
        <v>2081</v>
      </c>
      <c r="E94" s="16">
        <v>50.3</v>
      </c>
      <c r="F94" s="16">
        <v>39.25</v>
      </c>
      <c r="G94" s="7">
        <v>0</v>
      </c>
      <c r="H94" s="6"/>
      <c r="I94" s="6" t="s">
        <v>266</v>
      </c>
      <c r="J94" s="7">
        <v>2</v>
      </c>
    </row>
    <row r="95" spans="1:10" ht="26.4" x14ac:dyDescent="0.3">
      <c r="A95" s="6" t="s">
        <v>2087</v>
      </c>
      <c r="B95" s="6" t="s">
        <v>2079</v>
      </c>
      <c r="C95" s="6" t="s">
        <v>2080</v>
      </c>
      <c r="D95" s="6" t="s">
        <v>2081</v>
      </c>
      <c r="E95" s="16">
        <v>84.6</v>
      </c>
      <c r="F95" s="16">
        <v>39.25</v>
      </c>
      <c r="G95" s="7">
        <v>0</v>
      </c>
      <c r="H95" s="6"/>
      <c r="I95" s="6" t="s">
        <v>266</v>
      </c>
      <c r="J95" s="7">
        <v>2</v>
      </c>
    </row>
    <row r="96" spans="1:10" ht="26.4" x14ac:dyDescent="0.3">
      <c r="A96" s="6" t="s">
        <v>2088</v>
      </c>
      <c r="B96" s="6" t="s">
        <v>2079</v>
      </c>
      <c r="C96" s="6" t="s">
        <v>2080</v>
      </c>
      <c r="D96" s="6" t="s">
        <v>2081</v>
      </c>
      <c r="E96" s="16">
        <v>118.9</v>
      </c>
      <c r="F96" s="16">
        <v>39.25</v>
      </c>
      <c r="G96" s="7">
        <v>0</v>
      </c>
      <c r="H96" s="6"/>
      <c r="I96" s="6" t="s">
        <v>266</v>
      </c>
      <c r="J96" s="7">
        <v>2</v>
      </c>
    </row>
    <row r="97" spans="1:10" ht="26.4" x14ac:dyDescent="0.3">
      <c r="A97" s="6" t="s">
        <v>2089</v>
      </c>
      <c r="B97" s="6" t="s">
        <v>2079</v>
      </c>
      <c r="C97" s="6" t="s">
        <v>2080</v>
      </c>
      <c r="D97" s="6" t="s">
        <v>2081</v>
      </c>
      <c r="E97" s="16">
        <v>25.8</v>
      </c>
      <c r="F97" s="16">
        <v>39.25</v>
      </c>
      <c r="G97" s="7">
        <v>0</v>
      </c>
      <c r="H97" s="6"/>
      <c r="I97" s="6" t="s">
        <v>266</v>
      </c>
      <c r="J97" s="7">
        <v>2</v>
      </c>
    </row>
    <row r="98" spans="1:10" ht="26.4" x14ac:dyDescent="0.3">
      <c r="A98" s="6" t="s">
        <v>2090</v>
      </c>
      <c r="B98" s="6" t="s">
        <v>2079</v>
      </c>
      <c r="C98" s="6" t="s">
        <v>2080</v>
      </c>
      <c r="D98" s="6" t="s">
        <v>2081</v>
      </c>
      <c r="E98" s="16">
        <v>60.1</v>
      </c>
      <c r="F98" s="16">
        <v>39.25</v>
      </c>
      <c r="G98" s="7">
        <v>0</v>
      </c>
      <c r="H98" s="6"/>
      <c r="I98" s="6" t="s">
        <v>266</v>
      </c>
      <c r="J98" s="7">
        <v>2</v>
      </c>
    </row>
    <row r="99" spans="1:10" ht="26.4" x14ac:dyDescent="0.3">
      <c r="A99" s="6" t="s">
        <v>2091</v>
      </c>
      <c r="B99" s="6" t="s">
        <v>2079</v>
      </c>
      <c r="C99" s="6" t="s">
        <v>2080</v>
      </c>
      <c r="D99" s="6" t="s">
        <v>2081</v>
      </c>
      <c r="E99" s="16">
        <v>94.4</v>
      </c>
      <c r="F99" s="16">
        <v>39.25</v>
      </c>
      <c r="G99" s="7">
        <v>0</v>
      </c>
      <c r="H99" s="6"/>
      <c r="I99" s="6" t="s">
        <v>266</v>
      </c>
      <c r="J99" s="7">
        <v>2</v>
      </c>
    </row>
    <row r="100" spans="1:10" ht="26.4" x14ac:dyDescent="0.3">
      <c r="A100" s="6" t="s">
        <v>2092</v>
      </c>
      <c r="B100" s="6" t="s">
        <v>2079</v>
      </c>
      <c r="C100" s="6" t="s">
        <v>2080</v>
      </c>
      <c r="D100" s="6" t="s">
        <v>2081</v>
      </c>
      <c r="E100" s="16">
        <v>128.69999999999999</v>
      </c>
      <c r="F100" s="16">
        <v>39.25</v>
      </c>
      <c r="G100" s="7">
        <v>0</v>
      </c>
      <c r="H100" s="6"/>
      <c r="I100" s="6" t="s">
        <v>266</v>
      </c>
      <c r="J100" s="7">
        <v>2</v>
      </c>
    </row>
    <row r="101" spans="1:10" ht="26.4" x14ac:dyDescent="0.3">
      <c r="A101" s="6" t="s">
        <v>1440</v>
      </c>
      <c r="B101" s="6" t="s">
        <v>2079</v>
      </c>
      <c r="C101" s="6" t="s">
        <v>2080</v>
      </c>
      <c r="D101" s="6" t="s">
        <v>2081</v>
      </c>
      <c r="E101" s="16">
        <v>128.69999999999999</v>
      </c>
      <c r="F101" s="16">
        <v>21.45</v>
      </c>
      <c r="G101" s="7">
        <v>0</v>
      </c>
      <c r="H101" s="6"/>
      <c r="I101" s="6" t="s">
        <v>266</v>
      </c>
      <c r="J101" s="7">
        <v>1</v>
      </c>
    </row>
    <row r="102" spans="1:10" ht="26.4" x14ac:dyDescent="0.3">
      <c r="A102" s="6" t="s">
        <v>1441</v>
      </c>
      <c r="B102" s="6" t="s">
        <v>2079</v>
      </c>
      <c r="C102" s="6" t="s">
        <v>2080</v>
      </c>
      <c r="D102" s="6" t="s">
        <v>2081</v>
      </c>
      <c r="E102" s="16">
        <v>94.4</v>
      </c>
      <c r="F102" s="16">
        <v>21.45</v>
      </c>
      <c r="G102" s="7">
        <v>0</v>
      </c>
      <c r="H102" s="6"/>
      <c r="I102" s="6" t="s">
        <v>266</v>
      </c>
      <c r="J102" s="7">
        <v>1</v>
      </c>
    </row>
    <row r="103" spans="1:10" ht="26.4" x14ac:dyDescent="0.3">
      <c r="A103" s="6" t="s">
        <v>1442</v>
      </c>
      <c r="B103" s="6" t="s">
        <v>2079</v>
      </c>
      <c r="C103" s="6" t="s">
        <v>2080</v>
      </c>
      <c r="D103" s="6" t="s">
        <v>2081</v>
      </c>
      <c r="E103" s="16">
        <v>60.1</v>
      </c>
      <c r="F103" s="16">
        <v>21.45</v>
      </c>
      <c r="G103" s="7">
        <v>0</v>
      </c>
      <c r="H103" s="6"/>
      <c r="I103" s="6" t="s">
        <v>266</v>
      </c>
      <c r="J103" s="7">
        <v>1</v>
      </c>
    </row>
    <row r="104" spans="1:10" ht="26.4" x14ac:dyDescent="0.3">
      <c r="A104" s="6" t="s">
        <v>1443</v>
      </c>
      <c r="B104" s="6" t="s">
        <v>2079</v>
      </c>
      <c r="C104" s="6" t="s">
        <v>2080</v>
      </c>
      <c r="D104" s="6" t="s">
        <v>2081</v>
      </c>
      <c r="E104" s="16">
        <v>25.8</v>
      </c>
      <c r="F104" s="16">
        <v>21.45</v>
      </c>
      <c r="G104" s="7">
        <v>0</v>
      </c>
      <c r="H104" s="6"/>
      <c r="I104" s="6" t="s">
        <v>266</v>
      </c>
      <c r="J104" s="7">
        <v>1</v>
      </c>
    </row>
    <row r="105" spans="1:10" ht="26.4" x14ac:dyDescent="0.3">
      <c r="A105" s="6" t="s">
        <v>1444</v>
      </c>
      <c r="B105" s="6" t="s">
        <v>2079</v>
      </c>
      <c r="C105" s="6" t="s">
        <v>2080</v>
      </c>
      <c r="D105" s="6" t="s">
        <v>2081</v>
      </c>
      <c r="E105" s="16">
        <v>118.9</v>
      </c>
      <c r="F105" s="16">
        <v>21.45</v>
      </c>
      <c r="G105" s="7">
        <v>0</v>
      </c>
      <c r="H105" s="6"/>
      <c r="I105" s="6" t="s">
        <v>266</v>
      </c>
      <c r="J105" s="7">
        <v>1</v>
      </c>
    </row>
    <row r="106" spans="1:10" ht="26.4" x14ac:dyDescent="0.3">
      <c r="A106" s="6" t="s">
        <v>1445</v>
      </c>
      <c r="B106" s="6" t="s">
        <v>2079</v>
      </c>
      <c r="C106" s="6" t="s">
        <v>2080</v>
      </c>
      <c r="D106" s="6" t="s">
        <v>2081</v>
      </c>
      <c r="E106" s="16">
        <v>84.6</v>
      </c>
      <c r="F106" s="16">
        <v>21.45</v>
      </c>
      <c r="G106" s="7">
        <v>0</v>
      </c>
      <c r="H106" s="6"/>
      <c r="I106" s="6" t="s">
        <v>266</v>
      </c>
      <c r="J106" s="7">
        <v>1</v>
      </c>
    </row>
    <row r="107" spans="1:10" ht="26.4" x14ac:dyDescent="0.3">
      <c r="A107" s="6" t="s">
        <v>1446</v>
      </c>
      <c r="B107" s="6" t="s">
        <v>2079</v>
      </c>
      <c r="C107" s="6" t="s">
        <v>2080</v>
      </c>
      <c r="D107" s="6" t="s">
        <v>2081</v>
      </c>
      <c r="E107" s="16">
        <v>50.3</v>
      </c>
      <c r="F107" s="16">
        <v>21.45</v>
      </c>
      <c r="G107" s="7">
        <v>0</v>
      </c>
      <c r="H107" s="6"/>
      <c r="I107" s="6" t="s">
        <v>266</v>
      </c>
      <c r="J107" s="7">
        <v>1</v>
      </c>
    </row>
    <row r="108" spans="1:10" ht="26.4" x14ac:dyDescent="0.3">
      <c r="A108" s="6" t="s">
        <v>1447</v>
      </c>
      <c r="B108" s="6" t="s">
        <v>2079</v>
      </c>
      <c r="C108" s="6" t="s">
        <v>2080</v>
      </c>
      <c r="D108" s="6" t="s">
        <v>2081</v>
      </c>
      <c r="E108" s="16">
        <v>16</v>
      </c>
      <c r="F108" s="16">
        <v>21.45</v>
      </c>
      <c r="G108" s="7">
        <v>0</v>
      </c>
      <c r="H108" s="6"/>
      <c r="I108" s="6" t="s">
        <v>266</v>
      </c>
      <c r="J108" s="7">
        <v>1</v>
      </c>
    </row>
    <row r="109" spans="1:10" ht="26.4" x14ac:dyDescent="0.3">
      <c r="A109" s="6" t="s">
        <v>1448</v>
      </c>
      <c r="B109" s="6" t="s">
        <v>2079</v>
      </c>
      <c r="C109" s="6" t="s">
        <v>2080</v>
      </c>
      <c r="D109" s="6" t="s">
        <v>2081</v>
      </c>
      <c r="E109" s="16">
        <v>118.9</v>
      </c>
      <c r="F109" s="16">
        <v>16.350000000000001</v>
      </c>
      <c r="G109" s="7">
        <v>0</v>
      </c>
      <c r="H109" s="6"/>
      <c r="I109" s="6" t="s">
        <v>266</v>
      </c>
      <c r="J109" s="7">
        <v>1</v>
      </c>
    </row>
    <row r="110" spans="1:10" ht="26.4" x14ac:dyDescent="0.3">
      <c r="A110" s="6" t="s">
        <v>1449</v>
      </c>
      <c r="B110" s="6" t="s">
        <v>2079</v>
      </c>
      <c r="C110" s="6" t="s">
        <v>2080</v>
      </c>
      <c r="D110" s="6" t="s">
        <v>2081</v>
      </c>
      <c r="E110" s="16">
        <v>84.6</v>
      </c>
      <c r="F110" s="16">
        <v>16.350000000000001</v>
      </c>
      <c r="G110" s="7">
        <v>0</v>
      </c>
      <c r="H110" s="6"/>
      <c r="I110" s="6" t="s">
        <v>266</v>
      </c>
      <c r="J110" s="7">
        <v>1</v>
      </c>
    </row>
    <row r="111" spans="1:10" ht="26.4" x14ac:dyDescent="0.3">
      <c r="A111" s="6" t="s">
        <v>1450</v>
      </c>
      <c r="B111" s="6" t="s">
        <v>2079</v>
      </c>
      <c r="C111" s="6" t="s">
        <v>2080</v>
      </c>
      <c r="D111" s="6" t="s">
        <v>2081</v>
      </c>
      <c r="E111" s="16">
        <v>50.3</v>
      </c>
      <c r="F111" s="16">
        <v>16.350000000000001</v>
      </c>
      <c r="G111" s="7">
        <v>0</v>
      </c>
      <c r="H111" s="6"/>
      <c r="I111" s="6" t="s">
        <v>266</v>
      </c>
      <c r="J111" s="7">
        <v>1</v>
      </c>
    </row>
    <row r="112" spans="1:10" ht="26.4" x14ac:dyDescent="0.3">
      <c r="A112" s="6" t="s">
        <v>1451</v>
      </c>
      <c r="B112" s="6" t="s">
        <v>2079</v>
      </c>
      <c r="C112" s="6" t="s">
        <v>2080</v>
      </c>
      <c r="D112" s="6" t="s">
        <v>2081</v>
      </c>
      <c r="E112" s="16">
        <v>30.7</v>
      </c>
      <c r="F112" s="16">
        <v>16.350000000000001</v>
      </c>
      <c r="G112" s="7">
        <v>0</v>
      </c>
      <c r="H112" s="6"/>
      <c r="I112" s="6" t="s">
        <v>266</v>
      </c>
      <c r="J112" s="7">
        <v>1</v>
      </c>
    </row>
    <row r="113" spans="1:10" x14ac:dyDescent="0.3">
      <c r="A113" s="6" t="s">
        <v>1903</v>
      </c>
      <c r="B113" s="6" t="s">
        <v>1311</v>
      </c>
      <c r="C113" s="6" t="s">
        <v>1362</v>
      </c>
      <c r="D113" s="6" t="s">
        <v>1994</v>
      </c>
      <c r="E113" s="16">
        <v>136.05000000000001</v>
      </c>
      <c r="F113" s="16">
        <v>24</v>
      </c>
      <c r="G113" s="7">
        <v>0</v>
      </c>
      <c r="H113" s="6"/>
      <c r="I113" s="6" t="s">
        <v>1311</v>
      </c>
      <c r="J113" s="7">
        <v>1</v>
      </c>
    </row>
    <row r="114" spans="1:10" x14ac:dyDescent="0.3">
      <c r="A114" s="6" t="s">
        <v>1904</v>
      </c>
      <c r="B114" s="6" t="s">
        <v>1311</v>
      </c>
      <c r="C114" s="6" t="s">
        <v>1362</v>
      </c>
      <c r="D114" s="6" t="s">
        <v>1994</v>
      </c>
      <c r="E114" s="16">
        <v>131.15</v>
      </c>
      <c r="F114" s="16">
        <v>24</v>
      </c>
      <c r="G114" s="7">
        <v>0</v>
      </c>
      <c r="H114" s="6"/>
      <c r="I114" s="6" t="s">
        <v>1311</v>
      </c>
      <c r="J114" s="7">
        <v>1</v>
      </c>
    </row>
    <row r="115" spans="1:10" x14ac:dyDescent="0.3">
      <c r="A115" s="6" t="s">
        <v>1905</v>
      </c>
      <c r="B115" s="6" t="s">
        <v>1311</v>
      </c>
      <c r="C115" s="6" t="s">
        <v>1362</v>
      </c>
      <c r="D115" s="6" t="s">
        <v>1994</v>
      </c>
      <c r="E115" s="16">
        <v>126.25</v>
      </c>
      <c r="F115" s="16">
        <v>24</v>
      </c>
      <c r="G115" s="7">
        <v>0</v>
      </c>
      <c r="H115" s="6"/>
      <c r="I115" s="6" t="s">
        <v>1311</v>
      </c>
      <c r="J115" s="7">
        <v>1</v>
      </c>
    </row>
    <row r="116" spans="1:10" x14ac:dyDescent="0.3">
      <c r="A116" s="6" t="s">
        <v>1906</v>
      </c>
      <c r="B116" s="6" t="s">
        <v>1311</v>
      </c>
      <c r="C116" s="6" t="s">
        <v>1362</v>
      </c>
      <c r="D116" s="6" t="s">
        <v>1994</v>
      </c>
      <c r="E116" s="16">
        <v>121.35</v>
      </c>
      <c r="F116" s="16">
        <v>24</v>
      </c>
      <c r="G116" s="7">
        <v>0</v>
      </c>
      <c r="H116" s="6"/>
      <c r="I116" s="6" t="s">
        <v>1311</v>
      </c>
      <c r="J116" s="7">
        <v>1</v>
      </c>
    </row>
    <row r="117" spans="1:10" x14ac:dyDescent="0.3">
      <c r="A117" s="6" t="s">
        <v>1907</v>
      </c>
      <c r="B117" s="6" t="s">
        <v>1311</v>
      </c>
      <c r="C117" s="6" t="s">
        <v>1362</v>
      </c>
      <c r="D117" s="6" t="s">
        <v>1994</v>
      </c>
      <c r="E117" s="16">
        <v>116.45</v>
      </c>
      <c r="F117" s="16">
        <v>24</v>
      </c>
      <c r="G117" s="7">
        <v>0</v>
      </c>
      <c r="H117" s="6"/>
      <c r="I117" s="6" t="s">
        <v>1311</v>
      </c>
      <c r="J117" s="7">
        <v>1</v>
      </c>
    </row>
    <row r="118" spans="1:10" x14ac:dyDescent="0.3">
      <c r="A118" s="6" t="s">
        <v>1908</v>
      </c>
      <c r="B118" s="6" t="s">
        <v>1311</v>
      </c>
      <c r="C118" s="6" t="s">
        <v>1362</v>
      </c>
      <c r="D118" s="6" t="s">
        <v>1994</v>
      </c>
      <c r="E118" s="16">
        <v>111.55</v>
      </c>
      <c r="F118" s="16">
        <v>24</v>
      </c>
      <c r="G118" s="7">
        <v>0</v>
      </c>
      <c r="H118" s="6"/>
      <c r="I118" s="6" t="s">
        <v>1311</v>
      </c>
      <c r="J118" s="7">
        <v>1</v>
      </c>
    </row>
    <row r="119" spans="1:10" x14ac:dyDescent="0.3">
      <c r="A119" s="6" t="s">
        <v>1909</v>
      </c>
      <c r="B119" s="6" t="s">
        <v>1311</v>
      </c>
      <c r="C119" s="6" t="s">
        <v>1362</v>
      </c>
      <c r="D119" s="6" t="s">
        <v>1994</v>
      </c>
      <c r="E119" s="16">
        <v>106.65</v>
      </c>
      <c r="F119" s="16">
        <v>24</v>
      </c>
      <c r="G119" s="7">
        <v>0</v>
      </c>
      <c r="H119" s="6"/>
      <c r="I119" s="6" t="s">
        <v>1311</v>
      </c>
      <c r="J119" s="7">
        <v>1</v>
      </c>
    </row>
    <row r="120" spans="1:10" x14ac:dyDescent="0.3">
      <c r="A120" s="6" t="s">
        <v>1910</v>
      </c>
      <c r="B120" s="6" t="s">
        <v>1311</v>
      </c>
      <c r="C120" s="6" t="s">
        <v>1362</v>
      </c>
      <c r="D120" s="6" t="s">
        <v>1994</v>
      </c>
      <c r="E120" s="16">
        <v>101.75</v>
      </c>
      <c r="F120" s="16">
        <v>24</v>
      </c>
      <c r="G120" s="7">
        <v>0</v>
      </c>
      <c r="H120" s="6"/>
      <c r="I120" s="6" t="s">
        <v>1311</v>
      </c>
      <c r="J120" s="7">
        <v>1</v>
      </c>
    </row>
    <row r="121" spans="1:10" x14ac:dyDescent="0.3">
      <c r="A121" s="6" t="s">
        <v>1911</v>
      </c>
      <c r="B121" s="6" t="s">
        <v>1311</v>
      </c>
      <c r="C121" s="6" t="s">
        <v>1362</v>
      </c>
      <c r="D121" s="6" t="s">
        <v>1994</v>
      </c>
      <c r="E121" s="16">
        <v>96.85</v>
      </c>
      <c r="F121" s="16">
        <v>24</v>
      </c>
      <c r="G121" s="7">
        <v>0</v>
      </c>
      <c r="H121" s="6"/>
      <c r="I121" s="6" t="s">
        <v>1311</v>
      </c>
      <c r="J121" s="7">
        <v>1</v>
      </c>
    </row>
    <row r="122" spans="1:10" x14ac:dyDescent="0.3">
      <c r="A122" s="6" t="s">
        <v>1912</v>
      </c>
      <c r="B122" s="6" t="s">
        <v>1311</v>
      </c>
      <c r="C122" s="6" t="s">
        <v>1362</v>
      </c>
      <c r="D122" s="6" t="s">
        <v>1994</v>
      </c>
      <c r="E122" s="16">
        <v>91.95</v>
      </c>
      <c r="F122" s="16">
        <v>24</v>
      </c>
      <c r="G122" s="7">
        <v>0</v>
      </c>
      <c r="H122" s="6"/>
      <c r="I122" s="6" t="s">
        <v>1311</v>
      </c>
      <c r="J122" s="7">
        <v>1</v>
      </c>
    </row>
    <row r="123" spans="1:10" x14ac:dyDescent="0.3">
      <c r="A123" s="6" t="s">
        <v>1913</v>
      </c>
      <c r="B123" s="6" t="s">
        <v>1311</v>
      </c>
      <c r="C123" s="6" t="s">
        <v>1362</v>
      </c>
      <c r="D123" s="6" t="s">
        <v>1994</v>
      </c>
      <c r="E123" s="16">
        <v>87.05</v>
      </c>
      <c r="F123" s="16">
        <v>24</v>
      </c>
      <c r="G123" s="7">
        <v>0</v>
      </c>
      <c r="H123" s="6"/>
      <c r="I123" s="6" t="s">
        <v>1311</v>
      </c>
      <c r="J123" s="7">
        <v>1</v>
      </c>
    </row>
    <row r="124" spans="1:10" x14ac:dyDescent="0.3">
      <c r="A124" s="6" t="s">
        <v>1914</v>
      </c>
      <c r="B124" s="6" t="s">
        <v>1311</v>
      </c>
      <c r="C124" s="6" t="s">
        <v>1362</v>
      </c>
      <c r="D124" s="6" t="s">
        <v>1994</v>
      </c>
      <c r="E124" s="16">
        <v>82.15</v>
      </c>
      <c r="F124" s="16">
        <v>24</v>
      </c>
      <c r="G124" s="7">
        <v>0</v>
      </c>
      <c r="H124" s="6"/>
      <c r="I124" s="6" t="s">
        <v>1311</v>
      </c>
      <c r="J124" s="7">
        <v>1</v>
      </c>
    </row>
    <row r="125" spans="1:10" x14ac:dyDescent="0.3">
      <c r="A125" s="6" t="s">
        <v>1915</v>
      </c>
      <c r="B125" s="6" t="s">
        <v>1311</v>
      </c>
      <c r="C125" s="6" t="s">
        <v>1362</v>
      </c>
      <c r="D125" s="6" t="s">
        <v>1994</v>
      </c>
      <c r="E125" s="16">
        <v>77.25</v>
      </c>
      <c r="F125" s="16">
        <v>24</v>
      </c>
      <c r="G125" s="7">
        <v>0</v>
      </c>
      <c r="H125" s="6"/>
      <c r="I125" s="6" t="s">
        <v>1311</v>
      </c>
      <c r="J125" s="7">
        <v>1</v>
      </c>
    </row>
    <row r="126" spans="1:10" x14ac:dyDescent="0.3">
      <c r="A126" s="6" t="s">
        <v>1916</v>
      </c>
      <c r="B126" s="6" t="s">
        <v>1311</v>
      </c>
      <c r="C126" s="6" t="s">
        <v>1362</v>
      </c>
      <c r="D126" s="6" t="s">
        <v>1994</v>
      </c>
      <c r="E126" s="16">
        <v>72.349999999999994</v>
      </c>
      <c r="F126" s="16">
        <v>24</v>
      </c>
      <c r="G126" s="7">
        <v>0</v>
      </c>
      <c r="H126" s="6"/>
      <c r="I126" s="6" t="s">
        <v>1311</v>
      </c>
      <c r="J126" s="7">
        <v>1</v>
      </c>
    </row>
    <row r="127" spans="1:10" x14ac:dyDescent="0.3">
      <c r="A127" s="6" t="s">
        <v>1917</v>
      </c>
      <c r="B127" s="6" t="s">
        <v>1311</v>
      </c>
      <c r="C127" s="6" t="s">
        <v>1362</v>
      </c>
      <c r="D127" s="6" t="s">
        <v>1994</v>
      </c>
      <c r="E127" s="16">
        <v>67.45</v>
      </c>
      <c r="F127" s="16">
        <v>24</v>
      </c>
      <c r="G127" s="7">
        <v>0</v>
      </c>
      <c r="H127" s="6"/>
      <c r="I127" s="6" t="s">
        <v>1311</v>
      </c>
      <c r="J127" s="7">
        <v>1</v>
      </c>
    </row>
    <row r="128" spans="1:10" x14ac:dyDescent="0.3">
      <c r="A128" s="6" t="s">
        <v>1918</v>
      </c>
      <c r="B128" s="6" t="s">
        <v>1311</v>
      </c>
      <c r="C128" s="6" t="s">
        <v>1362</v>
      </c>
      <c r="D128" s="6" t="s">
        <v>1994</v>
      </c>
      <c r="E128" s="16">
        <v>62.55</v>
      </c>
      <c r="F128" s="16">
        <v>24</v>
      </c>
      <c r="G128" s="7">
        <v>0</v>
      </c>
      <c r="H128" s="6"/>
      <c r="I128" s="6" t="s">
        <v>1311</v>
      </c>
      <c r="J128" s="7">
        <v>1</v>
      </c>
    </row>
    <row r="129" spans="1:10" x14ac:dyDescent="0.3">
      <c r="A129" s="6" t="s">
        <v>1919</v>
      </c>
      <c r="B129" s="6" t="s">
        <v>1311</v>
      </c>
      <c r="C129" s="6" t="s">
        <v>1362</v>
      </c>
      <c r="D129" s="6" t="s">
        <v>1994</v>
      </c>
      <c r="E129" s="16">
        <v>57.65</v>
      </c>
      <c r="F129" s="16">
        <v>24</v>
      </c>
      <c r="G129" s="7">
        <v>0</v>
      </c>
      <c r="H129" s="6"/>
      <c r="I129" s="6" t="s">
        <v>1311</v>
      </c>
      <c r="J129" s="7">
        <v>1</v>
      </c>
    </row>
    <row r="130" spans="1:10" x14ac:dyDescent="0.3">
      <c r="A130" s="6" t="s">
        <v>1920</v>
      </c>
      <c r="B130" s="6" t="s">
        <v>1311</v>
      </c>
      <c r="C130" s="6" t="s">
        <v>1362</v>
      </c>
      <c r="D130" s="6" t="s">
        <v>1994</v>
      </c>
      <c r="E130" s="16">
        <v>52.75</v>
      </c>
      <c r="F130" s="16">
        <v>24</v>
      </c>
      <c r="G130" s="7">
        <v>0</v>
      </c>
      <c r="H130" s="6"/>
      <c r="I130" s="6" t="s">
        <v>1311</v>
      </c>
      <c r="J130" s="7">
        <v>1</v>
      </c>
    </row>
    <row r="131" spans="1:10" x14ac:dyDescent="0.3">
      <c r="A131" s="6" t="s">
        <v>1921</v>
      </c>
      <c r="B131" s="6" t="s">
        <v>1311</v>
      </c>
      <c r="C131" s="6" t="s">
        <v>1362</v>
      </c>
      <c r="D131" s="6" t="s">
        <v>1994</v>
      </c>
      <c r="E131" s="16">
        <v>47.85</v>
      </c>
      <c r="F131" s="16">
        <v>24</v>
      </c>
      <c r="G131" s="7">
        <v>0</v>
      </c>
      <c r="H131" s="6"/>
      <c r="I131" s="6" t="s">
        <v>1311</v>
      </c>
      <c r="J131" s="7">
        <v>1</v>
      </c>
    </row>
    <row r="132" spans="1:10" x14ac:dyDescent="0.3">
      <c r="A132" s="6" t="s">
        <v>1922</v>
      </c>
      <c r="B132" s="6" t="s">
        <v>1311</v>
      </c>
      <c r="C132" s="6" t="s">
        <v>1362</v>
      </c>
      <c r="D132" s="6" t="s">
        <v>1994</v>
      </c>
      <c r="E132" s="16">
        <v>42.95</v>
      </c>
      <c r="F132" s="16">
        <v>24</v>
      </c>
      <c r="G132" s="7">
        <v>0</v>
      </c>
      <c r="H132" s="6"/>
      <c r="I132" s="6" t="s">
        <v>1311</v>
      </c>
      <c r="J132" s="7">
        <v>1</v>
      </c>
    </row>
    <row r="133" spans="1:10" x14ac:dyDescent="0.3">
      <c r="A133" s="6" t="s">
        <v>1923</v>
      </c>
      <c r="B133" s="6" t="s">
        <v>1311</v>
      </c>
      <c r="C133" s="6" t="s">
        <v>1362</v>
      </c>
      <c r="D133" s="6" t="s">
        <v>1994</v>
      </c>
      <c r="E133" s="16">
        <v>38.049999999999997</v>
      </c>
      <c r="F133" s="16">
        <v>24</v>
      </c>
      <c r="G133" s="7">
        <v>0</v>
      </c>
      <c r="H133" s="6"/>
      <c r="I133" s="6" t="s">
        <v>1311</v>
      </c>
      <c r="J133" s="7">
        <v>1</v>
      </c>
    </row>
    <row r="134" spans="1:10" x14ac:dyDescent="0.3">
      <c r="A134" s="6" t="s">
        <v>1924</v>
      </c>
      <c r="B134" s="6" t="s">
        <v>1311</v>
      </c>
      <c r="C134" s="6" t="s">
        <v>1362</v>
      </c>
      <c r="D134" s="6" t="s">
        <v>1994</v>
      </c>
      <c r="E134" s="16">
        <v>33.15</v>
      </c>
      <c r="F134" s="16">
        <v>24</v>
      </c>
      <c r="G134" s="7">
        <v>0</v>
      </c>
      <c r="H134" s="6"/>
      <c r="I134" s="6" t="s">
        <v>1311</v>
      </c>
      <c r="J134" s="7">
        <v>1</v>
      </c>
    </row>
    <row r="135" spans="1:10" x14ac:dyDescent="0.3">
      <c r="A135" s="6" t="s">
        <v>1925</v>
      </c>
      <c r="B135" s="6" t="s">
        <v>1311</v>
      </c>
      <c r="C135" s="6" t="s">
        <v>1362</v>
      </c>
      <c r="D135" s="6" t="s">
        <v>1994</v>
      </c>
      <c r="E135" s="16">
        <v>28.25</v>
      </c>
      <c r="F135" s="16">
        <v>24</v>
      </c>
      <c r="G135" s="7">
        <v>0</v>
      </c>
      <c r="H135" s="6"/>
      <c r="I135" s="6" t="s">
        <v>1311</v>
      </c>
      <c r="J135" s="7">
        <v>1</v>
      </c>
    </row>
    <row r="136" spans="1:10" x14ac:dyDescent="0.3">
      <c r="A136" s="6" t="s">
        <v>1926</v>
      </c>
      <c r="B136" s="6" t="s">
        <v>1311</v>
      </c>
      <c r="C136" s="6" t="s">
        <v>1362</v>
      </c>
      <c r="D136" s="6" t="s">
        <v>1994</v>
      </c>
      <c r="E136" s="16">
        <v>23.35</v>
      </c>
      <c r="F136" s="16">
        <v>24</v>
      </c>
      <c r="G136" s="7">
        <v>0</v>
      </c>
      <c r="H136" s="6"/>
      <c r="I136" s="6" t="s">
        <v>1311</v>
      </c>
      <c r="J136" s="7">
        <v>1</v>
      </c>
    </row>
    <row r="137" spans="1:10" x14ac:dyDescent="0.3">
      <c r="A137" s="6" t="s">
        <v>1927</v>
      </c>
      <c r="B137" s="6" t="s">
        <v>1311</v>
      </c>
      <c r="C137" s="6" t="s">
        <v>1362</v>
      </c>
      <c r="D137" s="6" t="s">
        <v>1994</v>
      </c>
      <c r="E137" s="16">
        <v>18.45</v>
      </c>
      <c r="F137" s="16">
        <v>24</v>
      </c>
      <c r="G137" s="7">
        <v>0</v>
      </c>
      <c r="H137" s="6"/>
      <c r="I137" s="6" t="s">
        <v>1311</v>
      </c>
      <c r="J137" s="7">
        <v>1</v>
      </c>
    </row>
    <row r="138" spans="1:10" x14ac:dyDescent="0.3">
      <c r="A138" s="6" t="s">
        <v>1928</v>
      </c>
      <c r="B138" s="6" t="s">
        <v>1311</v>
      </c>
      <c r="C138" s="6" t="s">
        <v>1362</v>
      </c>
      <c r="D138" s="6" t="s">
        <v>1994</v>
      </c>
      <c r="E138" s="16">
        <v>13.55</v>
      </c>
      <c r="F138" s="16">
        <v>24</v>
      </c>
      <c r="G138" s="7">
        <v>0</v>
      </c>
      <c r="H138" s="6"/>
      <c r="I138" s="6" t="s">
        <v>1311</v>
      </c>
      <c r="J138" s="7">
        <v>1</v>
      </c>
    </row>
    <row r="139" spans="1:10" x14ac:dyDescent="0.3">
      <c r="A139" s="6" t="s">
        <v>1929</v>
      </c>
      <c r="B139" s="6" t="s">
        <v>1311</v>
      </c>
      <c r="C139" s="6" t="s">
        <v>1362</v>
      </c>
      <c r="D139" s="6" t="s">
        <v>1994</v>
      </c>
      <c r="E139" s="16">
        <v>8.65</v>
      </c>
      <c r="F139" s="16">
        <v>24</v>
      </c>
      <c r="G139" s="7">
        <v>0</v>
      </c>
      <c r="H139" s="6"/>
      <c r="I139" s="6" t="s">
        <v>1311</v>
      </c>
      <c r="J139" s="7">
        <v>1</v>
      </c>
    </row>
    <row r="140" spans="1:10" x14ac:dyDescent="0.3">
      <c r="A140" s="6" t="s">
        <v>1930</v>
      </c>
      <c r="B140" s="6" t="s">
        <v>1311</v>
      </c>
      <c r="C140" s="6" t="s">
        <v>1362</v>
      </c>
      <c r="D140" s="6" t="s">
        <v>1994</v>
      </c>
      <c r="E140" s="16">
        <v>3.75</v>
      </c>
      <c r="F140" s="16">
        <v>24</v>
      </c>
      <c r="G140" s="7">
        <v>0</v>
      </c>
      <c r="H140" s="6"/>
      <c r="I140" s="6" t="s">
        <v>1311</v>
      </c>
      <c r="J140" s="7">
        <v>1</v>
      </c>
    </row>
    <row r="141" spans="1:10" x14ac:dyDescent="0.3">
      <c r="A141" s="6" t="s">
        <v>1931</v>
      </c>
      <c r="B141" s="6" t="s">
        <v>1311</v>
      </c>
      <c r="C141" s="6" t="s">
        <v>1362</v>
      </c>
      <c r="D141" s="6" t="s">
        <v>1994</v>
      </c>
      <c r="E141" s="16">
        <v>136.05000000000001</v>
      </c>
      <c r="F141" s="16">
        <v>18.899999999999999</v>
      </c>
      <c r="G141" s="7">
        <v>0</v>
      </c>
      <c r="H141" s="6"/>
      <c r="I141" s="6" t="s">
        <v>1311</v>
      </c>
      <c r="J141" s="7">
        <v>1</v>
      </c>
    </row>
    <row r="142" spans="1:10" x14ac:dyDescent="0.3">
      <c r="A142" s="6" t="s">
        <v>1932</v>
      </c>
      <c r="B142" s="6" t="s">
        <v>1311</v>
      </c>
      <c r="C142" s="6" t="s">
        <v>1362</v>
      </c>
      <c r="D142" s="6" t="s">
        <v>1994</v>
      </c>
      <c r="E142" s="16">
        <v>131.15</v>
      </c>
      <c r="F142" s="16">
        <v>18.899999999999999</v>
      </c>
      <c r="G142" s="7">
        <v>0</v>
      </c>
      <c r="H142" s="6"/>
      <c r="I142" s="6" t="s">
        <v>1311</v>
      </c>
      <c r="J142" s="7">
        <v>1</v>
      </c>
    </row>
    <row r="143" spans="1:10" x14ac:dyDescent="0.3">
      <c r="A143" s="6" t="s">
        <v>1933</v>
      </c>
      <c r="B143" s="6" t="s">
        <v>1311</v>
      </c>
      <c r="C143" s="6" t="s">
        <v>1362</v>
      </c>
      <c r="D143" s="6" t="s">
        <v>1994</v>
      </c>
      <c r="E143" s="16">
        <v>126.25</v>
      </c>
      <c r="F143" s="16">
        <v>18.899999999999999</v>
      </c>
      <c r="G143" s="7">
        <v>0</v>
      </c>
      <c r="H143" s="6"/>
      <c r="I143" s="6" t="s">
        <v>1311</v>
      </c>
      <c r="J143" s="7">
        <v>1</v>
      </c>
    </row>
    <row r="144" spans="1:10" x14ac:dyDescent="0.3">
      <c r="A144" s="6" t="s">
        <v>1934</v>
      </c>
      <c r="B144" s="6" t="s">
        <v>1311</v>
      </c>
      <c r="C144" s="6" t="s">
        <v>1362</v>
      </c>
      <c r="D144" s="6" t="s">
        <v>1994</v>
      </c>
      <c r="E144" s="16">
        <v>121.35</v>
      </c>
      <c r="F144" s="16">
        <v>18.899999999999999</v>
      </c>
      <c r="G144" s="7">
        <v>0</v>
      </c>
      <c r="H144" s="6"/>
      <c r="I144" s="6" t="s">
        <v>1311</v>
      </c>
      <c r="J144" s="7">
        <v>1</v>
      </c>
    </row>
    <row r="145" spans="1:10" x14ac:dyDescent="0.3">
      <c r="A145" s="6" t="s">
        <v>1935</v>
      </c>
      <c r="B145" s="6" t="s">
        <v>1311</v>
      </c>
      <c r="C145" s="6" t="s">
        <v>1362</v>
      </c>
      <c r="D145" s="6" t="s">
        <v>1994</v>
      </c>
      <c r="E145" s="16">
        <v>116.45</v>
      </c>
      <c r="F145" s="16">
        <v>18.899999999999999</v>
      </c>
      <c r="G145" s="7">
        <v>0</v>
      </c>
      <c r="H145" s="6"/>
      <c r="I145" s="6" t="s">
        <v>1311</v>
      </c>
      <c r="J145" s="7">
        <v>1</v>
      </c>
    </row>
    <row r="146" spans="1:10" x14ac:dyDescent="0.3">
      <c r="A146" s="6" t="s">
        <v>1936</v>
      </c>
      <c r="B146" s="6" t="s">
        <v>1311</v>
      </c>
      <c r="C146" s="6" t="s">
        <v>1362</v>
      </c>
      <c r="D146" s="6" t="s">
        <v>1994</v>
      </c>
      <c r="E146" s="16">
        <v>111.55</v>
      </c>
      <c r="F146" s="16">
        <v>18.899999999999999</v>
      </c>
      <c r="G146" s="7">
        <v>0</v>
      </c>
      <c r="H146" s="6"/>
      <c r="I146" s="6" t="s">
        <v>1311</v>
      </c>
      <c r="J146" s="7">
        <v>1</v>
      </c>
    </row>
    <row r="147" spans="1:10" x14ac:dyDescent="0.3">
      <c r="A147" s="6" t="s">
        <v>1937</v>
      </c>
      <c r="B147" s="6" t="s">
        <v>1311</v>
      </c>
      <c r="C147" s="6" t="s">
        <v>1362</v>
      </c>
      <c r="D147" s="6" t="s">
        <v>1994</v>
      </c>
      <c r="E147" s="16">
        <v>106.65</v>
      </c>
      <c r="F147" s="16">
        <v>18.899999999999999</v>
      </c>
      <c r="G147" s="7">
        <v>0</v>
      </c>
      <c r="H147" s="6"/>
      <c r="I147" s="6" t="s">
        <v>1311</v>
      </c>
      <c r="J147" s="7">
        <v>1</v>
      </c>
    </row>
    <row r="148" spans="1:10" x14ac:dyDescent="0.3">
      <c r="A148" s="6" t="s">
        <v>1938</v>
      </c>
      <c r="B148" s="6" t="s">
        <v>1311</v>
      </c>
      <c r="C148" s="6" t="s">
        <v>1362</v>
      </c>
      <c r="D148" s="6" t="s">
        <v>1994</v>
      </c>
      <c r="E148" s="16">
        <v>101.75</v>
      </c>
      <c r="F148" s="16">
        <v>18.899999999999999</v>
      </c>
      <c r="G148" s="7">
        <v>0</v>
      </c>
      <c r="H148" s="6"/>
      <c r="I148" s="6" t="s">
        <v>1311</v>
      </c>
      <c r="J148" s="7">
        <v>1</v>
      </c>
    </row>
    <row r="149" spans="1:10" x14ac:dyDescent="0.3">
      <c r="A149" s="6" t="s">
        <v>1939</v>
      </c>
      <c r="B149" s="6" t="s">
        <v>1311</v>
      </c>
      <c r="C149" s="6" t="s">
        <v>1362</v>
      </c>
      <c r="D149" s="6" t="s">
        <v>1994</v>
      </c>
      <c r="E149" s="16">
        <v>96.85</v>
      </c>
      <c r="F149" s="16">
        <v>18.899999999999999</v>
      </c>
      <c r="G149" s="7">
        <v>0</v>
      </c>
      <c r="H149" s="6"/>
      <c r="I149" s="6" t="s">
        <v>1311</v>
      </c>
      <c r="J149" s="7">
        <v>1</v>
      </c>
    </row>
    <row r="150" spans="1:10" x14ac:dyDescent="0.3">
      <c r="A150" s="6" t="s">
        <v>1940</v>
      </c>
      <c r="B150" s="6" t="s">
        <v>1311</v>
      </c>
      <c r="C150" s="6" t="s">
        <v>1362</v>
      </c>
      <c r="D150" s="6" t="s">
        <v>1994</v>
      </c>
      <c r="E150" s="16">
        <v>91.95</v>
      </c>
      <c r="F150" s="16">
        <v>18.899999999999999</v>
      </c>
      <c r="G150" s="7">
        <v>0</v>
      </c>
      <c r="H150" s="6"/>
      <c r="I150" s="6" t="s">
        <v>1311</v>
      </c>
      <c r="J150" s="7">
        <v>1</v>
      </c>
    </row>
    <row r="151" spans="1:10" x14ac:dyDescent="0.3">
      <c r="A151" s="6" t="s">
        <v>1941</v>
      </c>
      <c r="B151" s="6" t="s">
        <v>1311</v>
      </c>
      <c r="C151" s="6" t="s">
        <v>1362</v>
      </c>
      <c r="D151" s="6" t="s">
        <v>1994</v>
      </c>
      <c r="E151" s="16">
        <v>87.05</v>
      </c>
      <c r="F151" s="16">
        <v>18.899999999999999</v>
      </c>
      <c r="G151" s="7">
        <v>0</v>
      </c>
      <c r="H151" s="6"/>
      <c r="I151" s="6" t="s">
        <v>1311</v>
      </c>
      <c r="J151" s="7">
        <v>1</v>
      </c>
    </row>
    <row r="152" spans="1:10" x14ac:dyDescent="0.3">
      <c r="A152" s="6" t="s">
        <v>1942</v>
      </c>
      <c r="B152" s="6" t="s">
        <v>1311</v>
      </c>
      <c r="C152" s="6" t="s">
        <v>1362</v>
      </c>
      <c r="D152" s="6" t="s">
        <v>1994</v>
      </c>
      <c r="E152" s="16">
        <v>82.15</v>
      </c>
      <c r="F152" s="16">
        <v>18.899999999999999</v>
      </c>
      <c r="G152" s="7">
        <v>0</v>
      </c>
      <c r="H152" s="6"/>
      <c r="I152" s="6" t="s">
        <v>1311</v>
      </c>
      <c r="J152" s="7">
        <v>1</v>
      </c>
    </row>
    <row r="153" spans="1:10" x14ac:dyDescent="0.3">
      <c r="A153" s="6" t="s">
        <v>1943</v>
      </c>
      <c r="B153" s="6" t="s">
        <v>1311</v>
      </c>
      <c r="C153" s="6" t="s">
        <v>1362</v>
      </c>
      <c r="D153" s="6" t="s">
        <v>1994</v>
      </c>
      <c r="E153" s="16">
        <v>77.25</v>
      </c>
      <c r="F153" s="16">
        <v>18.899999999999999</v>
      </c>
      <c r="G153" s="7">
        <v>0</v>
      </c>
      <c r="H153" s="6"/>
      <c r="I153" s="6" t="s">
        <v>1311</v>
      </c>
      <c r="J153" s="7">
        <v>1</v>
      </c>
    </row>
    <row r="154" spans="1:10" x14ac:dyDescent="0.3">
      <c r="A154" s="6" t="s">
        <v>1944</v>
      </c>
      <c r="B154" s="6" t="s">
        <v>1311</v>
      </c>
      <c r="C154" s="6" t="s">
        <v>1362</v>
      </c>
      <c r="D154" s="6" t="s">
        <v>1994</v>
      </c>
      <c r="E154" s="16">
        <v>72.349999999999994</v>
      </c>
      <c r="F154" s="16">
        <v>18.899999999999999</v>
      </c>
      <c r="G154" s="7">
        <v>0</v>
      </c>
      <c r="H154" s="6"/>
      <c r="I154" s="6" t="s">
        <v>1311</v>
      </c>
      <c r="J154" s="7">
        <v>1</v>
      </c>
    </row>
    <row r="155" spans="1:10" x14ac:dyDescent="0.3">
      <c r="A155" s="6" t="s">
        <v>1945</v>
      </c>
      <c r="B155" s="6" t="s">
        <v>1311</v>
      </c>
      <c r="C155" s="6" t="s">
        <v>1362</v>
      </c>
      <c r="D155" s="6" t="s">
        <v>1994</v>
      </c>
      <c r="E155" s="16">
        <v>67.45</v>
      </c>
      <c r="F155" s="16">
        <v>18.899999999999999</v>
      </c>
      <c r="G155" s="7">
        <v>0</v>
      </c>
      <c r="H155" s="6"/>
      <c r="I155" s="6" t="s">
        <v>1311</v>
      </c>
      <c r="J155" s="7">
        <v>1</v>
      </c>
    </row>
    <row r="156" spans="1:10" x14ac:dyDescent="0.3">
      <c r="A156" s="6" t="s">
        <v>1946</v>
      </c>
      <c r="B156" s="6" t="s">
        <v>1311</v>
      </c>
      <c r="C156" s="6" t="s">
        <v>1362</v>
      </c>
      <c r="D156" s="6" t="s">
        <v>1994</v>
      </c>
      <c r="E156" s="16">
        <v>62.55</v>
      </c>
      <c r="F156" s="16">
        <v>18.899999999999999</v>
      </c>
      <c r="G156" s="7">
        <v>0</v>
      </c>
      <c r="H156" s="6"/>
      <c r="I156" s="6" t="s">
        <v>1311</v>
      </c>
      <c r="J156" s="7">
        <v>1</v>
      </c>
    </row>
    <row r="157" spans="1:10" x14ac:dyDescent="0.3">
      <c r="A157" s="6" t="s">
        <v>1947</v>
      </c>
      <c r="B157" s="6" t="s">
        <v>1311</v>
      </c>
      <c r="C157" s="6" t="s">
        <v>1362</v>
      </c>
      <c r="D157" s="6" t="s">
        <v>1994</v>
      </c>
      <c r="E157" s="16">
        <v>57.65</v>
      </c>
      <c r="F157" s="16">
        <v>18.899999999999999</v>
      </c>
      <c r="G157" s="7">
        <v>0</v>
      </c>
      <c r="H157" s="6"/>
      <c r="I157" s="6" t="s">
        <v>1311</v>
      </c>
      <c r="J157" s="7">
        <v>1</v>
      </c>
    </row>
    <row r="158" spans="1:10" x14ac:dyDescent="0.3">
      <c r="A158" s="6" t="s">
        <v>1948</v>
      </c>
      <c r="B158" s="6" t="s">
        <v>1311</v>
      </c>
      <c r="C158" s="6" t="s">
        <v>1362</v>
      </c>
      <c r="D158" s="6" t="s">
        <v>1994</v>
      </c>
      <c r="E158" s="16">
        <v>52.75</v>
      </c>
      <c r="F158" s="16">
        <v>18.899999999999999</v>
      </c>
      <c r="G158" s="7">
        <v>0</v>
      </c>
      <c r="H158" s="6"/>
      <c r="I158" s="6" t="s">
        <v>1311</v>
      </c>
      <c r="J158" s="7">
        <v>1</v>
      </c>
    </row>
    <row r="159" spans="1:10" x14ac:dyDescent="0.3">
      <c r="A159" s="6" t="s">
        <v>1949</v>
      </c>
      <c r="B159" s="6" t="s">
        <v>1311</v>
      </c>
      <c r="C159" s="6" t="s">
        <v>1362</v>
      </c>
      <c r="D159" s="6" t="s">
        <v>1994</v>
      </c>
      <c r="E159" s="16">
        <v>47.85</v>
      </c>
      <c r="F159" s="16">
        <v>18.899999999999999</v>
      </c>
      <c r="G159" s="7">
        <v>0</v>
      </c>
      <c r="H159" s="6"/>
      <c r="I159" s="6" t="s">
        <v>1311</v>
      </c>
      <c r="J159" s="7">
        <v>1</v>
      </c>
    </row>
    <row r="160" spans="1:10" x14ac:dyDescent="0.3">
      <c r="A160" s="6" t="s">
        <v>1950</v>
      </c>
      <c r="B160" s="6" t="s">
        <v>1311</v>
      </c>
      <c r="C160" s="6" t="s">
        <v>1362</v>
      </c>
      <c r="D160" s="6" t="s">
        <v>1994</v>
      </c>
      <c r="E160" s="16">
        <v>42.95</v>
      </c>
      <c r="F160" s="16">
        <v>18.899999999999999</v>
      </c>
      <c r="G160" s="7">
        <v>0</v>
      </c>
      <c r="H160" s="6"/>
      <c r="I160" s="6" t="s">
        <v>1311</v>
      </c>
      <c r="J160" s="7">
        <v>1</v>
      </c>
    </row>
    <row r="161" spans="1:10" x14ac:dyDescent="0.3">
      <c r="A161" s="6" t="s">
        <v>1951</v>
      </c>
      <c r="B161" s="6" t="s">
        <v>1311</v>
      </c>
      <c r="C161" s="6" t="s">
        <v>1362</v>
      </c>
      <c r="D161" s="6" t="s">
        <v>1994</v>
      </c>
      <c r="E161" s="16">
        <v>38.049999999999997</v>
      </c>
      <c r="F161" s="16">
        <v>18.899999999999999</v>
      </c>
      <c r="G161" s="7">
        <v>0</v>
      </c>
      <c r="H161" s="6"/>
      <c r="I161" s="6" t="s">
        <v>1311</v>
      </c>
      <c r="J161" s="7">
        <v>1</v>
      </c>
    </row>
    <row r="162" spans="1:10" x14ac:dyDescent="0.3">
      <c r="A162" s="6" t="s">
        <v>1952</v>
      </c>
      <c r="B162" s="6" t="s">
        <v>1311</v>
      </c>
      <c r="C162" s="6" t="s">
        <v>1362</v>
      </c>
      <c r="D162" s="6" t="s">
        <v>1994</v>
      </c>
      <c r="E162" s="16">
        <v>33.15</v>
      </c>
      <c r="F162" s="16">
        <v>18.899999999999999</v>
      </c>
      <c r="G162" s="7">
        <v>0</v>
      </c>
      <c r="H162" s="6"/>
      <c r="I162" s="6" t="s">
        <v>1311</v>
      </c>
      <c r="J162" s="7">
        <v>1</v>
      </c>
    </row>
    <row r="163" spans="1:10" x14ac:dyDescent="0.3">
      <c r="A163" s="6" t="s">
        <v>1953</v>
      </c>
      <c r="B163" s="6" t="s">
        <v>1311</v>
      </c>
      <c r="C163" s="6" t="s">
        <v>1362</v>
      </c>
      <c r="D163" s="6" t="s">
        <v>1994</v>
      </c>
      <c r="E163" s="16">
        <v>28.25</v>
      </c>
      <c r="F163" s="16">
        <v>18.899999999999999</v>
      </c>
      <c r="G163" s="7">
        <v>0</v>
      </c>
      <c r="H163" s="6"/>
      <c r="I163" s="6" t="s">
        <v>1311</v>
      </c>
      <c r="J163" s="7">
        <v>1</v>
      </c>
    </row>
    <row r="164" spans="1:10" x14ac:dyDescent="0.3">
      <c r="A164" s="6" t="s">
        <v>1954</v>
      </c>
      <c r="B164" s="6" t="s">
        <v>1311</v>
      </c>
      <c r="C164" s="6" t="s">
        <v>1362</v>
      </c>
      <c r="D164" s="6" t="s">
        <v>1994</v>
      </c>
      <c r="E164" s="16">
        <v>23.35</v>
      </c>
      <c r="F164" s="16">
        <v>18.899999999999999</v>
      </c>
      <c r="G164" s="7">
        <v>0</v>
      </c>
      <c r="H164" s="6"/>
      <c r="I164" s="6" t="s">
        <v>1311</v>
      </c>
      <c r="J164" s="7">
        <v>1</v>
      </c>
    </row>
    <row r="165" spans="1:10" x14ac:dyDescent="0.3">
      <c r="A165" s="6" t="s">
        <v>1955</v>
      </c>
      <c r="B165" s="6" t="s">
        <v>1311</v>
      </c>
      <c r="C165" s="6" t="s">
        <v>1362</v>
      </c>
      <c r="D165" s="6" t="s">
        <v>1994</v>
      </c>
      <c r="E165" s="16">
        <v>18.45</v>
      </c>
      <c r="F165" s="16">
        <v>18.899999999999999</v>
      </c>
      <c r="G165" s="7">
        <v>0</v>
      </c>
      <c r="H165" s="6"/>
      <c r="I165" s="6" t="s">
        <v>1311</v>
      </c>
      <c r="J165" s="7">
        <v>1</v>
      </c>
    </row>
    <row r="166" spans="1:10" x14ac:dyDescent="0.3">
      <c r="A166" s="6" t="s">
        <v>1956</v>
      </c>
      <c r="B166" s="6" t="s">
        <v>1311</v>
      </c>
      <c r="C166" s="6" t="s">
        <v>1362</v>
      </c>
      <c r="D166" s="6" t="s">
        <v>1994</v>
      </c>
      <c r="E166" s="16">
        <v>13.55</v>
      </c>
      <c r="F166" s="16">
        <v>18.899999999999999</v>
      </c>
      <c r="G166" s="7">
        <v>0</v>
      </c>
      <c r="H166" s="6"/>
      <c r="I166" s="6" t="s">
        <v>1311</v>
      </c>
      <c r="J166" s="7">
        <v>1</v>
      </c>
    </row>
    <row r="167" spans="1:10" x14ac:dyDescent="0.3">
      <c r="A167" s="6" t="s">
        <v>1957</v>
      </c>
      <c r="B167" s="6" t="s">
        <v>1311</v>
      </c>
      <c r="C167" s="6" t="s">
        <v>1362</v>
      </c>
      <c r="D167" s="6" t="s">
        <v>1994</v>
      </c>
      <c r="E167" s="16">
        <v>8.65</v>
      </c>
      <c r="F167" s="16">
        <v>18.899999999999999</v>
      </c>
      <c r="G167" s="7">
        <v>0</v>
      </c>
      <c r="H167" s="6"/>
      <c r="I167" s="6" t="s">
        <v>1311</v>
      </c>
      <c r="J167" s="7">
        <v>1</v>
      </c>
    </row>
    <row r="168" spans="1:10" x14ac:dyDescent="0.3">
      <c r="A168" s="6" t="s">
        <v>1958</v>
      </c>
      <c r="B168" s="6" t="s">
        <v>1311</v>
      </c>
      <c r="C168" s="6" t="s">
        <v>1362</v>
      </c>
      <c r="D168" s="6" t="s">
        <v>1994</v>
      </c>
      <c r="E168" s="16">
        <v>3.75</v>
      </c>
      <c r="F168" s="16">
        <v>18.899999999999999</v>
      </c>
      <c r="G168" s="7">
        <v>0</v>
      </c>
      <c r="H168" s="6"/>
      <c r="I168" s="6" t="s">
        <v>1311</v>
      </c>
      <c r="J168" s="7">
        <v>1</v>
      </c>
    </row>
    <row r="169" spans="1:10" x14ac:dyDescent="0.3">
      <c r="A169" s="6" t="s">
        <v>1959</v>
      </c>
      <c r="B169" s="6" t="s">
        <v>1311</v>
      </c>
      <c r="C169" s="6" t="s">
        <v>1362</v>
      </c>
      <c r="D169" s="6" t="s">
        <v>1994</v>
      </c>
      <c r="E169" s="16">
        <v>136.05000000000001</v>
      </c>
      <c r="F169" s="16">
        <v>13.8</v>
      </c>
      <c r="G169" s="7">
        <v>0</v>
      </c>
      <c r="H169" s="6"/>
      <c r="I169" s="6" t="s">
        <v>1311</v>
      </c>
      <c r="J169" s="7">
        <v>1</v>
      </c>
    </row>
    <row r="170" spans="1:10" x14ac:dyDescent="0.3">
      <c r="A170" s="6" t="s">
        <v>1960</v>
      </c>
      <c r="B170" s="6" t="s">
        <v>1311</v>
      </c>
      <c r="C170" s="6" t="s">
        <v>1362</v>
      </c>
      <c r="D170" s="6" t="s">
        <v>1994</v>
      </c>
      <c r="E170" s="16">
        <v>131.15</v>
      </c>
      <c r="F170" s="16">
        <v>13.8</v>
      </c>
      <c r="G170" s="7">
        <v>0</v>
      </c>
      <c r="H170" s="6"/>
      <c r="I170" s="6" t="s">
        <v>1311</v>
      </c>
      <c r="J170" s="7">
        <v>1</v>
      </c>
    </row>
    <row r="171" spans="1:10" x14ac:dyDescent="0.3">
      <c r="A171" s="6" t="s">
        <v>1961</v>
      </c>
      <c r="B171" s="6" t="s">
        <v>1311</v>
      </c>
      <c r="C171" s="6" t="s">
        <v>1362</v>
      </c>
      <c r="D171" s="6" t="s">
        <v>1994</v>
      </c>
      <c r="E171" s="16">
        <v>126.25</v>
      </c>
      <c r="F171" s="16">
        <v>13.8</v>
      </c>
      <c r="G171" s="7">
        <v>0</v>
      </c>
      <c r="H171" s="6"/>
      <c r="I171" s="6" t="s">
        <v>1311</v>
      </c>
      <c r="J171" s="7">
        <v>1</v>
      </c>
    </row>
    <row r="172" spans="1:10" x14ac:dyDescent="0.3">
      <c r="A172" s="6" t="s">
        <v>1962</v>
      </c>
      <c r="B172" s="6" t="s">
        <v>1311</v>
      </c>
      <c r="C172" s="6" t="s">
        <v>1362</v>
      </c>
      <c r="D172" s="6" t="s">
        <v>1994</v>
      </c>
      <c r="E172" s="16">
        <v>121.35</v>
      </c>
      <c r="F172" s="16">
        <v>13.8</v>
      </c>
      <c r="G172" s="7">
        <v>0</v>
      </c>
      <c r="H172" s="6"/>
      <c r="I172" s="6" t="s">
        <v>1311</v>
      </c>
      <c r="J172" s="7">
        <v>1</v>
      </c>
    </row>
    <row r="173" spans="1:10" x14ac:dyDescent="0.3">
      <c r="A173" s="6" t="s">
        <v>1963</v>
      </c>
      <c r="B173" s="6" t="s">
        <v>1311</v>
      </c>
      <c r="C173" s="6" t="s">
        <v>1362</v>
      </c>
      <c r="D173" s="6" t="s">
        <v>1994</v>
      </c>
      <c r="E173" s="16">
        <v>116.45</v>
      </c>
      <c r="F173" s="16">
        <v>13.8</v>
      </c>
      <c r="G173" s="7">
        <v>0</v>
      </c>
      <c r="H173" s="6"/>
      <c r="I173" s="6" t="s">
        <v>1311</v>
      </c>
      <c r="J173" s="7">
        <v>1</v>
      </c>
    </row>
    <row r="174" spans="1:10" x14ac:dyDescent="0.3">
      <c r="A174" s="6" t="s">
        <v>1964</v>
      </c>
      <c r="B174" s="6" t="s">
        <v>1311</v>
      </c>
      <c r="C174" s="6" t="s">
        <v>1362</v>
      </c>
      <c r="D174" s="6" t="s">
        <v>1994</v>
      </c>
      <c r="E174" s="16">
        <v>111.55</v>
      </c>
      <c r="F174" s="16">
        <v>13.8</v>
      </c>
      <c r="G174" s="7">
        <v>0</v>
      </c>
      <c r="H174" s="6"/>
      <c r="I174" s="6" t="s">
        <v>1311</v>
      </c>
      <c r="J174" s="7">
        <v>1</v>
      </c>
    </row>
    <row r="175" spans="1:10" x14ac:dyDescent="0.3">
      <c r="A175" s="6" t="s">
        <v>1965</v>
      </c>
      <c r="B175" s="6" t="s">
        <v>1311</v>
      </c>
      <c r="C175" s="6" t="s">
        <v>1362</v>
      </c>
      <c r="D175" s="6" t="s">
        <v>1994</v>
      </c>
      <c r="E175" s="16">
        <v>106.65</v>
      </c>
      <c r="F175" s="16">
        <v>13.8</v>
      </c>
      <c r="G175" s="7">
        <v>0</v>
      </c>
      <c r="H175" s="6"/>
      <c r="I175" s="6" t="s">
        <v>1311</v>
      </c>
      <c r="J175" s="7">
        <v>1</v>
      </c>
    </row>
    <row r="176" spans="1:10" x14ac:dyDescent="0.3">
      <c r="A176" s="6" t="s">
        <v>1966</v>
      </c>
      <c r="B176" s="6" t="s">
        <v>1311</v>
      </c>
      <c r="C176" s="6" t="s">
        <v>1362</v>
      </c>
      <c r="D176" s="6" t="s">
        <v>1994</v>
      </c>
      <c r="E176" s="16">
        <v>101.75</v>
      </c>
      <c r="F176" s="16">
        <v>13.8</v>
      </c>
      <c r="G176" s="7">
        <v>0</v>
      </c>
      <c r="H176" s="6"/>
      <c r="I176" s="6" t="s">
        <v>1311</v>
      </c>
      <c r="J176" s="7">
        <v>1</v>
      </c>
    </row>
    <row r="177" spans="1:10" x14ac:dyDescent="0.3">
      <c r="A177" s="6" t="s">
        <v>1967</v>
      </c>
      <c r="B177" s="6" t="s">
        <v>1311</v>
      </c>
      <c r="C177" s="6" t="s">
        <v>1362</v>
      </c>
      <c r="D177" s="6" t="s">
        <v>1994</v>
      </c>
      <c r="E177" s="16">
        <v>96.85</v>
      </c>
      <c r="F177" s="16">
        <v>13.8</v>
      </c>
      <c r="G177" s="7">
        <v>0</v>
      </c>
      <c r="H177" s="6"/>
      <c r="I177" s="6" t="s">
        <v>1311</v>
      </c>
      <c r="J177" s="7">
        <v>1</v>
      </c>
    </row>
    <row r="178" spans="1:10" x14ac:dyDescent="0.3">
      <c r="A178" s="6" t="s">
        <v>1968</v>
      </c>
      <c r="B178" s="6" t="s">
        <v>1311</v>
      </c>
      <c r="C178" s="6" t="s">
        <v>1362</v>
      </c>
      <c r="D178" s="6" t="s">
        <v>1994</v>
      </c>
      <c r="E178" s="16">
        <v>91.95</v>
      </c>
      <c r="F178" s="16">
        <v>13.8</v>
      </c>
      <c r="G178" s="7">
        <v>0</v>
      </c>
      <c r="H178" s="6"/>
      <c r="I178" s="6" t="s">
        <v>1311</v>
      </c>
      <c r="J178" s="7">
        <v>1</v>
      </c>
    </row>
    <row r="179" spans="1:10" x14ac:dyDescent="0.3">
      <c r="A179" s="6" t="s">
        <v>1969</v>
      </c>
      <c r="B179" s="6" t="s">
        <v>1311</v>
      </c>
      <c r="C179" s="6" t="s">
        <v>1362</v>
      </c>
      <c r="D179" s="6" t="s">
        <v>1994</v>
      </c>
      <c r="E179" s="16">
        <v>87.05</v>
      </c>
      <c r="F179" s="16">
        <v>13.8</v>
      </c>
      <c r="G179" s="7">
        <v>0</v>
      </c>
      <c r="H179" s="6"/>
      <c r="I179" s="6" t="s">
        <v>1311</v>
      </c>
      <c r="J179" s="7">
        <v>1</v>
      </c>
    </row>
    <row r="180" spans="1:10" x14ac:dyDescent="0.3">
      <c r="A180" s="6" t="s">
        <v>1970</v>
      </c>
      <c r="B180" s="6" t="s">
        <v>1311</v>
      </c>
      <c r="C180" s="6" t="s">
        <v>1362</v>
      </c>
      <c r="D180" s="6" t="s">
        <v>1994</v>
      </c>
      <c r="E180" s="16">
        <v>82.15</v>
      </c>
      <c r="F180" s="16">
        <v>13.8</v>
      </c>
      <c r="G180" s="7">
        <v>0</v>
      </c>
      <c r="H180" s="6"/>
      <c r="I180" s="6" t="s">
        <v>1311</v>
      </c>
      <c r="J180" s="7">
        <v>1</v>
      </c>
    </row>
    <row r="181" spans="1:10" x14ac:dyDescent="0.3">
      <c r="A181" s="6" t="s">
        <v>1971</v>
      </c>
      <c r="B181" s="6" t="s">
        <v>1311</v>
      </c>
      <c r="C181" s="6" t="s">
        <v>1362</v>
      </c>
      <c r="D181" s="6" t="s">
        <v>1994</v>
      </c>
      <c r="E181" s="16">
        <v>77.25</v>
      </c>
      <c r="F181" s="16">
        <v>13.8</v>
      </c>
      <c r="G181" s="7">
        <v>0</v>
      </c>
      <c r="H181" s="6"/>
      <c r="I181" s="6" t="s">
        <v>1311</v>
      </c>
      <c r="J181" s="7">
        <v>1</v>
      </c>
    </row>
    <row r="182" spans="1:10" x14ac:dyDescent="0.3">
      <c r="A182" s="6" t="s">
        <v>1972</v>
      </c>
      <c r="B182" s="6" t="s">
        <v>1311</v>
      </c>
      <c r="C182" s="6" t="s">
        <v>1362</v>
      </c>
      <c r="D182" s="6" t="s">
        <v>1994</v>
      </c>
      <c r="E182" s="16">
        <v>72.349999999999994</v>
      </c>
      <c r="F182" s="16">
        <v>13.8</v>
      </c>
      <c r="G182" s="7">
        <v>0</v>
      </c>
      <c r="H182" s="6"/>
      <c r="I182" s="6" t="s">
        <v>1311</v>
      </c>
      <c r="J182" s="7">
        <v>1</v>
      </c>
    </row>
    <row r="183" spans="1:10" x14ac:dyDescent="0.3">
      <c r="A183" s="6" t="s">
        <v>1973</v>
      </c>
      <c r="B183" s="6" t="s">
        <v>1311</v>
      </c>
      <c r="C183" s="6" t="s">
        <v>1362</v>
      </c>
      <c r="D183" s="6" t="s">
        <v>1994</v>
      </c>
      <c r="E183" s="16">
        <v>67.45</v>
      </c>
      <c r="F183" s="16">
        <v>13.8</v>
      </c>
      <c r="G183" s="7">
        <v>0</v>
      </c>
      <c r="H183" s="6"/>
      <c r="I183" s="6" t="s">
        <v>1311</v>
      </c>
      <c r="J183" s="7">
        <v>1</v>
      </c>
    </row>
    <row r="184" spans="1:10" x14ac:dyDescent="0.3">
      <c r="A184" s="6" t="s">
        <v>1974</v>
      </c>
      <c r="B184" s="6" t="s">
        <v>1311</v>
      </c>
      <c r="C184" s="6" t="s">
        <v>1362</v>
      </c>
      <c r="D184" s="6" t="s">
        <v>1994</v>
      </c>
      <c r="E184" s="16">
        <v>62.55</v>
      </c>
      <c r="F184" s="16">
        <v>13.8</v>
      </c>
      <c r="G184" s="7">
        <v>0</v>
      </c>
      <c r="H184" s="6"/>
      <c r="I184" s="6" t="s">
        <v>1311</v>
      </c>
      <c r="J184" s="7">
        <v>1</v>
      </c>
    </row>
    <row r="185" spans="1:10" x14ac:dyDescent="0.3">
      <c r="A185" s="6" t="s">
        <v>1975</v>
      </c>
      <c r="B185" s="6" t="s">
        <v>1311</v>
      </c>
      <c r="C185" s="6" t="s">
        <v>1362</v>
      </c>
      <c r="D185" s="6" t="s">
        <v>1994</v>
      </c>
      <c r="E185" s="16">
        <v>57.65</v>
      </c>
      <c r="F185" s="16">
        <v>13.8</v>
      </c>
      <c r="G185" s="7">
        <v>0</v>
      </c>
      <c r="H185" s="6"/>
      <c r="I185" s="6" t="s">
        <v>1311</v>
      </c>
      <c r="J185" s="7">
        <v>1</v>
      </c>
    </row>
    <row r="186" spans="1:10" x14ac:dyDescent="0.3">
      <c r="A186" s="6" t="s">
        <v>1976</v>
      </c>
      <c r="B186" s="6" t="s">
        <v>1311</v>
      </c>
      <c r="C186" s="6" t="s">
        <v>1362</v>
      </c>
      <c r="D186" s="6" t="s">
        <v>1994</v>
      </c>
      <c r="E186" s="16">
        <v>52.75</v>
      </c>
      <c r="F186" s="16">
        <v>13.8</v>
      </c>
      <c r="G186" s="7">
        <v>0</v>
      </c>
      <c r="H186" s="6"/>
      <c r="I186" s="6" t="s">
        <v>1311</v>
      </c>
      <c r="J186" s="7">
        <v>1</v>
      </c>
    </row>
    <row r="187" spans="1:10" x14ac:dyDescent="0.3">
      <c r="A187" s="6" t="s">
        <v>1977</v>
      </c>
      <c r="B187" s="6" t="s">
        <v>1311</v>
      </c>
      <c r="C187" s="6" t="s">
        <v>1362</v>
      </c>
      <c r="D187" s="6" t="s">
        <v>1994</v>
      </c>
      <c r="E187" s="16">
        <v>47.85</v>
      </c>
      <c r="F187" s="16">
        <v>13.8</v>
      </c>
      <c r="G187" s="7">
        <v>0</v>
      </c>
      <c r="H187" s="6"/>
      <c r="I187" s="6" t="s">
        <v>1311</v>
      </c>
      <c r="J187" s="7">
        <v>1</v>
      </c>
    </row>
    <row r="188" spans="1:10" x14ac:dyDescent="0.3">
      <c r="A188" s="6" t="s">
        <v>1978</v>
      </c>
      <c r="B188" s="6" t="s">
        <v>1311</v>
      </c>
      <c r="C188" s="6" t="s">
        <v>1362</v>
      </c>
      <c r="D188" s="6" t="s">
        <v>1994</v>
      </c>
      <c r="E188" s="16">
        <v>42.95</v>
      </c>
      <c r="F188" s="16">
        <v>13.8</v>
      </c>
      <c r="G188" s="7">
        <v>0</v>
      </c>
      <c r="H188" s="6"/>
      <c r="I188" s="6" t="s">
        <v>1311</v>
      </c>
      <c r="J188" s="7">
        <v>1</v>
      </c>
    </row>
    <row r="189" spans="1:10" x14ac:dyDescent="0.3">
      <c r="A189" s="6" t="s">
        <v>1979</v>
      </c>
      <c r="B189" s="6" t="s">
        <v>1311</v>
      </c>
      <c r="C189" s="6" t="s">
        <v>1362</v>
      </c>
      <c r="D189" s="6" t="s">
        <v>1994</v>
      </c>
      <c r="E189" s="16">
        <v>38.049999999999997</v>
      </c>
      <c r="F189" s="16">
        <v>13.8</v>
      </c>
      <c r="G189" s="7">
        <v>0</v>
      </c>
      <c r="H189" s="6"/>
      <c r="I189" s="6" t="s">
        <v>1311</v>
      </c>
      <c r="J189" s="7">
        <v>1</v>
      </c>
    </row>
    <row r="190" spans="1:10" x14ac:dyDescent="0.3">
      <c r="A190" s="6" t="s">
        <v>1980</v>
      </c>
      <c r="B190" s="6" t="s">
        <v>1311</v>
      </c>
      <c r="C190" s="6" t="s">
        <v>1362</v>
      </c>
      <c r="D190" s="6" t="s">
        <v>1994</v>
      </c>
      <c r="E190" s="16">
        <v>33.15</v>
      </c>
      <c r="F190" s="16">
        <v>13.8</v>
      </c>
      <c r="G190" s="7">
        <v>0</v>
      </c>
      <c r="H190" s="6"/>
      <c r="I190" s="6" t="s">
        <v>1311</v>
      </c>
      <c r="J190" s="7">
        <v>1</v>
      </c>
    </row>
    <row r="191" spans="1:10" x14ac:dyDescent="0.3">
      <c r="A191" s="6" t="s">
        <v>1981</v>
      </c>
      <c r="B191" s="6" t="s">
        <v>1311</v>
      </c>
      <c r="C191" s="6" t="s">
        <v>1362</v>
      </c>
      <c r="D191" s="6" t="s">
        <v>1994</v>
      </c>
      <c r="E191" s="16">
        <v>28.25</v>
      </c>
      <c r="F191" s="16">
        <v>13.8</v>
      </c>
      <c r="G191" s="7">
        <v>0</v>
      </c>
      <c r="H191" s="6"/>
      <c r="I191" s="6" t="s">
        <v>1311</v>
      </c>
      <c r="J191" s="7">
        <v>1</v>
      </c>
    </row>
    <row r="192" spans="1:10" x14ac:dyDescent="0.3">
      <c r="A192" s="6" t="s">
        <v>1982</v>
      </c>
      <c r="B192" s="6" t="s">
        <v>1311</v>
      </c>
      <c r="C192" s="6" t="s">
        <v>1362</v>
      </c>
      <c r="D192" s="6" t="s">
        <v>1994</v>
      </c>
      <c r="E192" s="16">
        <v>23.35</v>
      </c>
      <c r="F192" s="16">
        <v>13.8</v>
      </c>
      <c r="G192" s="7">
        <v>0</v>
      </c>
      <c r="H192" s="6"/>
      <c r="I192" s="6" t="s">
        <v>1311</v>
      </c>
      <c r="J192" s="7">
        <v>1</v>
      </c>
    </row>
    <row r="193" spans="1:10" x14ac:dyDescent="0.3">
      <c r="A193" s="6" t="s">
        <v>1983</v>
      </c>
      <c r="B193" s="6" t="s">
        <v>1311</v>
      </c>
      <c r="C193" s="6" t="s">
        <v>1362</v>
      </c>
      <c r="D193" s="6" t="s">
        <v>1994</v>
      </c>
      <c r="E193" s="16">
        <v>18.45</v>
      </c>
      <c r="F193" s="16">
        <v>13.8</v>
      </c>
      <c r="G193" s="7">
        <v>0</v>
      </c>
      <c r="H193" s="6"/>
      <c r="I193" s="6" t="s">
        <v>1311</v>
      </c>
      <c r="J193" s="7">
        <v>1</v>
      </c>
    </row>
    <row r="194" spans="1:10" x14ac:dyDescent="0.3">
      <c r="A194" s="6" t="s">
        <v>1984</v>
      </c>
      <c r="B194" s="6" t="s">
        <v>1311</v>
      </c>
      <c r="C194" s="6" t="s">
        <v>1362</v>
      </c>
      <c r="D194" s="6" t="s">
        <v>1994</v>
      </c>
      <c r="E194" s="16">
        <v>13.55</v>
      </c>
      <c r="F194" s="16">
        <v>13.8</v>
      </c>
      <c r="G194" s="7">
        <v>0</v>
      </c>
      <c r="H194" s="6"/>
      <c r="I194" s="6" t="s">
        <v>1311</v>
      </c>
      <c r="J194" s="7">
        <v>1</v>
      </c>
    </row>
    <row r="195" spans="1:10" x14ac:dyDescent="0.3">
      <c r="A195" s="6" t="s">
        <v>1985</v>
      </c>
      <c r="B195" s="6" t="s">
        <v>1311</v>
      </c>
      <c r="C195" s="6" t="s">
        <v>1362</v>
      </c>
      <c r="D195" s="6" t="s">
        <v>1994</v>
      </c>
      <c r="E195" s="16">
        <v>8.65</v>
      </c>
      <c r="F195" s="16">
        <v>13.8</v>
      </c>
      <c r="G195" s="7">
        <v>0</v>
      </c>
      <c r="H195" s="6"/>
      <c r="I195" s="6" t="s">
        <v>1311</v>
      </c>
      <c r="J195" s="7">
        <v>1</v>
      </c>
    </row>
    <row r="196" spans="1:10" x14ac:dyDescent="0.3">
      <c r="A196" s="6" t="s">
        <v>1986</v>
      </c>
      <c r="B196" s="6" t="s">
        <v>1311</v>
      </c>
      <c r="C196" s="6" t="s">
        <v>1362</v>
      </c>
      <c r="D196" s="6" t="s">
        <v>1994</v>
      </c>
      <c r="E196" s="16">
        <v>3.75</v>
      </c>
      <c r="F196" s="16">
        <v>13.8</v>
      </c>
      <c r="G196" s="7">
        <v>0</v>
      </c>
      <c r="H196" s="6"/>
      <c r="I196" s="6" t="s">
        <v>1311</v>
      </c>
      <c r="J196" s="7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5"/>
  <sheetViews>
    <sheetView showGridLines="0" workbookViewId="0"/>
  </sheetViews>
  <sheetFormatPr defaultRowHeight="14.4" x14ac:dyDescent="0.3"/>
  <cols>
    <col min="1" max="1" width="22" customWidth="1"/>
    <col min="2" max="3" width="44" customWidth="1"/>
    <col min="4" max="5" width="40" customWidth="1"/>
    <col min="6" max="6" width="30" customWidth="1"/>
  </cols>
  <sheetData>
    <row r="1" spans="1:6" ht="17.399999999999999" x14ac:dyDescent="0.3">
      <c r="A1" s="1" t="s">
        <v>2093</v>
      </c>
    </row>
    <row r="2" spans="1:6" x14ac:dyDescent="0.3">
      <c r="A2" s="2" t="s">
        <v>2094</v>
      </c>
    </row>
    <row r="4" spans="1:6" x14ac:dyDescent="0.3">
      <c r="A4" s="3" t="s">
        <v>2095</v>
      </c>
      <c r="B4" s="4"/>
      <c r="C4" s="4"/>
      <c r="D4" s="4"/>
      <c r="E4" s="4"/>
      <c r="F4" s="4"/>
    </row>
    <row r="5" spans="1:6" ht="26.4" x14ac:dyDescent="0.3">
      <c r="A5" s="5" t="s">
        <v>1170</v>
      </c>
      <c r="B5" s="5" t="s">
        <v>2096</v>
      </c>
      <c r="C5" s="5" t="s">
        <v>2097</v>
      </c>
      <c r="D5" s="5" t="s">
        <v>2098</v>
      </c>
      <c r="E5" s="5" t="s">
        <v>2099</v>
      </c>
    </row>
    <row r="6" spans="1:6" x14ac:dyDescent="0.3">
      <c r="A6" s="6" t="s">
        <v>2100</v>
      </c>
      <c r="B6" s="6" t="s">
        <v>2101</v>
      </c>
      <c r="C6" s="6" t="s">
        <v>2102</v>
      </c>
      <c r="D6" s="6" t="s">
        <v>2103</v>
      </c>
      <c r="E6" s="6" t="s">
        <v>2104</v>
      </c>
    </row>
    <row r="7" spans="1:6" x14ac:dyDescent="0.3">
      <c r="A7" s="6" t="s">
        <v>2105</v>
      </c>
      <c r="B7" s="6" t="s">
        <v>2106</v>
      </c>
      <c r="C7" s="6" t="s">
        <v>2106</v>
      </c>
      <c r="D7" s="6" t="s">
        <v>2106</v>
      </c>
      <c r="E7" s="6" t="s">
        <v>2107</v>
      </c>
    </row>
    <row r="8" spans="1:6" x14ac:dyDescent="0.3">
      <c r="A8" s="6" t="s">
        <v>2108</v>
      </c>
      <c r="B8" s="6" t="s">
        <v>2109</v>
      </c>
      <c r="C8" s="6" t="s">
        <v>2110</v>
      </c>
      <c r="D8" s="6" t="s">
        <v>2111</v>
      </c>
      <c r="E8" s="6" t="s">
        <v>2112</v>
      </c>
    </row>
    <row r="9" spans="1:6" ht="26.4" x14ac:dyDescent="0.3">
      <c r="A9" s="6" t="s">
        <v>2113</v>
      </c>
      <c r="B9" s="6" t="s">
        <v>2114</v>
      </c>
      <c r="C9" s="6" t="s">
        <v>2115</v>
      </c>
      <c r="D9" s="6" t="s">
        <v>2116</v>
      </c>
      <c r="E9" s="6" t="s">
        <v>2117</v>
      </c>
    </row>
    <row r="10" spans="1:6" x14ac:dyDescent="0.3">
      <c r="A10" s="6" t="s">
        <v>2118</v>
      </c>
      <c r="B10" s="6" t="s">
        <v>2119</v>
      </c>
      <c r="C10" s="6" t="s">
        <v>2119</v>
      </c>
      <c r="D10" s="6" t="s">
        <v>2120</v>
      </c>
      <c r="E10" s="6" t="s">
        <v>2121</v>
      </c>
    </row>
    <row r="11" spans="1:6" x14ac:dyDescent="0.3">
      <c r="A11" s="6" t="s">
        <v>2122</v>
      </c>
      <c r="B11" s="7">
        <v>84</v>
      </c>
      <c r="C11" s="7">
        <v>534</v>
      </c>
      <c r="D11" s="7">
        <v>364</v>
      </c>
      <c r="E11" s="7">
        <v>6</v>
      </c>
    </row>
    <row r="12" spans="1:6" x14ac:dyDescent="0.3">
      <c r="A12" s="6" t="s">
        <v>2123</v>
      </c>
      <c r="B12" s="6" t="s">
        <v>2124</v>
      </c>
      <c r="C12" s="6" t="s">
        <v>2125</v>
      </c>
      <c r="D12" s="6" t="s">
        <v>2126</v>
      </c>
      <c r="E12" s="6" t="s">
        <v>2127</v>
      </c>
    </row>
    <row r="13" spans="1:6" x14ac:dyDescent="0.3">
      <c r="A13" s="6" t="s">
        <v>2128</v>
      </c>
      <c r="B13" s="7">
        <v>7</v>
      </c>
      <c r="C13" s="7">
        <v>6</v>
      </c>
      <c r="D13" s="7">
        <v>7</v>
      </c>
      <c r="E13" s="6"/>
    </row>
    <row r="14" spans="1:6" x14ac:dyDescent="0.3">
      <c r="A14" s="6" t="s">
        <v>266</v>
      </c>
      <c r="B14" s="6" t="s">
        <v>2129</v>
      </c>
      <c r="C14" s="6" t="s">
        <v>2130</v>
      </c>
      <c r="D14" s="6" t="s">
        <v>2131</v>
      </c>
      <c r="E14" s="6" t="s">
        <v>2132</v>
      </c>
    </row>
    <row r="15" spans="1:6" ht="26.4" x14ac:dyDescent="0.3">
      <c r="A15" s="6" t="s">
        <v>2133</v>
      </c>
      <c r="B15" s="6" t="s">
        <v>2134</v>
      </c>
      <c r="C15" s="6" t="s">
        <v>2135</v>
      </c>
      <c r="D15" s="6" t="s">
        <v>2136</v>
      </c>
      <c r="E15" s="6" t="s">
        <v>2137</v>
      </c>
    </row>
    <row r="16" spans="1:6" x14ac:dyDescent="0.3">
      <c r="A16" s="6" t="s">
        <v>2138</v>
      </c>
      <c r="B16" s="6" t="s">
        <v>2139</v>
      </c>
      <c r="C16" s="6" t="s">
        <v>2140</v>
      </c>
      <c r="D16" s="6" t="s">
        <v>2141</v>
      </c>
      <c r="E16" s="6" t="s">
        <v>2142</v>
      </c>
    </row>
    <row r="17" spans="1:5" x14ac:dyDescent="0.3">
      <c r="A17" s="6" t="s">
        <v>2143</v>
      </c>
      <c r="B17" s="6" t="s">
        <v>2144</v>
      </c>
      <c r="C17" s="6" t="s">
        <v>2145</v>
      </c>
      <c r="D17" s="6" t="s">
        <v>2146</v>
      </c>
      <c r="E17" s="6" t="s">
        <v>2147</v>
      </c>
    </row>
    <row r="18" spans="1:5" ht="26.4" x14ac:dyDescent="0.3">
      <c r="A18" s="6" t="s">
        <v>2148</v>
      </c>
      <c r="B18" s="6" t="s">
        <v>2149</v>
      </c>
      <c r="C18" s="6" t="s">
        <v>2149</v>
      </c>
      <c r="D18" s="6" t="s">
        <v>2150</v>
      </c>
      <c r="E18" s="6" t="s">
        <v>2142</v>
      </c>
    </row>
    <row r="19" spans="1:5" ht="26.4" x14ac:dyDescent="0.3">
      <c r="A19" s="6" t="s">
        <v>1213</v>
      </c>
      <c r="B19" s="6"/>
      <c r="C19" s="6"/>
      <c r="D19" s="6"/>
      <c r="E19" s="6" t="s">
        <v>2151</v>
      </c>
    </row>
    <row r="21" spans="1:5" x14ac:dyDescent="0.3">
      <c r="A21" s="3" t="s">
        <v>2152</v>
      </c>
      <c r="B21" s="4"/>
      <c r="C21" s="4"/>
    </row>
    <row r="22" spans="1:5" x14ac:dyDescent="0.3">
      <c r="A22" s="5" t="s">
        <v>2153</v>
      </c>
      <c r="B22" s="5" t="s">
        <v>2154</v>
      </c>
      <c r="C22" s="5" t="s">
        <v>2155</v>
      </c>
    </row>
    <row r="23" spans="1:5" x14ac:dyDescent="0.3">
      <c r="A23" s="6" t="s">
        <v>2156</v>
      </c>
      <c r="B23" s="6" t="s">
        <v>2157</v>
      </c>
      <c r="C23" s="6" t="s">
        <v>2158</v>
      </c>
    </row>
    <row r="24" spans="1:5" x14ac:dyDescent="0.3">
      <c r="A24" s="6" t="s">
        <v>2159</v>
      </c>
      <c r="B24" s="6" t="s">
        <v>2160</v>
      </c>
      <c r="C24" s="6" t="s">
        <v>2160</v>
      </c>
    </row>
    <row r="25" spans="1:5" x14ac:dyDescent="0.3">
      <c r="A25" s="6" t="s">
        <v>117</v>
      </c>
      <c r="B25" s="6" t="s">
        <v>2106</v>
      </c>
      <c r="C25" s="6" t="s">
        <v>2106</v>
      </c>
    </row>
    <row r="26" spans="1:5" x14ac:dyDescent="0.3">
      <c r="A26" s="6" t="s">
        <v>2161</v>
      </c>
      <c r="B26" s="6" t="s">
        <v>1325</v>
      </c>
      <c r="C26" s="6" t="s">
        <v>1306</v>
      </c>
    </row>
    <row r="27" spans="1:5" x14ac:dyDescent="0.3">
      <c r="A27" s="6" t="s">
        <v>2162</v>
      </c>
      <c r="B27" s="6" t="s">
        <v>2163</v>
      </c>
      <c r="C27" s="6" t="s">
        <v>2164</v>
      </c>
    </row>
    <row r="28" spans="1:5" x14ac:dyDescent="0.3">
      <c r="A28" s="6" t="s">
        <v>2165</v>
      </c>
      <c r="B28" s="6" t="s">
        <v>2166</v>
      </c>
      <c r="C28" s="6" t="s">
        <v>2167</v>
      </c>
    </row>
    <row r="29" spans="1:5" x14ac:dyDescent="0.3">
      <c r="A29" s="6" t="s">
        <v>2168</v>
      </c>
      <c r="B29" s="6" t="s">
        <v>2169</v>
      </c>
      <c r="C29" s="6" t="s">
        <v>2169</v>
      </c>
    </row>
    <row r="30" spans="1:5" x14ac:dyDescent="0.3">
      <c r="A30" s="6" t="s">
        <v>2170</v>
      </c>
      <c r="B30" s="6" t="s">
        <v>2171</v>
      </c>
      <c r="C30" s="6" t="s">
        <v>2172</v>
      </c>
    </row>
    <row r="31" spans="1:5" ht="39.6" x14ac:dyDescent="0.3">
      <c r="A31" s="6" t="s">
        <v>2173</v>
      </c>
      <c r="B31" s="6" t="s">
        <v>2174</v>
      </c>
      <c r="C31" s="6" t="s">
        <v>2175</v>
      </c>
    </row>
    <row r="32" spans="1:5" x14ac:dyDescent="0.3">
      <c r="A32" s="6" t="s">
        <v>2176</v>
      </c>
      <c r="B32" s="6" t="s">
        <v>2177</v>
      </c>
      <c r="C32" s="6" t="s">
        <v>2178</v>
      </c>
    </row>
    <row r="33" spans="1:6" x14ac:dyDescent="0.3">
      <c r="A33" s="6" t="s">
        <v>2179</v>
      </c>
      <c r="B33" s="6" t="s">
        <v>2180</v>
      </c>
      <c r="C33" s="6" t="s">
        <v>2181</v>
      </c>
    </row>
    <row r="34" spans="1:6" x14ac:dyDescent="0.3">
      <c r="A34" s="6" t="s">
        <v>2182</v>
      </c>
      <c r="B34" s="6" t="s">
        <v>2149</v>
      </c>
      <c r="C34" s="6" t="s">
        <v>2149</v>
      </c>
    </row>
    <row r="36" spans="1:6" x14ac:dyDescent="0.3">
      <c r="A36" s="3" t="s">
        <v>2183</v>
      </c>
      <c r="B36" s="4"/>
      <c r="C36" s="4"/>
      <c r="D36" s="4"/>
      <c r="E36" s="4"/>
      <c r="F36" s="4"/>
    </row>
    <row r="37" spans="1:6" x14ac:dyDescent="0.3">
      <c r="A37" s="5" t="s">
        <v>2184</v>
      </c>
      <c r="B37" s="5" t="s">
        <v>2185</v>
      </c>
      <c r="C37" s="5" t="s">
        <v>2186</v>
      </c>
      <c r="D37" s="5" t="s">
        <v>2187</v>
      </c>
      <c r="E37" s="5" t="s">
        <v>664</v>
      </c>
      <c r="F37" s="5" t="s">
        <v>2188</v>
      </c>
    </row>
    <row r="38" spans="1:6" x14ac:dyDescent="0.3">
      <c r="A38" s="6" t="s">
        <v>2189</v>
      </c>
      <c r="B38" s="6" t="s">
        <v>2190</v>
      </c>
      <c r="C38" s="7">
        <v>0.6</v>
      </c>
      <c r="D38" s="7">
        <v>224</v>
      </c>
      <c r="E38" s="6" t="s">
        <v>2191</v>
      </c>
      <c r="F38" s="6" t="s">
        <v>2192</v>
      </c>
    </row>
    <row r="39" spans="1:6" x14ac:dyDescent="0.3">
      <c r="A39" s="6" t="s">
        <v>2189</v>
      </c>
      <c r="B39" s="6" t="s">
        <v>2193</v>
      </c>
      <c r="C39" s="7">
        <v>1.5</v>
      </c>
      <c r="D39" s="7">
        <v>2</v>
      </c>
      <c r="E39" s="6" t="s">
        <v>2194</v>
      </c>
      <c r="F39" s="6" t="s">
        <v>2192</v>
      </c>
    </row>
    <row r="40" spans="1:6" x14ac:dyDescent="0.3">
      <c r="A40" s="6" t="s">
        <v>2195</v>
      </c>
      <c r="B40" s="6" t="s">
        <v>2190</v>
      </c>
      <c r="C40" s="7">
        <v>0.7</v>
      </c>
      <c r="D40" s="7">
        <v>4</v>
      </c>
      <c r="E40" s="6" t="s">
        <v>2191</v>
      </c>
      <c r="F40" s="6" t="s">
        <v>2196</v>
      </c>
    </row>
    <row r="41" spans="1:6" x14ac:dyDescent="0.3">
      <c r="A41" s="6" t="s">
        <v>2195</v>
      </c>
      <c r="B41" s="6" t="s">
        <v>2193</v>
      </c>
      <c r="C41" s="7">
        <v>1</v>
      </c>
      <c r="D41" s="7">
        <v>336</v>
      </c>
      <c r="E41" s="6" t="s">
        <v>2191</v>
      </c>
      <c r="F41" s="6" t="s">
        <v>2196</v>
      </c>
    </row>
    <row r="42" spans="1:6" x14ac:dyDescent="0.3">
      <c r="A42" s="6" t="s">
        <v>2195</v>
      </c>
      <c r="B42" s="6" t="s">
        <v>2197</v>
      </c>
      <c r="C42" s="7">
        <v>3</v>
      </c>
      <c r="D42" s="7">
        <v>2</v>
      </c>
      <c r="E42" s="6" t="s">
        <v>2194</v>
      </c>
      <c r="F42" s="6" t="s">
        <v>2196</v>
      </c>
    </row>
    <row r="44" spans="1:6" x14ac:dyDescent="0.3">
      <c r="A44" s="3" t="s">
        <v>2198</v>
      </c>
      <c r="B44" s="4"/>
      <c r="C44" s="4"/>
      <c r="D44" s="4"/>
      <c r="E44" s="4"/>
      <c r="F44" s="4"/>
    </row>
    <row r="45" spans="1:6" x14ac:dyDescent="0.3">
      <c r="A45" s="5" t="s">
        <v>2184</v>
      </c>
      <c r="B45" s="5" t="s">
        <v>2199</v>
      </c>
      <c r="C45" s="5" t="s">
        <v>2200</v>
      </c>
      <c r="D45" s="5" t="s">
        <v>2201</v>
      </c>
    </row>
    <row r="46" spans="1:6" x14ac:dyDescent="0.3">
      <c r="A46" s="6" t="s">
        <v>2189</v>
      </c>
      <c r="B46" s="6" t="s">
        <v>2202</v>
      </c>
      <c r="C46" s="6" t="s">
        <v>2203</v>
      </c>
      <c r="D46" s="7">
        <v>1202</v>
      </c>
    </row>
    <row r="47" spans="1:6" x14ac:dyDescent="0.3">
      <c r="A47" s="6" t="s">
        <v>2189</v>
      </c>
      <c r="B47" s="6" t="s">
        <v>2204</v>
      </c>
      <c r="C47" s="6" t="s">
        <v>2205</v>
      </c>
      <c r="D47" s="7">
        <v>96759</v>
      </c>
    </row>
    <row r="48" spans="1:6" x14ac:dyDescent="0.3">
      <c r="A48" s="6" t="s">
        <v>2189</v>
      </c>
      <c r="B48" s="6" t="s">
        <v>2206</v>
      </c>
      <c r="C48" s="6" t="s">
        <v>2207</v>
      </c>
      <c r="D48" s="7">
        <v>2016</v>
      </c>
    </row>
    <row r="49" spans="1:4" x14ac:dyDescent="0.3">
      <c r="A49" s="6" t="s">
        <v>2189</v>
      </c>
      <c r="B49" s="6" t="s">
        <v>2208</v>
      </c>
      <c r="C49" s="6" t="s">
        <v>2209</v>
      </c>
      <c r="D49" s="7">
        <v>5295</v>
      </c>
    </row>
    <row r="50" spans="1:4" x14ac:dyDescent="0.3">
      <c r="A50" s="6" t="s">
        <v>2189</v>
      </c>
      <c r="B50" s="6" t="s">
        <v>2210</v>
      </c>
      <c r="C50" s="6" t="s">
        <v>2211</v>
      </c>
      <c r="D50" s="7">
        <v>12740</v>
      </c>
    </row>
    <row r="51" spans="1:4" x14ac:dyDescent="0.3">
      <c r="A51" s="6" t="s">
        <v>2189</v>
      </c>
      <c r="B51" s="6" t="s">
        <v>2212</v>
      </c>
      <c r="C51" s="6" t="s">
        <v>2213</v>
      </c>
      <c r="D51" s="7">
        <v>14979</v>
      </c>
    </row>
    <row r="52" spans="1:4" x14ac:dyDescent="0.3">
      <c r="A52" s="6" t="s">
        <v>2189</v>
      </c>
      <c r="B52" s="6" t="s">
        <v>2214</v>
      </c>
      <c r="C52" s="6" t="s">
        <v>2215</v>
      </c>
      <c r="D52" s="7">
        <v>417</v>
      </c>
    </row>
    <row r="53" spans="1:4" x14ac:dyDescent="0.3">
      <c r="A53" s="6" t="s">
        <v>2189</v>
      </c>
      <c r="B53" s="6" t="s">
        <v>2216</v>
      </c>
      <c r="C53" s="6" t="s">
        <v>2217</v>
      </c>
      <c r="D53" s="7">
        <v>235</v>
      </c>
    </row>
    <row r="54" spans="1:4" x14ac:dyDescent="0.3">
      <c r="A54" s="6" t="s">
        <v>2189</v>
      </c>
      <c r="B54" s="6" t="s">
        <v>2218</v>
      </c>
      <c r="C54" s="6" t="s">
        <v>2219</v>
      </c>
      <c r="D54" s="7">
        <v>25357</v>
      </c>
    </row>
    <row r="55" spans="1:4" x14ac:dyDescent="0.3">
      <c r="A55" s="6" t="s">
        <v>2189</v>
      </c>
      <c r="B55" s="6" t="s">
        <v>2220</v>
      </c>
      <c r="C55" s="6" t="s">
        <v>2221</v>
      </c>
      <c r="D55" s="7">
        <v>47786</v>
      </c>
    </row>
    <row r="56" spans="1:4" x14ac:dyDescent="0.3">
      <c r="A56" s="6" t="s">
        <v>2189</v>
      </c>
      <c r="B56" s="6" t="s">
        <v>2222</v>
      </c>
      <c r="C56" s="6" t="s">
        <v>2223</v>
      </c>
      <c r="D56" s="7">
        <v>87189</v>
      </c>
    </row>
    <row r="57" spans="1:4" x14ac:dyDescent="0.3">
      <c r="A57" s="6" t="s">
        <v>2189</v>
      </c>
      <c r="B57" s="6" t="s">
        <v>2224</v>
      </c>
      <c r="C57" s="6" t="s">
        <v>2225</v>
      </c>
      <c r="D57" s="7">
        <v>25285</v>
      </c>
    </row>
    <row r="58" spans="1:4" x14ac:dyDescent="0.3">
      <c r="A58" s="6" t="s">
        <v>2189</v>
      </c>
      <c r="B58" s="6" t="s">
        <v>2226</v>
      </c>
      <c r="C58" s="6" t="s">
        <v>2227</v>
      </c>
      <c r="D58" s="7">
        <v>30518</v>
      </c>
    </row>
    <row r="59" spans="1:4" x14ac:dyDescent="0.3">
      <c r="A59" s="6" t="s">
        <v>2189</v>
      </c>
      <c r="B59" s="6" t="s">
        <v>2228</v>
      </c>
      <c r="C59" s="6" t="s">
        <v>2229</v>
      </c>
      <c r="D59" s="7">
        <v>3157</v>
      </c>
    </row>
    <row r="60" spans="1:4" x14ac:dyDescent="0.3">
      <c r="A60" s="6" t="s">
        <v>2189</v>
      </c>
      <c r="B60" s="6" t="s">
        <v>2230</v>
      </c>
      <c r="C60" s="6" t="s">
        <v>2231</v>
      </c>
      <c r="D60" s="7">
        <v>39816</v>
      </c>
    </row>
    <row r="61" spans="1:4" x14ac:dyDescent="0.3">
      <c r="A61" s="6" t="s">
        <v>2195</v>
      </c>
      <c r="B61" s="6" t="s">
        <v>2232</v>
      </c>
      <c r="C61" s="6" t="s">
        <v>2203</v>
      </c>
      <c r="D61" s="7">
        <v>1330</v>
      </c>
    </row>
    <row r="62" spans="1:4" x14ac:dyDescent="0.3">
      <c r="A62" s="6" t="s">
        <v>2195</v>
      </c>
      <c r="B62" s="6" t="s">
        <v>2233</v>
      </c>
      <c r="C62" s="6" t="s">
        <v>2205</v>
      </c>
      <c r="D62" s="7">
        <v>13911</v>
      </c>
    </row>
    <row r="63" spans="1:4" x14ac:dyDescent="0.3">
      <c r="A63" s="6" t="s">
        <v>2195</v>
      </c>
      <c r="B63" s="6" t="s">
        <v>2234</v>
      </c>
      <c r="C63" s="6" t="s">
        <v>2207</v>
      </c>
      <c r="D63" s="7">
        <v>4325</v>
      </c>
    </row>
    <row r="64" spans="1:4" x14ac:dyDescent="0.3">
      <c r="A64" s="6" t="s">
        <v>2195</v>
      </c>
      <c r="B64" s="6" t="s">
        <v>2235</v>
      </c>
      <c r="C64" s="6" t="s">
        <v>2236</v>
      </c>
      <c r="D64" s="7">
        <v>1410</v>
      </c>
    </row>
    <row r="65" spans="1:4" x14ac:dyDescent="0.3">
      <c r="A65" s="6" t="s">
        <v>2195</v>
      </c>
      <c r="B65" s="6" t="s">
        <v>2237</v>
      </c>
      <c r="C65" s="6" t="s">
        <v>2209</v>
      </c>
      <c r="D65" s="7">
        <v>8025</v>
      </c>
    </row>
    <row r="66" spans="1:4" x14ac:dyDescent="0.3">
      <c r="A66" s="6" t="s">
        <v>2195</v>
      </c>
      <c r="B66" s="6" t="s">
        <v>2238</v>
      </c>
      <c r="C66" s="6" t="s">
        <v>2211</v>
      </c>
      <c r="D66" s="7">
        <v>17816</v>
      </c>
    </row>
    <row r="67" spans="1:4" x14ac:dyDescent="0.3">
      <c r="A67" s="6" t="s">
        <v>2195</v>
      </c>
      <c r="B67" s="6" t="s">
        <v>2239</v>
      </c>
      <c r="C67" s="6" t="s">
        <v>2213</v>
      </c>
      <c r="D67" s="7">
        <v>22031</v>
      </c>
    </row>
    <row r="68" spans="1:4" x14ac:dyDescent="0.3">
      <c r="A68" s="6" t="s">
        <v>2195</v>
      </c>
      <c r="B68" s="6" t="s">
        <v>2240</v>
      </c>
      <c r="C68" s="6" t="s">
        <v>2215</v>
      </c>
      <c r="D68" s="7">
        <v>534</v>
      </c>
    </row>
    <row r="69" spans="1:4" x14ac:dyDescent="0.3">
      <c r="A69" s="6" t="s">
        <v>2195</v>
      </c>
      <c r="B69" s="6" t="s">
        <v>2241</v>
      </c>
      <c r="C69" s="6" t="s">
        <v>2217</v>
      </c>
      <c r="D69" s="7">
        <v>8020</v>
      </c>
    </row>
    <row r="70" spans="1:4" x14ac:dyDescent="0.3">
      <c r="A70" s="6" t="s">
        <v>2195</v>
      </c>
      <c r="B70" s="6" t="s">
        <v>2242</v>
      </c>
      <c r="C70" s="6" t="s">
        <v>2219</v>
      </c>
      <c r="D70" s="7">
        <v>6827</v>
      </c>
    </row>
    <row r="71" spans="1:4" x14ac:dyDescent="0.3">
      <c r="A71" s="6" t="s">
        <v>2195</v>
      </c>
      <c r="B71" s="6" t="s">
        <v>2243</v>
      </c>
      <c r="C71" s="6" t="s">
        <v>2221</v>
      </c>
      <c r="D71" s="7">
        <v>8632</v>
      </c>
    </row>
    <row r="72" spans="1:4" x14ac:dyDescent="0.3">
      <c r="A72" s="6" t="s">
        <v>2195</v>
      </c>
      <c r="B72" s="6" t="s">
        <v>2244</v>
      </c>
      <c r="C72" s="6" t="s">
        <v>2223</v>
      </c>
      <c r="D72" s="7">
        <v>13114</v>
      </c>
    </row>
    <row r="73" spans="1:4" x14ac:dyDescent="0.3">
      <c r="A73" s="6" t="s">
        <v>2195</v>
      </c>
      <c r="B73" s="6" t="s">
        <v>2245</v>
      </c>
      <c r="C73" s="6" t="s">
        <v>2227</v>
      </c>
      <c r="D73" s="7">
        <v>6831</v>
      </c>
    </row>
    <row r="74" spans="1:4" x14ac:dyDescent="0.3">
      <c r="A74" s="6" t="s">
        <v>2195</v>
      </c>
      <c r="B74" s="6" t="s">
        <v>2246</v>
      </c>
      <c r="C74" s="6" t="s">
        <v>2229</v>
      </c>
      <c r="D74" s="7">
        <v>3558</v>
      </c>
    </row>
    <row r="75" spans="1:4" x14ac:dyDescent="0.3">
      <c r="A75" s="6" t="s">
        <v>2195</v>
      </c>
      <c r="B75" s="6" t="s">
        <v>2247</v>
      </c>
      <c r="C75" s="6" t="s">
        <v>2231</v>
      </c>
      <c r="D75" s="7">
        <v>13374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6"/>
  <sheetViews>
    <sheetView showGridLines="0" workbookViewId="0"/>
  </sheetViews>
  <sheetFormatPr defaultRowHeight="14.4" x14ac:dyDescent="0.3"/>
  <cols>
    <col min="1" max="1" width="40" customWidth="1"/>
    <col min="2" max="3" width="32" customWidth="1"/>
    <col min="4" max="4" width="10" customWidth="1"/>
    <col min="5" max="5" width="50" customWidth="1"/>
  </cols>
  <sheetData>
    <row r="1" spans="1:5" ht="17.399999999999999" x14ac:dyDescent="0.3">
      <c r="A1" s="1" t="s">
        <v>2248</v>
      </c>
    </row>
    <row r="2" spans="1:5" x14ac:dyDescent="0.3">
      <c r="A2" s="2" t="s">
        <v>2249</v>
      </c>
    </row>
    <row r="4" spans="1:5" x14ac:dyDescent="0.3">
      <c r="A4" s="5" t="s">
        <v>556</v>
      </c>
      <c r="B4" s="5" t="s">
        <v>2102</v>
      </c>
      <c r="C4" s="5" t="s">
        <v>2101</v>
      </c>
      <c r="D4" s="5" t="s">
        <v>558</v>
      </c>
      <c r="E4" s="5" t="s">
        <v>2250</v>
      </c>
    </row>
    <row r="5" spans="1:5" x14ac:dyDescent="0.3">
      <c r="A5" s="6" t="s">
        <v>2251</v>
      </c>
      <c r="B5" s="7">
        <v>273.7</v>
      </c>
      <c r="C5" s="7">
        <v>139.80000000000001</v>
      </c>
      <c r="D5" s="6" t="s">
        <v>103</v>
      </c>
      <c r="E5" s="6" t="s">
        <v>2252</v>
      </c>
    </row>
    <row r="6" spans="1:5" x14ac:dyDescent="0.3">
      <c r="A6" s="6" t="s">
        <v>2253</v>
      </c>
      <c r="B6" s="7">
        <v>170.7</v>
      </c>
      <c r="C6" s="7">
        <v>55.6</v>
      </c>
      <c r="D6" s="6" t="s">
        <v>103</v>
      </c>
      <c r="E6" s="6" t="s">
        <v>2254</v>
      </c>
    </row>
    <row r="7" spans="1:5" x14ac:dyDescent="0.3">
      <c r="A7" s="6" t="s">
        <v>2255</v>
      </c>
      <c r="B7" s="6" t="s">
        <v>2256</v>
      </c>
      <c r="C7" s="6" t="s">
        <v>2257</v>
      </c>
      <c r="D7" s="6" t="s">
        <v>103</v>
      </c>
      <c r="E7" s="6" t="s">
        <v>2258</v>
      </c>
    </row>
    <row r="8" spans="1:5" x14ac:dyDescent="0.3">
      <c r="A8" s="6" t="s">
        <v>2259</v>
      </c>
      <c r="B8" s="32">
        <v>23161.8</v>
      </c>
      <c r="C8" s="32">
        <v>2488.4</v>
      </c>
      <c r="D8" s="6" t="s">
        <v>799</v>
      </c>
      <c r="E8" s="6" t="s">
        <v>2260</v>
      </c>
    </row>
    <row r="9" spans="1:5" x14ac:dyDescent="0.3">
      <c r="A9" s="6" t="s">
        <v>2261</v>
      </c>
      <c r="B9" s="19">
        <f>273.7*170.7</f>
        <v>46720.59</v>
      </c>
      <c r="C9" s="19">
        <f>139.8*17.8</f>
        <v>2488.4400000000005</v>
      </c>
      <c r="D9" s="6" t="s">
        <v>799</v>
      </c>
      <c r="E9" s="6"/>
    </row>
    <row r="10" spans="1:5" x14ac:dyDescent="0.3">
      <c r="A10" s="6" t="s">
        <v>2262</v>
      </c>
      <c r="B10" s="20">
        <f>B8/B9</f>
        <v>0.49575144491968104</v>
      </c>
      <c r="C10" s="20">
        <f>C8/C9</f>
        <v>0.99998392567230854</v>
      </c>
      <c r="D10" s="6"/>
      <c r="E10" s="6" t="s">
        <v>2263</v>
      </c>
    </row>
    <row r="11" spans="1:5" ht="26.4" x14ac:dyDescent="0.3">
      <c r="A11" s="6" t="s">
        <v>2264</v>
      </c>
      <c r="B11" s="6" t="s">
        <v>2265</v>
      </c>
      <c r="C11" s="6" t="s">
        <v>2266</v>
      </c>
      <c r="D11" s="6"/>
      <c r="E11" s="6" t="s">
        <v>2267</v>
      </c>
    </row>
    <row r="12" spans="1:5" x14ac:dyDescent="0.3">
      <c r="A12" s="6" t="s">
        <v>2268</v>
      </c>
      <c r="B12" s="7">
        <v>2</v>
      </c>
      <c r="C12" s="7">
        <v>2</v>
      </c>
      <c r="D12" s="6"/>
      <c r="E12" s="6" t="s">
        <v>2269</v>
      </c>
    </row>
    <row r="13" spans="1:5" x14ac:dyDescent="0.3">
      <c r="A13" s="6" t="s">
        <v>2270</v>
      </c>
      <c r="B13" s="7">
        <v>1</v>
      </c>
      <c r="C13" s="7">
        <v>1.6</v>
      </c>
      <c r="D13" s="6" t="s">
        <v>103</v>
      </c>
      <c r="E13" s="6" t="s">
        <v>2271</v>
      </c>
    </row>
    <row r="14" spans="1:5" x14ac:dyDescent="0.3">
      <c r="A14" s="6" t="s">
        <v>2105</v>
      </c>
      <c r="B14" s="6" t="s">
        <v>2106</v>
      </c>
      <c r="C14" s="6" t="s">
        <v>2106</v>
      </c>
      <c r="D14" s="6"/>
      <c r="E14" s="6"/>
    </row>
    <row r="15" spans="1:5" x14ac:dyDescent="0.3">
      <c r="A15" s="6" t="s">
        <v>2272</v>
      </c>
      <c r="B15" s="6" t="s">
        <v>811</v>
      </c>
      <c r="C15" s="6" t="s">
        <v>2273</v>
      </c>
      <c r="D15" s="6"/>
      <c r="E15" s="6" t="s">
        <v>2274</v>
      </c>
    </row>
    <row r="16" spans="1:5" x14ac:dyDescent="0.3">
      <c r="A16" s="6" t="s">
        <v>2275</v>
      </c>
      <c r="B16" s="6">
        <f>COUNTA(OPT_PnP_FL285182!$A$5:$A$630)</f>
        <v>626</v>
      </c>
      <c r="C16" s="6">
        <f>COUNTA(OPT_PnP_LI15020!$A$5:$A$196)</f>
        <v>192</v>
      </c>
      <c r="D16" s="6" t="s">
        <v>566</v>
      </c>
      <c r="E16" s="6" t="s">
        <v>2276</v>
      </c>
    </row>
    <row r="17" spans="1:5" x14ac:dyDescent="0.3">
      <c r="A17" s="6" t="s">
        <v>2277</v>
      </c>
      <c r="B17" s="6">
        <f>COUNTIF(OPT_PnP_FL285182!$I$5:$I$630,"LED")</f>
        <v>534</v>
      </c>
      <c r="C17" s="6">
        <f>COUNTIF(OPT_PnP_LI15020!$I$5:$I$196,"LED")</f>
        <v>168</v>
      </c>
      <c r="D17" s="6" t="s">
        <v>566</v>
      </c>
      <c r="E17" s="6"/>
    </row>
    <row r="18" spans="1:5" x14ac:dyDescent="0.3">
      <c r="A18" s="6" t="s">
        <v>581</v>
      </c>
      <c r="B18" s="6">
        <f>COUNTIF(OPT_PnP_FL285182!$I$5:$I$630,"Resistor")</f>
        <v>89</v>
      </c>
      <c r="C18" s="6">
        <f>COUNTIF(OPT_PnP_LI15020!$I$5:$I$196,"Resistor")</f>
        <v>24</v>
      </c>
      <c r="D18" s="6" t="s">
        <v>566</v>
      </c>
      <c r="E18" s="6"/>
    </row>
    <row r="19" spans="1:5" x14ac:dyDescent="0.3">
      <c r="A19" s="6" t="s">
        <v>2278</v>
      </c>
      <c r="B19" s="6">
        <f>COUNTIF(OPT_PnP_FL285182!$I$5:$I$630,"Fiducial")</f>
        <v>3</v>
      </c>
      <c r="C19" s="6">
        <f>COUNTIF(OPT_PnP_LI15020!$I$5:$I$196,"Fiducial")</f>
        <v>0</v>
      </c>
      <c r="D19" s="6" t="s">
        <v>566</v>
      </c>
      <c r="E19" s="6"/>
    </row>
    <row r="20" spans="1:5" x14ac:dyDescent="0.3">
      <c r="A20" s="6" t="s">
        <v>2279</v>
      </c>
      <c r="B20" s="7">
        <v>534</v>
      </c>
      <c r="C20" s="7">
        <v>84</v>
      </c>
      <c r="D20" s="6" t="s">
        <v>566</v>
      </c>
      <c r="E20" s="6"/>
    </row>
    <row r="21" spans="1:5" x14ac:dyDescent="0.3">
      <c r="A21" s="6" t="s">
        <v>2280</v>
      </c>
      <c r="B21" s="7">
        <v>89</v>
      </c>
      <c r="C21" s="7">
        <v>12</v>
      </c>
      <c r="D21" s="6" t="s">
        <v>566</v>
      </c>
      <c r="E21" s="6"/>
    </row>
    <row r="22" spans="1:5" x14ac:dyDescent="0.3">
      <c r="A22" s="6" t="s">
        <v>2128</v>
      </c>
      <c r="B22" s="7">
        <v>6</v>
      </c>
      <c r="C22" s="7">
        <v>7</v>
      </c>
      <c r="D22" s="6"/>
      <c r="E22" s="6" t="s">
        <v>2258</v>
      </c>
    </row>
    <row r="23" spans="1:5" x14ac:dyDescent="0.3">
      <c r="A23" s="6" t="s">
        <v>2281</v>
      </c>
      <c r="B23" s="6">
        <f>B20/B22</f>
        <v>89</v>
      </c>
      <c r="C23" s="6">
        <f>C20/C22</f>
        <v>12</v>
      </c>
      <c r="D23" s="6"/>
      <c r="E23" s="6" t="s">
        <v>2282</v>
      </c>
    </row>
    <row r="24" spans="1:5" x14ac:dyDescent="0.3">
      <c r="A24" s="6" t="s">
        <v>2283</v>
      </c>
      <c r="B24" s="6">
        <f>COUNTIF(OPT_PnP_FL285182!$C$5:$C$630,"TopLayer")</f>
        <v>626</v>
      </c>
      <c r="C24" s="6">
        <f>COUNTIF(OPT_PnP_LI15020!$C$5:$C$196,"TopLayer")</f>
        <v>168</v>
      </c>
      <c r="D24" s="6" t="s">
        <v>566</v>
      </c>
      <c r="E24" s="6"/>
    </row>
    <row r="25" spans="1:5" x14ac:dyDescent="0.3">
      <c r="A25" s="6" t="s">
        <v>2284</v>
      </c>
      <c r="B25" s="6">
        <f>COUNTIF(OPT_PnP_FL285182!$C$5:$C$630,"BottomLayer")</f>
        <v>0</v>
      </c>
      <c r="C25" s="6">
        <f>COUNTIF(OPT_PnP_LI15020!$C$5:$C$196,"BottomLayer")</f>
        <v>24</v>
      </c>
      <c r="D25" s="6" t="s">
        <v>566</v>
      </c>
      <c r="E25" s="6"/>
    </row>
    <row r="26" spans="1:5" ht="26.4" x14ac:dyDescent="0.3">
      <c r="A26" s="6" t="s">
        <v>2285</v>
      </c>
      <c r="B26" s="7">
        <v>3</v>
      </c>
      <c r="C26" s="7">
        <v>2</v>
      </c>
      <c r="D26" s="6"/>
      <c r="E26" s="6" t="s">
        <v>2286</v>
      </c>
    </row>
    <row r="27" spans="1:5" x14ac:dyDescent="0.3">
      <c r="A27" s="6" t="s">
        <v>2287</v>
      </c>
      <c r="B27" s="6" t="s">
        <v>2288</v>
      </c>
      <c r="C27" s="6" t="s">
        <v>2289</v>
      </c>
      <c r="D27" s="6"/>
      <c r="E27" s="6"/>
    </row>
    <row r="28" spans="1:5" x14ac:dyDescent="0.3">
      <c r="A28" s="6" t="s">
        <v>2290</v>
      </c>
      <c r="B28" s="19">
        <f>(B20+B21)/B8*100</f>
        <v>2.6897736790750288</v>
      </c>
      <c r="C28" s="19">
        <f>(C20+C21)/C8*100</f>
        <v>3.8579006590580294</v>
      </c>
      <c r="D28" s="6" t="s">
        <v>2291</v>
      </c>
      <c r="E28" s="6"/>
    </row>
    <row r="29" spans="1:5" x14ac:dyDescent="0.3">
      <c r="A29" s="6" t="s">
        <v>2292</v>
      </c>
      <c r="B29" s="7">
        <v>224</v>
      </c>
      <c r="C29" s="7">
        <v>340</v>
      </c>
      <c r="D29" s="6" t="s">
        <v>2293</v>
      </c>
      <c r="E29" s="6" t="s">
        <v>2294</v>
      </c>
    </row>
    <row r="30" spans="1:5" x14ac:dyDescent="0.3">
      <c r="A30" s="6" t="s">
        <v>2295</v>
      </c>
      <c r="B30" s="7">
        <v>2</v>
      </c>
      <c r="C30" s="7">
        <v>2</v>
      </c>
      <c r="D30" s="6" t="s">
        <v>2293</v>
      </c>
      <c r="E30" s="6"/>
    </row>
    <row r="31" spans="1:5" x14ac:dyDescent="0.3">
      <c r="A31" s="6" t="s">
        <v>2296</v>
      </c>
      <c r="B31" s="7">
        <v>2</v>
      </c>
      <c r="C31" s="7">
        <v>3</v>
      </c>
      <c r="D31" s="6"/>
      <c r="E31" s="6"/>
    </row>
    <row r="32" spans="1:5" x14ac:dyDescent="0.3">
      <c r="A32" s="6" t="s">
        <v>2297</v>
      </c>
      <c r="B32" s="7">
        <v>0.6</v>
      </c>
      <c r="C32" s="7">
        <v>0.7</v>
      </c>
      <c r="D32" s="6" t="s">
        <v>103</v>
      </c>
      <c r="E32" s="6"/>
    </row>
    <row r="33" spans="1:5" x14ac:dyDescent="0.3">
      <c r="A33" s="6" t="s">
        <v>2298</v>
      </c>
      <c r="B33" s="7">
        <v>0</v>
      </c>
      <c r="C33" s="6">
        <f>84*2</f>
        <v>168</v>
      </c>
      <c r="D33" s="6" t="s">
        <v>587</v>
      </c>
      <c r="E33" s="6" t="s">
        <v>2299</v>
      </c>
    </row>
    <row r="34" spans="1:5" x14ac:dyDescent="0.3">
      <c r="A34" s="6" t="s">
        <v>2300</v>
      </c>
      <c r="B34" s="6">
        <f>(534+89)*2</f>
        <v>1246</v>
      </c>
      <c r="C34" s="6">
        <f>12*2</f>
        <v>24</v>
      </c>
      <c r="D34" s="6" t="s">
        <v>587</v>
      </c>
      <c r="E34" s="6" t="s">
        <v>2301</v>
      </c>
    </row>
    <row r="35" spans="1:5" x14ac:dyDescent="0.3">
      <c r="A35" s="6" t="s">
        <v>2133</v>
      </c>
      <c r="B35" s="6" t="s">
        <v>2302</v>
      </c>
      <c r="C35" s="6" t="s">
        <v>2302</v>
      </c>
      <c r="D35" s="6"/>
      <c r="E35" s="6"/>
    </row>
    <row r="36" spans="1:5" ht="26.4" x14ac:dyDescent="0.3">
      <c r="A36" s="6" t="s">
        <v>2303</v>
      </c>
      <c r="B36" s="6" t="s">
        <v>2304</v>
      </c>
      <c r="C36" s="6" t="s">
        <v>2305</v>
      </c>
      <c r="D36" s="6"/>
      <c r="E36" s="6" t="s">
        <v>2306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4"/>
  <sheetViews>
    <sheetView showGridLines="0" workbookViewId="0"/>
  </sheetViews>
  <sheetFormatPr defaultRowHeight="14.4" x14ac:dyDescent="0.3"/>
  <cols>
    <col min="1" max="1" width="30" customWidth="1"/>
    <col min="2" max="3" width="46" customWidth="1"/>
    <col min="4" max="4" width="30" customWidth="1"/>
    <col min="5" max="5" width="12" customWidth="1"/>
    <col min="6" max="7" width="10" customWidth="1"/>
    <col min="8" max="8" width="30" customWidth="1"/>
  </cols>
  <sheetData>
    <row r="1" spans="1:8" ht="17.399999999999999" x14ac:dyDescent="0.3">
      <c r="A1" s="1" t="s">
        <v>2307</v>
      </c>
    </row>
    <row r="2" spans="1:8" x14ac:dyDescent="0.3">
      <c r="A2" s="2" t="s">
        <v>2308</v>
      </c>
    </row>
    <row r="4" spans="1:8" x14ac:dyDescent="0.3">
      <c r="A4" s="3" t="s">
        <v>2309</v>
      </c>
      <c r="B4" s="4"/>
      <c r="C4" s="4"/>
      <c r="D4" s="4"/>
      <c r="E4" s="4"/>
      <c r="F4" s="4"/>
      <c r="G4" s="4"/>
      <c r="H4" s="4"/>
    </row>
    <row r="5" spans="1:8" ht="26.4" x14ac:dyDescent="0.3">
      <c r="A5" s="5" t="s">
        <v>686</v>
      </c>
      <c r="B5" s="5" t="s">
        <v>2310</v>
      </c>
      <c r="C5" s="5" t="s">
        <v>2161</v>
      </c>
      <c r="D5" s="5" t="s">
        <v>2311</v>
      </c>
      <c r="E5" s="5" t="s">
        <v>2312</v>
      </c>
      <c r="F5" s="5" t="s">
        <v>2313</v>
      </c>
      <c r="G5" s="5" t="s">
        <v>2314</v>
      </c>
      <c r="H5" s="5" t="s">
        <v>2315</v>
      </c>
    </row>
    <row r="6" spans="1:8" ht="26.4" x14ac:dyDescent="0.3">
      <c r="A6" s="6" t="s">
        <v>2316</v>
      </c>
      <c r="B6" s="7">
        <v>1</v>
      </c>
      <c r="C6" s="6" t="s">
        <v>2317</v>
      </c>
      <c r="D6" s="6" t="s">
        <v>2318</v>
      </c>
      <c r="E6" s="7">
        <v>400</v>
      </c>
      <c r="F6" s="7">
        <v>20</v>
      </c>
      <c r="G6" s="6" t="s">
        <v>811</v>
      </c>
      <c r="H6" s="6" t="s">
        <v>2319</v>
      </c>
    </row>
    <row r="7" spans="1:8" ht="26.4" x14ac:dyDescent="0.3">
      <c r="A7" s="6" t="s">
        <v>2316</v>
      </c>
      <c r="B7" s="7">
        <v>2</v>
      </c>
      <c r="C7" s="6" t="s">
        <v>2320</v>
      </c>
      <c r="D7" s="6" t="s">
        <v>2321</v>
      </c>
      <c r="E7" s="7">
        <v>600</v>
      </c>
      <c r="F7" s="7">
        <v>20</v>
      </c>
      <c r="G7" s="6" t="s">
        <v>811</v>
      </c>
      <c r="H7" s="6" t="s">
        <v>2319</v>
      </c>
    </row>
    <row r="8" spans="1:8" ht="26.4" x14ac:dyDescent="0.3">
      <c r="A8" s="6" t="s">
        <v>2316</v>
      </c>
      <c r="B8" s="7">
        <v>3</v>
      </c>
      <c r="C8" s="6" t="s">
        <v>1334</v>
      </c>
      <c r="D8" s="6" t="s">
        <v>2322</v>
      </c>
      <c r="E8" s="7">
        <v>900</v>
      </c>
      <c r="F8" s="7">
        <v>20</v>
      </c>
      <c r="G8" s="6" t="s">
        <v>811</v>
      </c>
      <c r="H8" s="6" t="s">
        <v>2319</v>
      </c>
    </row>
    <row r="9" spans="1:8" ht="26.4" x14ac:dyDescent="0.3">
      <c r="A9" s="6" t="s">
        <v>2316</v>
      </c>
      <c r="B9" s="7">
        <v>4</v>
      </c>
      <c r="C9" s="6" t="s">
        <v>2323</v>
      </c>
      <c r="D9" s="6" t="s">
        <v>2324</v>
      </c>
      <c r="E9" s="7">
        <v>2100</v>
      </c>
      <c r="F9" s="7">
        <v>50</v>
      </c>
      <c r="G9" s="6" t="s">
        <v>811</v>
      </c>
      <c r="H9" s="6" t="s">
        <v>2319</v>
      </c>
    </row>
    <row r="10" spans="1:8" ht="26.4" x14ac:dyDescent="0.3">
      <c r="A10" s="6" t="s">
        <v>2316</v>
      </c>
      <c r="B10" s="7">
        <v>5</v>
      </c>
      <c r="C10" s="6" t="s">
        <v>2325</v>
      </c>
      <c r="D10" s="6" t="s">
        <v>2326</v>
      </c>
      <c r="E10" s="7">
        <v>3100</v>
      </c>
      <c r="F10" s="7">
        <v>50</v>
      </c>
      <c r="G10" s="6" t="s">
        <v>811</v>
      </c>
      <c r="H10" s="6" t="s">
        <v>2319</v>
      </c>
    </row>
    <row r="11" spans="1:8" ht="26.4" x14ac:dyDescent="0.3">
      <c r="A11" s="6" t="s">
        <v>2316</v>
      </c>
      <c r="B11" s="7">
        <v>6</v>
      </c>
      <c r="C11" s="6" t="s">
        <v>2327</v>
      </c>
      <c r="D11" s="6" t="s">
        <v>2328</v>
      </c>
      <c r="E11" s="7">
        <v>5100</v>
      </c>
      <c r="F11" s="7">
        <v>100</v>
      </c>
      <c r="G11" s="6" t="s">
        <v>811</v>
      </c>
      <c r="H11" s="6" t="s">
        <v>2319</v>
      </c>
    </row>
    <row r="12" spans="1:8" ht="26.4" x14ac:dyDescent="0.3">
      <c r="A12" s="6" t="s">
        <v>2329</v>
      </c>
      <c r="B12" s="7">
        <v>1</v>
      </c>
      <c r="C12" s="6" t="s">
        <v>2330</v>
      </c>
      <c r="D12" s="6" t="s">
        <v>2331</v>
      </c>
      <c r="E12" s="7">
        <v>300</v>
      </c>
      <c r="F12" s="7">
        <v>20</v>
      </c>
      <c r="G12" s="6" t="s">
        <v>2273</v>
      </c>
      <c r="H12" s="6" t="s">
        <v>2319</v>
      </c>
    </row>
    <row r="13" spans="1:8" ht="26.4" x14ac:dyDescent="0.3">
      <c r="A13" s="6" t="s">
        <v>2329</v>
      </c>
      <c r="B13" s="7">
        <v>2</v>
      </c>
      <c r="C13" s="6" t="s">
        <v>2332</v>
      </c>
      <c r="D13" s="6" t="s">
        <v>2333</v>
      </c>
      <c r="E13" s="7">
        <v>500</v>
      </c>
      <c r="F13" s="7">
        <v>20</v>
      </c>
      <c r="G13" s="6" t="s">
        <v>2273</v>
      </c>
      <c r="H13" s="6" t="s">
        <v>2319</v>
      </c>
    </row>
    <row r="14" spans="1:8" ht="26.4" x14ac:dyDescent="0.3">
      <c r="A14" s="6" t="s">
        <v>2329</v>
      </c>
      <c r="B14" s="7">
        <v>3</v>
      </c>
      <c r="C14" s="6" t="s">
        <v>1321</v>
      </c>
      <c r="D14" s="6" t="s">
        <v>2334</v>
      </c>
      <c r="E14" s="7">
        <v>800</v>
      </c>
      <c r="F14" s="7">
        <v>20</v>
      </c>
      <c r="G14" s="6" t="s">
        <v>2273</v>
      </c>
      <c r="H14" s="6" t="s">
        <v>2319</v>
      </c>
    </row>
    <row r="15" spans="1:8" ht="26.4" x14ac:dyDescent="0.3">
      <c r="A15" s="6" t="s">
        <v>2329</v>
      </c>
      <c r="B15" s="7">
        <v>4</v>
      </c>
      <c r="C15" s="6" t="s">
        <v>2335</v>
      </c>
      <c r="D15" s="6" t="s">
        <v>2336</v>
      </c>
      <c r="E15" s="7">
        <v>2000</v>
      </c>
      <c r="F15" s="7">
        <v>50</v>
      </c>
      <c r="G15" s="6" t="s">
        <v>2273</v>
      </c>
      <c r="H15" s="6" t="s">
        <v>2319</v>
      </c>
    </row>
    <row r="16" spans="1:8" ht="26.4" x14ac:dyDescent="0.3">
      <c r="A16" s="6" t="s">
        <v>2329</v>
      </c>
      <c r="B16" s="7">
        <v>5</v>
      </c>
      <c r="C16" s="6" t="s">
        <v>2337</v>
      </c>
      <c r="D16" s="6" t="s">
        <v>2338</v>
      </c>
      <c r="E16" s="7">
        <v>3000</v>
      </c>
      <c r="F16" s="7">
        <v>50</v>
      </c>
      <c r="G16" s="6" t="s">
        <v>2273</v>
      </c>
      <c r="H16" s="6" t="s">
        <v>2319</v>
      </c>
    </row>
    <row r="17" spans="1:8" ht="26.4" x14ac:dyDescent="0.3">
      <c r="A17" s="6" t="s">
        <v>2329</v>
      </c>
      <c r="B17" s="7">
        <v>6</v>
      </c>
      <c r="C17" s="6" t="s">
        <v>2339</v>
      </c>
      <c r="D17" s="6" t="s">
        <v>2340</v>
      </c>
      <c r="E17" s="7">
        <v>5000</v>
      </c>
      <c r="F17" s="7">
        <v>100</v>
      </c>
      <c r="G17" s="6" t="s">
        <v>2273</v>
      </c>
      <c r="H17" s="6" t="s">
        <v>2319</v>
      </c>
    </row>
    <row r="19" spans="1:8" x14ac:dyDescent="0.3">
      <c r="A19" s="3" t="s">
        <v>2341</v>
      </c>
      <c r="B19" s="4"/>
      <c r="C19" s="4"/>
      <c r="D19" s="4"/>
    </row>
    <row r="20" spans="1:8" x14ac:dyDescent="0.3">
      <c r="A20" s="5" t="s">
        <v>556</v>
      </c>
      <c r="B20" s="5" t="s">
        <v>2342</v>
      </c>
      <c r="C20" s="5" t="s">
        <v>2343</v>
      </c>
      <c r="D20" s="5" t="s">
        <v>558</v>
      </c>
    </row>
    <row r="21" spans="1:8" x14ac:dyDescent="0.3">
      <c r="A21" s="6" t="s">
        <v>690</v>
      </c>
      <c r="B21" s="6" t="s">
        <v>2344</v>
      </c>
      <c r="C21" s="6" t="s">
        <v>2344</v>
      </c>
      <c r="D21" s="6"/>
    </row>
    <row r="22" spans="1:8" x14ac:dyDescent="0.3">
      <c r="A22" s="6" t="s">
        <v>2345</v>
      </c>
      <c r="B22" s="6" t="s">
        <v>2346</v>
      </c>
      <c r="C22" s="6" t="s">
        <v>2346</v>
      </c>
      <c r="D22" s="6"/>
    </row>
    <row r="23" spans="1:8" x14ac:dyDescent="0.3">
      <c r="A23" s="6" t="s">
        <v>2347</v>
      </c>
      <c r="B23" s="6" t="s">
        <v>2348</v>
      </c>
      <c r="C23" s="6" t="s">
        <v>2349</v>
      </c>
      <c r="D23" s="6"/>
    </row>
    <row r="24" spans="1:8" x14ac:dyDescent="0.3">
      <c r="A24" s="6" t="s">
        <v>2350</v>
      </c>
      <c r="B24" s="7">
        <v>4.0999999999999996</v>
      </c>
      <c r="C24" s="7">
        <v>4.0999999999999996</v>
      </c>
      <c r="D24" s="6" t="s">
        <v>103</v>
      </c>
    </row>
    <row r="25" spans="1:8" x14ac:dyDescent="0.3">
      <c r="A25" s="6" t="s">
        <v>2351</v>
      </c>
      <c r="B25" s="7">
        <v>36.5</v>
      </c>
      <c r="C25" s="7">
        <v>36.5</v>
      </c>
      <c r="D25" s="6" t="s">
        <v>103</v>
      </c>
    </row>
    <row r="26" spans="1:8" x14ac:dyDescent="0.3">
      <c r="A26" s="6" t="s">
        <v>2352</v>
      </c>
      <c r="B26" s="7">
        <v>28</v>
      </c>
      <c r="C26" s="7">
        <v>28</v>
      </c>
      <c r="D26" s="6" t="s">
        <v>103</v>
      </c>
    </row>
    <row r="27" spans="1:8" x14ac:dyDescent="0.3">
      <c r="A27" s="6" t="s">
        <v>2353</v>
      </c>
      <c r="B27" s="7">
        <v>13</v>
      </c>
      <c r="C27" s="7">
        <v>13</v>
      </c>
      <c r="D27" s="6" t="s">
        <v>103</v>
      </c>
    </row>
    <row r="28" spans="1:8" x14ac:dyDescent="0.3">
      <c r="A28" s="6" t="s">
        <v>2354</v>
      </c>
      <c r="B28" s="7">
        <v>10</v>
      </c>
      <c r="C28" s="7">
        <v>10</v>
      </c>
      <c r="D28" s="6" t="s">
        <v>103</v>
      </c>
    </row>
    <row r="29" spans="1:8" x14ac:dyDescent="0.3">
      <c r="A29" s="6" t="s">
        <v>2355</v>
      </c>
      <c r="B29" s="6" t="s">
        <v>2356</v>
      </c>
      <c r="C29" s="6" t="s">
        <v>2349</v>
      </c>
      <c r="D29" s="6"/>
    </row>
    <row r="30" spans="1:8" x14ac:dyDescent="0.3">
      <c r="A30" s="6" t="s">
        <v>2357</v>
      </c>
      <c r="B30" s="6" t="s">
        <v>2358</v>
      </c>
      <c r="C30" s="6" t="s">
        <v>2359</v>
      </c>
      <c r="D30" s="6" t="s">
        <v>103</v>
      </c>
    </row>
    <row r="31" spans="1:8" ht="26.4" x14ac:dyDescent="0.3">
      <c r="A31" s="6" t="s">
        <v>2314</v>
      </c>
      <c r="B31" s="6" t="s">
        <v>2360</v>
      </c>
      <c r="C31" s="6" t="s">
        <v>2361</v>
      </c>
      <c r="D31" s="6"/>
    </row>
    <row r="32" spans="1:8" x14ac:dyDescent="0.3">
      <c r="A32" s="6" t="s">
        <v>2362</v>
      </c>
      <c r="B32" s="6" t="s">
        <v>811</v>
      </c>
      <c r="C32" s="6" t="s">
        <v>811</v>
      </c>
      <c r="D32" s="6"/>
    </row>
    <row r="33" spans="1:4" x14ac:dyDescent="0.3">
      <c r="A33" s="6" t="s">
        <v>2363</v>
      </c>
      <c r="B33" s="6" t="s">
        <v>2364</v>
      </c>
      <c r="C33" s="6" t="s">
        <v>2364</v>
      </c>
      <c r="D33" s="6"/>
    </row>
    <row r="34" spans="1:4" x14ac:dyDescent="0.3">
      <c r="A34" s="6" t="s">
        <v>2365</v>
      </c>
      <c r="B34" s="6" t="s">
        <v>2366</v>
      </c>
      <c r="C34" s="6" t="s">
        <v>2367</v>
      </c>
      <c r="D34" s="6"/>
    </row>
    <row r="35" spans="1:4" ht="26.4" x14ac:dyDescent="0.3">
      <c r="A35" s="6" t="s">
        <v>2368</v>
      </c>
      <c r="B35" s="6" t="s">
        <v>2369</v>
      </c>
      <c r="C35" s="6" t="s">
        <v>2370</v>
      </c>
      <c r="D35" s="6"/>
    </row>
    <row r="37" spans="1:4" x14ac:dyDescent="0.3">
      <c r="A37" s="3" t="s">
        <v>2371</v>
      </c>
      <c r="B37" s="4"/>
      <c r="C37" s="4"/>
      <c r="D37" s="4"/>
    </row>
    <row r="38" spans="1:4" ht="26.4" x14ac:dyDescent="0.3">
      <c r="A38" s="6" t="s">
        <v>2372</v>
      </c>
    </row>
    <row r="39" spans="1:4" x14ac:dyDescent="0.3">
      <c r="A39" s="6" t="s">
        <v>2373</v>
      </c>
    </row>
    <row r="40" spans="1:4" ht="26.4" x14ac:dyDescent="0.3">
      <c r="A40" s="6" t="s">
        <v>2374</v>
      </c>
    </row>
    <row r="41" spans="1:4" ht="39.6" x14ac:dyDescent="0.3">
      <c r="A41" s="6" t="s">
        <v>2375</v>
      </c>
    </row>
    <row r="42" spans="1:4" ht="26.4" x14ac:dyDescent="0.3">
      <c r="A42" s="6" t="s">
        <v>2376</v>
      </c>
    </row>
    <row r="43" spans="1:4" x14ac:dyDescent="0.3">
      <c r="A43" s="6" t="s">
        <v>2377</v>
      </c>
    </row>
    <row r="44" spans="1:4" ht="26.4" x14ac:dyDescent="0.3">
      <c r="A44" s="6" t="s">
        <v>2378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4"/>
  <sheetViews>
    <sheetView showGridLines="0" workbookViewId="0"/>
  </sheetViews>
  <sheetFormatPr defaultRowHeight="14.4" x14ac:dyDescent="0.3"/>
  <cols>
    <col min="1" max="1" width="4" customWidth="1"/>
    <col min="2" max="2" width="30" customWidth="1"/>
    <col min="3" max="3" width="90" customWidth="1"/>
    <col min="4" max="4" width="50" customWidth="1"/>
  </cols>
  <sheetData>
    <row r="1" spans="1:4" ht="17.399999999999999" x14ac:dyDescent="0.3">
      <c r="A1" s="1" t="s">
        <v>2379</v>
      </c>
    </row>
    <row r="4" spans="1:4" x14ac:dyDescent="0.3">
      <c r="A4" s="5" t="s">
        <v>2380</v>
      </c>
      <c r="B4" s="5" t="s">
        <v>2381</v>
      </c>
      <c r="C4" s="5" t="s">
        <v>2382</v>
      </c>
      <c r="D4" s="5" t="s">
        <v>2383</v>
      </c>
    </row>
    <row r="5" spans="1:4" ht="26.4" x14ac:dyDescent="0.3">
      <c r="A5" s="7">
        <v>1</v>
      </c>
      <c r="B5" s="6" t="s">
        <v>2384</v>
      </c>
      <c r="C5" s="6" t="s">
        <v>2385</v>
      </c>
      <c r="D5" s="6" t="s">
        <v>2386</v>
      </c>
    </row>
    <row r="6" spans="1:4" ht="26.4" x14ac:dyDescent="0.3">
      <c r="A6" s="7">
        <v>2</v>
      </c>
      <c r="B6" s="6" t="s">
        <v>2387</v>
      </c>
      <c r="C6" s="6" t="s">
        <v>2388</v>
      </c>
      <c r="D6" s="6" t="s">
        <v>2389</v>
      </c>
    </row>
    <row r="7" spans="1:4" x14ac:dyDescent="0.3">
      <c r="A7" s="7">
        <v>3</v>
      </c>
      <c r="B7" s="6" t="s">
        <v>2387</v>
      </c>
      <c r="C7" s="6" t="s">
        <v>2390</v>
      </c>
      <c r="D7" s="6" t="s">
        <v>2391</v>
      </c>
    </row>
    <row r="8" spans="1:4" ht="26.4" x14ac:dyDescent="0.3">
      <c r="A8" s="7">
        <v>4</v>
      </c>
      <c r="B8" s="6" t="s">
        <v>2392</v>
      </c>
      <c r="C8" s="6" t="s">
        <v>2393</v>
      </c>
      <c r="D8" s="6" t="s">
        <v>2394</v>
      </c>
    </row>
    <row r="9" spans="1:4" x14ac:dyDescent="0.3">
      <c r="A9" s="7">
        <v>5</v>
      </c>
      <c r="B9" s="6" t="s">
        <v>2392</v>
      </c>
      <c r="C9" s="6" t="s">
        <v>2395</v>
      </c>
      <c r="D9" s="6" t="s">
        <v>2396</v>
      </c>
    </row>
    <row r="10" spans="1:4" ht="26.4" x14ac:dyDescent="0.3">
      <c r="A10" s="7">
        <v>6</v>
      </c>
      <c r="B10" s="6" t="s">
        <v>2392</v>
      </c>
      <c r="C10" s="6" t="s">
        <v>2397</v>
      </c>
      <c r="D10" s="6" t="s">
        <v>2398</v>
      </c>
    </row>
    <row r="11" spans="1:4" x14ac:dyDescent="0.3">
      <c r="A11" s="7">
        <v>7</v>
      </c>
      <c r="B11" s="6" t="s">
        <v>533</v>
      </c>
      <c r="C11" s="6" t="s">
        <v>2399</v>
      </c>
      <c r="D11" s="6" t="s">
        <v>2400</v>
      </c>
    </row>
    <row r="12" spans="1:4" x14ac:dyDescent="0.3">
      <c r="A12" s="7">
        <v>8</v>
      </c>
      <c r="B12" s="6" t="s">
        <v>2401</v>
      </c>
      <c r="C12" s="6" t="s">
        <v>2402</v>
      </c>
      <c r="D12" s="6" t="s">
        <v>2403</v>
      </c>
    </row>
    <row r="13" spans="1:4" x14ac:dyDescent="0.3">
      <c r="A13" s="7">
        <v>9</v>
      </c>
      <c r="B13" s="6" t="s">
        <v>2404</v>
      </c>
      <c r="C13" s="6" t="s">
        <v>2405</v>
      </c>
      <c r="D13" s="6" t="s">
        <v>2406</v>
      </c>
    </row>
    <row r="14" spans="1:4" x14ac:dyDescent="0.3">
      <c r="A14" s="7">
        <v>10</v>
      </c>
      <c r="B14" s="6" t="s">
        <v>2407</v>
      </c>
      <c r="C14" s="6" t="s">
        <v>2408</v>
      </c>
      <c r="D14" s="6" t="s">
        <v>2409</v>
      </c>
    </row>
    <row r="15" spans="1:4" ht="26.4" x14ac:dyDescent="0.3">
      <c r="A15" s="7">
        <v>11</v>
      </c>
      <c r="B15" s="6" t="s">
        <v>2410</v>
      </c>
      <c r="C15" s="6" t="s">
        <v>2411</v>
      </c>
      <c r="D15" s="6" t="s">
        <v>2412</v>
      </c>
    </row>
    <row r="16" spans="1:4" x14ac:dyDescent="0.3">
      <c r="A16" s="7">
        <v>12</v>
      </c>
      <c r="B16" s="6" t="s">
        <v>2413</v>
      </c>
      <c r="C16" s="6" t="s">
        <v>2414</v>
      </c>
      <c r="D16" s="6" t="s">
        <v>2415</v>
      </c>
    </row>
    <row r="17" spans="1:4" x14ac:dyDescent="0.3">
      <c r="A17" s="7">
        <v>13</v>
      </c>
      <c r="B17" s="6" t="s">
        <v>2416</v>
      </c>
      <c r="C17" s="6" t="s">
        <v>2417</v>
      </c>
      <c r="D17" s="6" t="s">
        <v>2418</v>
      </c>
    </row>
    <row r="18" spans="1:4" x14ac:dyDescent="0.3">
      <c r="A18" s="7">
        <v>14</v>
      </c>
      <c r="B18" s="6" t="s">
        <v>2419</v>
      </c>
      <c r="C18" s="6" t="s">
        <v>2420</v>
      </c>
      <c r="D18" s="6" t="s">
        <v>2421</v>
      </c>
    </row>
    <row r="19" spans="1:4" x14ac:dyDescent="0.3">
      <c r="A19" s="7">
        <v>15</v>
      </c>
      <c r="B19" s="6" t="s">
        <v>2422</v>
      </c>
      <c r="C19" s="6" t="s">
        <v>2423</v>
      </c>
      <c r="D19" s="6" t="s">
        <v>2424</v>
      </c>
    </row>
    <row r="20" spans="1:4" x14ac:dyDescent="0.3">
      <c r="A20" s="7">
        <v>16</v>
      </c>
      <c r="B20" s="6" t="s">
        <v>2425</v>
      </c>
      <c r="C20" s="6" t="s">
        <v>2426</v>
      </c>
      <c r="D20" s="6" t="s">
        <v>2427</v>
      </c>
    </row>
    <row r="21" spans="1:4" x14ac:dyDescent="0.3">
      <c r="A21" s="7">
        <v>17</v>
      </c>
      <c r="B21" s="6" t="s">
        <v>2428</v>
      </c>
      <c r="C21" s="6" t="s">
        <v>2429</v>
      </c>
      <c r="D21" s="6" t="s">
        <v>2430</v>
      </c>
    </row>
    <row r="22" spans="1:4" ht="26.4" x14ac:dyDescent="0.3">
      <c r="A22" s="7">
        <v>18</v>
      </c>
      <c r="B22" s="6" t="s">
        <v>2431</v>
      </c>
      <c r="C22" s="6" t="s">
        <v>2432</v>
      </c>
      <c r="D22" s="6" t="s">
        <v>2433</v>
      </c>
    </row>
    <row r="23" spans="1:4" x14ac:dyDescent="0.3">
      <c r="A23" s="7">
        <v>19</v>
      </c>
      <c r="B23" s="6" t="s">
        <v>2392</v>
      </c>
      <c r="C23" s="6" t="s">
        <v>2434</v>
      </c>
      <c r="D23" s="6" t="s">
        <v>2435</v>
      </c>
    </row>
    <row r="24" spans="1:4" x14ac:dyDescent="0.3">
      <c r="A24" s="7">
        <v>20</v>
      </c>
      <c r="B24" s="6" t="s">
        <v>2436</v>
      </c>
      <c r="C24" s="6" t="s">
        <v>2437</v>
      </c>
      <c r="D24" s="6" t="s">
        <v>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README</vt:lpstr>
      <vt:lpstr>DC_Overview</vt:lpstr>
      <vt:lpstr>DC_Teardown</vt:lpstr>
      <vt:lpstr>DC_PCBA_BOM</vt:lpstr>
      <vt:lpstr>DC_PCBA_Features</vt:lpstr>
      <vt:lpstr>DC_PCBA_Cost</vt:lpstr>
      <vt:lpstr>DC_WH_BOM</vt:lpstr>
      <vt:lpstr>DC_Body_Casting</vt:lpstr>
      <vt:lpstr>DC_Assembly_Cost</vt:lpstr>
      <vt:lpstr>DC_Process_Routing</vt:lpstr>
      <vt:lpstr>DC_Cost_Scenarios</vt:lpstr>
      <vt:lpstr>DC_VAVE_Suppliers</vt:lpstr>
      <vt:lpstr>OPT_PCBA_BOM</vt:lpstr>
      <vt:lpstr>OPT_PnP_FL285182</vt:lpstr>
      <vt:lpstr>OPT_PnP_LI15020</vt:lpstr>
      <vt:lpstr>OPT_PCB_Specs</vt:lpstr>
      <vt:lpstr>OPT_PCB_Features</vt:lpstr>
      <vt:lpstr>OPT_Harness</vt:lpstr>
      <vt:lpstr>Data_Issues</vt:lpstr>
      <vt:lpstr>USD_INR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Abushan ski</cp:lastModifiedBy>
  <dcterms:created xsi:type="dcterms:W3CDTF">2026-10-20T15:20:52Z</dcterms:created>
  <dcterms:modified xsi:type="dcterms:W3CDTF">2026-10-20T15:21:01Z</dcterms:modified>
</cp:coreProperties>
</file>