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P" sheetId="1" r:id="rId4"/>
    <sheet state="visible" name="Stamping &amp; Bending" sheetId="2" r:id="rId5"/>
    <sheet state="visible" name="DrawingForming" sheetId="3" r:id="rId6"/>
    <sheet state="visible" name="Cutting (Laser)" sheetId="4" r:id="rId7"/>
    <sheet state="visible" name="Lookup 1 - Stroke Rate (Auto)" sheetId="5" r:id="rId8"/>
    <sheet state="visible" name="(Lookup-2) Handling" sheetId="6" r:id="rId9"/>
    <sheet state="visible" name="Tool Setup (Lookup 3)" sheetId="7" r:id="rId10"/>
    <sheet state="visible" name="Stroke Rate Manual (Lookup 4)" sheetId="8" r:id="rId11"/>
    <sheet state="visible" name="Laser Cutting (Lookup 5)" sheetId="9" r:id="rId12"/>
    <sheet state="visible" name="Sampling (Lookup 6)" sheetId="10" r:id="rId13"/>
    <sheet state="hidden" name="Tier Classification" sheetId="11" r:id="rId14"/>
  </sheets>
  <externalReferences>
    <externalReference r:id="rId15"/>
  </externalReferences>
  <definedNames>
    <definedName hidden="1" localSheetId="1" name="_xlnm._FilterDatabase">'Stamping &amp; Bending'!$B$5:$E$76</definedName>
    <definedName hidden="1" localSheetId="2" name="_xlnm._FilterDatabase">DrawingForming!$B$5:$E$82</definedName>
    <definedName hidden="1" localSheetId="3" name="_xlnm._FilterDatabase">'Cutting (Laser)'!$B$5:$E$77</definedName>
  </definedNames>
  <calcPr/>
  <extLst>
    <ext uri="GoogleSheetsCustomDataVersion1">
      <go:sheetsCustomData xmlns:go="http://customooxmlschemas.google.com/" r:id="rId16" roundtripDataSignature="AMtx7mhHTBH/Fy7zSll5bE7X2A+WAiJG2g=="/>
    </ext>
  </extLst>
</workbook>
</file>

<file path=xl/sharedStrings.xml><?xml version="1.0" encoding="utf-8"?>
<sst xmlns="http://schemas.openxmlformats.org/spreadsheetml/2006/main" count="1305" uniqueCount="337">
  <si>
    <t xml:space="preserve"> </t>
  </si>
  <si>
    <t>Changed</t>
  </si>
  <si>
    <t>Addition</t>
  </si>
  <si>
    <t>To be removed</t>
  </si>
  <si>
    <t>Field Header</t>
  </si>
  <si>
    <t>Field name</t>
  </si>
  <si>
    <t>Field Value</t>
  </si>
  <si>
    <t>Default/Any Logic?</t>
  </si>
  <si>
    <t>Comment</t>
  </si>
  <si>
    <t>Formual</t>
  </si>
  <si>
    <t>Part Information :</t>
  </si>
  <si>
    <t>Internal Part Number :</t>
  </si>
  <si>
    <t>Populated from template upload  /  User Input</t>
  </si>
  <si>
    <t>Part Description :</t>
  </si>
  <si>
    <t>Annual Volume (#) :</t>
  </si>
  <si>
    <t>Commodity :</t>
  </si>
  <si>
    <t>Sheet Metal</t>
  </si>
  <si>
    <t>Process Name :</t>
  </si>
  <si>
    <t>Turret Punching</t>
  </si>
  <si>
    <t>System suggestion / User Input</t>
  </si>
  <si>
    <t>Current Supplier Name :</t>
  </si>
  <si>
    <t>Populated from template upload or User selected from drop down</t>
  </si>
  <si>
    <t>Current Manufacturing Country :</t>
  </si>
  <si>
    <t>USA</t>
  </si>
  <si>
    <t>Delivery Country :</t>
  </si>
  <si>
    <t>BOM Qty (No's)</t>
  </si>
  <si>
    <t>Part Complexity :</t>
  </si>
  <si>
    <t>Medium</t>
  </si>
  <si>
    <t>System suggestion / User selected from drop down</t>
  </si>
  <si>
    <t>Lot size (#) :</t>
  </si>
  <si>
    <t>Populated from template upload or default to annual volume/12</t>
  </si>
  <si>
    <t>Supply Chain Model :</t>
  </si>
  <si>
    <t>Buy</t>
  </si>
  <si>
    <t>Default is buy</t>
  </si>
  <si>
    <t>Packaging Type :</t>
  </si>
  <si>
    <t>No Packing</t>
  </si>
  <si>
    <t>Select dropdown</t>
  </si>
  <si>
    <t>HS Code :</t>
  </si>
  <si>
    <t>N/A</t>
  </si>
  <si>
    <t>Inco Terms :</t>
  </si>
  <si>
    <t>EX-W</t>
  </si>
  <si>
    <t>Default option1: Supplier master; Option 2: Client master</t>
  </si>
  <si>
    <t>Payment Terms :</t>
  </si>
  <si>
    <t>60 Days</t>
  </si>
  <si>
    <t>Material Information :</t>
  </si>
  <si>
    <t>Category :</t>
  </si>
  <si>
    <t>Ferrous</t>
  </si>
  <si>
    <t>To be captured from part drawing /  User Input</t>
  </si>
  <si>
    <t>Family :</t>
  </si>
  <si>
    <t>HDG Steel</t>
  </si>
  <si>
    <t>Description/Grade :</t>
  </si>
  <si>
    <t>2mm*500mm SGCC</t>
  </si>
  <si>
    <t>Density (g/cc) :</t>
  </si>
  <si>
    <t>Lookup material table</t>
  </si>
  <si>
    <t>Material price ($/Kg) :</t>
  </si>
  <si>
    <t>Scrap price ($/Kg) :</t>
  </si>
  <si>
    <t>Unfolded Length (mm) :</t>
  </si>
  <si>
    <t>Unfolded Width (mm) :</t>
  </si>
  <si>
    <t>Thickness (mm) :</t>
  </si>
  <si>
    <t>Net weight (g) :</t>
  </si>
  <si>
    <t>Area (mm^2) :</t>
  </si>
  <si>
    <t>Volume (mm^3) :</t>
  </si>
  <si>
    <t>Calculated: Part area * Sheet thickness</t>
  </si>
  <si>
    <t>Part allowance (mm) :</t>
  </si>
  <si>
    <t>Calculated:</t>
  </si>
  <si>
    <t>Constant * Sheet thickness * ((Shear strength / 10) ^ (1/2))</t>
  </si>
  <si>
    <t>No. of Impressions :</t>
  </si>
  <si>
    <t>Sheet Width (mm)  :</t>
  </si>
  <si>
    <t>System Suggestion / User can change</t>
  </si>
  <si>
    <t>Sheet Length (mm)</t>
  </si>
  <si>
    <t>Edge Allowance (mm)</t>
  </si>
  <si>
    <t>Default value</t>
  </si>
  <si>
    <t>Parts per Sheet</t>
  </si>
  <si>
    <t>(Sheet width - Edge allowance)  x (Sheet length - Edge allowance) / (Part length + Part allowance) x (Part width = Part allowance)</t>
  </si>
  <si>
    <t>Sheet Weight (g)</t>
  </si>
  <si>
    <t>(Sheet length x Sheet Width x Sheet Thickness x Density) / 1000</t>
  </si>
  <si>
    <t>Scrap weight per part(g) :</t>
  </si>
  <si>
    <t>Gross part weight - Net part weight</t>
  </si>
  <si>
    <t>Net weight per part (g) :</t>
  </si>
  <si>
    <t>Gross weight per part (g) :</t>
  </si>
  <si>
    <t>Sheet weight / Parts per sheet</t>
  </si>
  <si>
    <t>Utilisation %</t>
  </si>
  <si>
    <t>Net part weight / gross part weight</t>
  </si>
  <si>
    <t>Scrap Revovery %</t>
  </si>
  <si>
    <t>Default / User can change</t>
  </si>
  <si>
    <t>Gross Material cost ($) :</t>
  </si>
  <si>
    <t>(Gross weight / 1000) * Material Price</t>
  </si>
  <si>
    <t>Scrap Rec Cost ($) :</t>
  </si>
  <si>
    <t>(Scrap weight / 1000)* Scrap recovery % * Material Price</t>
  </si>
  <si>
    <t>Net Material cost ($) :</t>
  </si>
  <si>
    <t>Gross material cost - Scrap Rec Cost</t>
  </si>
  <si>
    <t>Manufacturing 1 :</t>
  </si>
  <si>
    <t>Process Type :</t>
  </si>
  <si>
    <t>TPP</t>
  </si>
  <si>
    <t>Length Of Cut : (Internal &amp; External) (mm)</t>
  </si>
  <si>
    <t>Shear Strength Of Material : (Mpa)</t>
  </si>
  <si>
    <t>Theoretical Force : (Ton)</t>
  </si>
  <si>
    <t>(Length of cut * sheet thickness * shear strength) / 9810</t>
  </si>
  <si>
    <t>Recommended Force : (Ton)</t>
  </si>
  <si>
    <t>Theoretical force * 1.25</t>
  </si>
  <si>
    <t>Selected Tonnage (T) :</t>
  </si>
  <si>
    <t>20T</t>
  </si>
  <si>
    <t>Lookup from machine database</t>
  </si>
  <si>
    <t>Machine Name :</t>
  </si>
  <si>
    <t>Turret Press</t>
  </si>
  <si>
    <t>M/c Automation :</t>
  </si>
  <si>
    <t>Auto</t>
  </si>
  <si>
    <t>Recommend (T) :</t>
  </si>
  <si>
    <t>Cycle Time (sec) :</t>
  </si>
  <si>
    <t>If machine is automatic, Stroke Time = (1/(Stroker Rate*Factor%))*60</t>
  </si>
  <si>
    <t>Stroke rate is lookup from machine database &amp; factor% is lookup from table 1</t>
  </si>
  <si>
    <t>Setup Time (min/piece) :</t>
  </si>
  <si>
    <t>Total sheet loading - unloading time / Lot size</t>
  </si>
  <si>
    <t>Total Sheet loading/unloading time (min)</t>
  </si>
  <si>
    <t>(Lot size / parts per sheet) * value from lookup table 2 i.e material handeling table. Value to be selected based on sheet weight</t>
  </si>
  <si>
    <t># of Direct Labors :</t>
  </si>
  <si>
    <t># of Skilled Labors :</t>
  </si>
  <si>
    <t>Hidden field in the UI. Look up value from the machine database.; if no value in machine database default value is 1</t>
  </si>
  <si>
    <t>Cost Drivers :</t>
  </si>
  <si>
    <t>Direct Labor Rate /hr</t>
  </si>
  <si>
    <t>Lookingup Value from the country table</t>
  </si>
  <si>
    <t>Skilled Labor Rate /hr</t>
  </si>
  <si>
    <t>QA Inspector Rate /hr:</t>
  </si>
  <si>
    <t>Sampling Rate (%)</t>
  </si>
  <si>
    <t>Look up the sampling plan table based on lot size.</t>
  </si>
  <si>
    <t>Inspection time (min) :</t>
  </si>
  <si>
    <t>default: Part complexicity from part information section: Low 5; medium 10; high: 20</t>
  </si>
  <si>
    <t>Yield (Net Good Parts) (%) :</t>
  </si>
  <si>
    <t>Default: 98% user can change the value</t>
  </si>
  <si>
    <t>Machine hour Rate ($) :</t>
  </si>
  <si>
    <t>Machine Cost ($) :</t>
  </si>
  <si>
    <t>(Machine hour rate / 60 ) x Cycle time</t>
  </si>
  <si>
    <t>Setup Cost ($) :</t>
  </si>
  <si>
    <t>((Direct labor rate / 60)* No. of direct labor * setup time) + ((Skilled labor rate / 60)* No. of Skilled labor * setup time) + ((Machine hour rate / 60)* setup time)</t>
  </si>
  <si>
    <t>Labor Cost ($) :</t>
  </si>
  <si>
    <t>(Direct labor rate / 60)* No. of direct labor * cycle time)</t>
  </si>
  <si>
    <t>Inspection Cost ($) :</t>
  </si>
  <si>
    <t>(((QA inspector rate / 60) * Inspection Time)*(Sampling% * Lot size)) / Lot size</t>
  </si>
  <si>
    <t>Yield Cost (Rejected Parts Scrap Rate) ($)</t>
  </si>
  <si>
    <t>( 1 - yield %) * (net material cost - ((net weight/1000 * scrap cost)+ sum(machine + labor + setup + inspection)))</t>
  </si>
  <si>
    <t>Net Process cost ($) :</t>
  </si>
  <si>
    <t>Sum ( machine + setup + labor + inspection + yiled)</t>
  </si>
  <si>
    <t>Manufacturing 2 :</t>
  </si>
  <si>
    <t>Bending</t>
  </si>
  <si>
    <t>Ultimate Tensile Strength Of Material : (Mpa)</t>
  </si>
  <si>
    <t>Bending line length : (mm)</t>
  </si>
  <si>
    <t>Shoulder width : (mm)</t>
  </si>
  <si>
    <t>Bending coeffecient :</t>
  </si>
  <si>
    <t>Constant</t>
  </si>
  <si>
    <t>Calculated</t>
  </si>
  <si>
    <t>((Sheet thickness ^2 * bending length * UTS * coefficient)/ bend shoulder length ) / 9810</t>
  </si>
  <si>
    <t>No. Of Bends: Count</t>
  </si>
  <si>
    <t>Total Tonnage Requird: (Ton)</t>
  </si>
  <si>
    <t>Theoretical force * no. of bends</t>
  </si>
  <si>
    <t>80T</t>
  </si>
  <si>
    <t>80T T Press Brake</t>
  </si>
  <si>
    <t>Manual</t>
  </si>
  <si>
    <t>If machine is manual, Stroke Time = Lookup from table 4 + (Sheet loading/unloading time)</t>
  </si>
  <si>
    <t>Tool loading time / Lot size</t>
  </si>
  <si>
    <t>Total tool loading time (min)</t>
  </si>
  <si>
    <t>Lookup from table 3B</t>
  </si>
  <si>
    <t>Sheet loading/Unloading time (min)</t>
  </si>
  <si>
    <t>Lookup from table 2</t>
  </si>
  <si>
    <t># Direct Labors :</t>
  </si>
  <si>
    <t>Input/Feedback</t>
  </si>
  <si>
    <t>Stamping - Progressive</t>
  </si>
  <si>
    <t>Constant * Sheet thickness * ((Shear strength / 10) ^ (1/2)) +  (10 mm to be added if more than 1 impression)</t>
  </si>
  <si>
    <t>(Coil width - Start &amp; end scrap length) / ( Part length + part allowance)</t>
  </si>
  <si>
    <t>Coil Width (mm)  :</t>
  </si>
  <si>
    <t>Coil Length (mm)</t>
  </si>
  <si>
    <t>Start &amp; End Scrap Length (mm)</t>
  </si>
  <si>
    <t>Parts per Coil</t>
  </si>
  <si>
    <t>(Coil width - Edge allowance)  x (Coil length - Edge allowance) / (Part length + Part allowance) x (Part width = Part allowance)</t>
  </si>
  <si>
    <t>Coil WeiKght (g)</t>
  </si>
  <si>
    <t>(Coil length x Coil Width x Sheet Thickness x Density) / 1000</t>
  </si>
  <si>
    <t>Stamping</t>
  </si>
  <si>
    <t xml:space="preserve">(Length of cut * sheet thickness * shear strength*No. of impressions) / 9810 </t>
  </si>
  <si>
    <t>Stamping 120T</t>
  </si>
  <si>
    <t>If machine is auto, Stroke Time = (1/(Stroker Rate*Factor%))*60</t>
  </si>
  <si>
    <t>((Tool loading time + Total coil loading unloading time )/ Lot size)*60</t>
  </si>
  <si>
    <t>Tool Loading Time (min)</t>
  </si>
  <si>
    <t>Lookup table 3A</t>
  </si>
  <si>
    <t>Total Coil/Sheet loading time (min)</t>
  </si>
  <si>
    <t>(Machine hour rate / 60 ) x Cycle time/No. of impressions</t>
  </si>
  <si>
    <t>(Direct labor rate / 60)* No. of direct labor * (cycle time/no of impressions))</t>
  </si>
  <si>
    <t>(((QA inspector rate / 60)  * Inspection Time)*(Sampling% * Lot size)) / Lot size</t>
  </si>
  <si>
    <t>Part allowance</t>
  </si>
  <si>
    <t>Coil/Sheet Width (mm)  :</t>
  </si>
  <si>
    <t>Coil/Sheet Length (mm)</t>
  </si>
  <si>
    <t>Coil/Sheet WeiKght (g)</t>
  </si>
  <si>
    <t>Scrap Recovery %</t>
  </si>
  <si>
    <t>Form Length: (mm)</t>
  </si>
  <si>
    <t>L</t>
  </si>
  <si>
    <t>Calculated based on part draw feature</t>
  </si>
  <si>
    <t>Form Perimeter: (mm)</t>
  </si>
  <si>
    <t>Fp</t>
  </si>
  <si>
    <t>Form Height: (mm)</t>
  </si>
  <si>
    <t>h</t>
  </si>
  <si>
    <t>Punch Perimeter : (mm)</t>
  </si>
  <si>
    <t>Dp</t>
  </si>
  <si>
    <t>Calculated based on part draw feature, 95% of form perimeter</t>
  </si>
  <si>
    <t>(h/L) Factor</t>
  </si>
  <si>
    <t>(h/L)</t>
  </si>
  <si>
    <t>DR = h/L</t>
  </si>
  <si>
    <t>Yield Strength Of Material : (Mpa)</t>
  </si>
  <si>
    <t>Lookup from material database</t>
  </si>
  <si>
    <t>Y</t>
  </si>
  <si>
    <t>Can be captured from Material database</t>
  </si>
  <si>
    <t>Drawing Force : (Ton)</t>
  </si>
  <si>
    <t>Fd</t>
  </si>
  <si>
    <t xml:space="preserve">Fd = Dp * T * Y * (Fp/Dp-0.7) </t>
  </si>
  <si>
    <t>Blank Holding Force : (Ton)</t>
  </si>
  <si>
    <t>Fb</t>
  </si>
  <si>
    <t>Fb = 1/3 * Fb</t>
  </si>
  <si>
    <t>Stroke Time = 1/(Stroker Rate*Factor%)</t>
  </si>
  <si>
    <t>F</t>
  </si>
  <si>
    <t>F = (Fd + Fb)*No. Of Impressions</t>
  </si>
  <si>
    <t>F Actual</t>
  </si>
  <si>
    <t xml:space="preserve">F Actual = F * 1.25 </t>
  </si>
  <si>
    <t>50T</t>
  </si>
  <si>
    <t>Press 50T</t>
  </si>
  <si>
    <t>(Value from lookup table 4) + (Sheet loading unloading time/60)</t>
  </si>
  <si>
    <t>Setup time = (Tool loading time)/Batch qty</t>
  </si>
  <si>
    <t>(Machine hour rate / 60 ) x Cycle time/no of impressions</t>
  </si>
  <si>
    <t>Part allowance : (Kerf)</t>
  </si>
  <si>
    <t>Lookup table 5</t>
  </si>
  <si>
    <t>Laser Cutting</t>
  </si>
  <si>
    <t>Cutting Length : (mm)</t>
  </si>
  <si>
    <t>Cut perimeter, to be captured from 3d model</t>
  </si>
  <si>
    <t>No of Starts (Piercings) : (Count)</t>
  </si>
  <si>
    <t>P</t>
  </si>
  <si>
    <t>No of starts</t>
  </si>
  <si>
    <t>Cutting Speed : m/min</t>
  </si>
  <si>
    <t>Lookup Table 5</t>
  </si>
  <si>
    <t>N</t>
  </si>
  <si>
    <t>Machine &amp; material spec</t>
  </si>
  <si>
    <t>Cutting Time : (min)</t>
  </si>
  <si>
    <t>CT</t>
  </si>
  <si>
    <t>CT = L/N</t>
  </si>
  <si>
    <t>Piercing Time : (min)</t>
  </si>
  <si>
    <t>PT</t>
  </si>
  <si>
    <t>PT = X * P (X is piercing time to be captured from lookup 5, varies with respect to process &amp; thickness)</t>
  </si>
  <si>
    <t>Total Time : (sec)</t>
  </si>
  <si>
    <t>T</t>
  </si>
  <si>
    <t>T = CT + PT</t>
  </si>
  <si>
    <t xml:space="preserve">Laser cutting machine </t>
  </si>
  <si>
    <t>6000 W</t>
  </si>
  <si>
    <t>Trulaser</t>
  </si>
  <si>
    <t>Sheet loading time (min)</t>
  </si>
  <si>
    <t>Cycle Time (Sec) :</t>
  </si>
  <si>
    <t>Yield (%) :</t>
  </si>
  <si>
    <t xml:space="preserve">Formula changed </t>
  </si>
  <si>
    <t>Yield Cost ($)</t>
  </si>
  <si>
    <t>UTS</t>
  </si>
  <si>
    <t>B</t>
  </si>
  <si>
    <t>Bending length</t>
  </si>
  <si>
    <t>bend shoulder length (bend start point to finish)</t>
  </si>
  <si>
    <t>C</t>
  </si>
  <si>
    <t>Coeffecient</t>
  </si>
  <si>
    <t xml:space="preserve">F </t>
  </si>
  <si>
    <t>F = ((T^2*B*UTS*C)/L)/9810</t>
  </si>
  <si>
    <t>Shifted on top for better calculation flow</t>
  </si>
  <si>
    <t>Input from machine spec</t>
  </si>
  <si>
    <t>Lookup Table - 1 Automatic Machines</t>
  </si>
  <si>
    <t>Tier</t>
  </si>
  <si>
    <t>Note:</t>
  </si>
  <si>
    <t>Tonnage</t>
  </si>
  <si>
    <t>Simple</t>
  </si>
  <si>
    <t>Inter</t>
  </si>
  <si>
    <t>Complex</t>
  </si>
  <si>
    <t>1: This is suggested for an automated setup</t>
  </si>
  <si>
    <t>2: The factors in the table will be multiplied with actual machine stroke rate</t>
  </si>
  <si>
    <t>Lookup Tabel 2 - Handling Time Assumptions</t>
  </si>
  <si>
    <t>#</t>
  </si>
  <si>
    <t>Weight in Kg</t>
  </si>
  <si>
    <t>Handling Time in min</t>
  </si>
  <si>
    <t>Look up 3A: Press Machine Tool Loading Time</t>
  </si>
  <si>
    <t>Look up 3B: Press Brake Tool Loading Time</t>
  </si>
  <si>
    <t>Tool Loading time (min)</t>
  </si>
  <si>
    <t>Tool Length</t>
  </si>
  <si>
    <t>Look Up Table 4: Time Per Stroke For Manual Process</t>
  </si>
  <si>
    <t>Values are in sec</t>
  </si>
  <si>
    <t>Sheet Thickness</t>
  </si>
  <si>
    <t>Part Complexity - Simple</t>
  </si>
  <si>
    <t>Part Complexity - Inter</t>
  </si>
  <si>
    <t>Part Complexity - Complex</t>
  </si>
  <si>
    <t>Lookup Table 5 - Laser Cutting Data</t>
  </si>
  <si>
    <t>Material</t>
  </si>
  <si>
    <t>Thickness (mm)</t>
  </si>
  <si>
    <t>Kerf (mm)</t>
  </si>
  <si>
    <t>Cutting Speed(m/min)</t>
  </si>
  <si>
    <t>Cutting Time(%)</t>
  </si>
  <si>
    <t>Moving Time(%)</t>
  </si>
  <si>
    <t>Piercing time (%)</t>
  </si>
  <si>
    <t xml:space="preserve">Speed coefficient </t>
  </si>
  <si>
    <t>Cutting Speed Actual(m/min)</t>
  </si>
  <si>
    <t>Piercing Time (min)</t>
  </si>
  <si>
    <t>Laser Power(W)</t>
  </si>
  <si>
    <t>Carbon Steel</t>
  </si>
  <si>
    <t>Stainless Steel</t>
  </si>
  <si>
    <t>Aluminium</t>
  </si>
  <si>
    <t>Brass</t>
  </si>
  <si>
    <t>Lookup Table 6 - Inspection Sampling</t>
  </si>
  <si>
    <t>Batch Size</t>
  </si>
  <si>
    <t>Complexity Level</t>
  </si>
  <si>
    <t>Sampling %</t>
  </si>
  <si>
    <t>From</t>
  </si>
  <si>
    <t>To</t>
  </si>
  <si>
    <t>I</t>
  </si>
  <si>
    <t>II</t>
  </si>
  <si>
    <t>III</t>
  </si>
  <si>
    <t xml:space="preserve">Intermediate </t>
  </si>
  <si>
    <t>Profile</t>
  </si>
  <si>
    <t>Minimal or no forms</t>
  </si>
  <si>
    <t>Minor forms</t>
  </si>
  <si>
    <t>Heavy/Deep forms</t>
  </si>
  <si>
    <t>Minimal bends (only on edges)</t>
  </si>
  <si>
    <t>Multiple bends &amp; lancing</t>
  </si>
  <si>
    <t>Overlapping bends, draws,etc.</t>
  </si>
  <si>
    <t>To be captured from CAD</t>
  </si>
  <si>
    <t>Cut perimeter</t>
  </si>
  <si>
    <t>Bend length, angle &amp; shoulder width</t>
  </si>
  <si>
    <t>Draw/form perimeter</t>
  </si>
  <si>
    <t>BOM level</t>
  </si>
  <si>
    <t>Single part</t>
  </si>
  <si>
    <t>Sub assemblies</t>
  </si>
  <si>
    <t>Assemblies</t>
  </si>
  <si>
    <t>Weld feature</t>
  </si>
  <si>
    <t>Fastener feature</t>
  </si>
  <si>
    <t>GD&amp;T</t>
  </si>
  <si>
    <t>Geometry</t>
  </si>
  <si>
    <t>Square, rectangular parts</t>
  </si>
  <si>
    <t>Scrap/Rejection</t>
  </si>
  <si>
    <t>No. of process steps</t>
  </si>
  <si>
    <t>Minimal (1-2)</t>
  </si>
  <si>
    <t>3 to 5</t>
  </si>
  <si>
    <t>5 &amp;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</si>
</sst>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_);_(* \(#,##0\);_(* &quot;-&quot;??_);_(@_)"/>
    <numFmt numFmtId="165" formatCode="_(* #,##0.00_);_(* \(#,##0.00\);_(* &quot;-&quot;??_);_(@_)"/>
    <numFmt numFmtId="166" formatCode="_(* #,##0.0000_);_(* \(#,##0.0000\);_(* &quot;-&quot;??_);_(@_)"/>
    <numFmt numFmtId="167" formatCode="0.0000"/>
    <numFmt numFmtId="168" formatCode="0.0%"/>
    <numFmt numFmtId="169" formatCode="_ * #,##0.00000_ ;_ * \-#,##0.00000_ ;_ * &quot;-&quot;??_ ;_ @_ "/>
    <numFmt numFmtId="170" formatCode="_(* #,##0.000_);_(* \(#,##0.000\);_(* &quot;-&quot;??_);_(@_)"/>
    <numFmt numFmtId="171" formatCode="_ * #,##0.0000_ ;_ * \-#,##0.0000_ ;_ * &quot;-&quot;??_ ;_ @_ "/>
    <numFmt numFmtId="172" formatCode="_ * #,##0.00_ ;_ * \-#,##0.00_ ;_ * &quot;-&quot;??_ ;_ @_ "/>
    <numFmt numFmtId="173" formatCode="0.0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212529"/>
      <name val="Candara"/>
    </font>
    <font>
      <b/>
      <sz val="14.0"/>
      <color rgb="FF212529"/>
      <name val="Candara"/>
    </font>
    <font>
      <b/>
      <sz val="18.0"/>
      <color rgb="FF212529"/>
      <name val="Candara"/>
    </font>
    <font>
      <sz val="14.0"/>
      <color theme="1"/>
      <name val="Candara"/>
    </font>
    <font>
      <sz val="14.0"/>
      <color rgb="FF3F3F76"/>
      <name val="Century Gothic"/>
    </font>
    <font>
      <sz val="14.0"/>
      <color rgb="FF3F3F76"/>
      <name val="Candara"/>
    </font>
    <font>
      <sz val="14.0"/>
      <color rgb="FF9C5700"/>
      <name val="Candara"/>
    </font>
    <font>
      <b/>
      <sz val="14.0"/>
      <color theme="1"/>
      <name val="Candara"/>
    </font>
    <font>
      <sz val="14.0"/>
      <color theme="1"/>
      <name val="Century Gothic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8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757070"/>
        <bgColor rgb="FF757070"/>
      </patternFill>
    </fill>
    <fill>
      <patternFill patternType="solid">
        <fgColor rgb="FFF8CBAD"/>
        <bgColor rgb="FFF8CBAD"/>
      </patternFill>
    </fill>
    <fill>
      <patternFill patternType="solid">
        <fgColor rgb="FFAEABAB"/>
        <bgColor rgb="FFAEABAB"/>
      </patternFill>
    </fill>
    <fill>
      <patternFill patternType="solid">
        <fgColor rgb="FFFFCC99"/>
        <bgColor rgb="FFFFCC99"/>
      </patternFill>
    </fill>
  </fills>
  <borders count="6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2" fillId="0" fontId="2" numFmtId="0" xfId="0" applyBorder="1" applyFont="1"/>
    <xf borderId="0" fillId="0" fontId="1" numFmtId="0" xfId="0" applyAlignment="1" applyFont="1">
      <alignment horizontal="center" vertical="center"/>
    </xf>
    <xf borderId="2" fillId="3" fontId="1" numFmtId="0" xfId="0" applyBorder="1" applyFill="1" applyFont="1"/>
    <xf borderId="2" fillId="4" fontId="1" numFmtId="0" xfId="0" applyBorder="1" applyFill="1" applyFont="1"/>
    <xf borderId="3" fillId="5" fontId="1" numFmtId="0" xfId="0" applyBorder="1" applyFill="1" applyFont="1"/>
    <xf borderId="3" fillId="5" fontId="1" numFmtId="0" xfId="0" applyAlignment="1" applyBorder="1" applyFont="1">
      <alignment horizontal="center" vertical="center"/>
    </xf>
    <xf borderId="2" fillId="0" fontId="3" numFmtId="0" xfId="0" applyBorder="1" applyFont="1"/>
    <xf borderId="2" fillId="0" fontId="3" numFmtId="0" xfId="0" applyAlignment="1" applyBorder="1" applyFont="1">
      <alignment horizontal="center" vertical="center"/>
    </xf>
    <xf borderId="2" fillId="6" fontId="4" numFmtId="0" xfId="0" applyBorder="1" applyFill="1" applyFont="1"/>
    <xf borderId="2" fillId="6" fontId="5" numFmtId="0" xfId="0" applyBorder="1" applyFont="1"/>
    <xf borderId="2" fillId="6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/>
    </xf>
    <xf borderId="4" fillId="6" fontId="1" numFmtId="0" xfId="0" applyBorder="1" applyFont="1"/>
    <xf borderId="2" fillId="6" fontId="5" numFmtId="164" xfId="0" applyAlignment="1" applyBorder="1" applyFont="1" applyNumberFormat="1">
      <alignment horizontal="center" vertical="center"/>
    </xf>
    <xf borderId="0" fillId="0" fontId="1" numFmtId="9" xfId="0" applyFont="1" applyNumberFormat="1"/>
    <xf borderId="2" fillId="0" fontId="4" numFmtId="0" xfId="0" applyBorder="1" applyFont="1"/>
    <xf borderId="2" fillId="5" fontId="2" numFmtId="0" xfId="0" applyBorder="1" applyFont="1"/>
    <xf borderId="2" fillId="5" fontId="7" numFmtId="0" xfId="0" applyAlignment="1" applyBorder="1" applyFont="1">
      <alignment horizontal="center" vertical="center"/>
    </xf>
    <xf borderId="5" fillId="0" fontId="1" numFmtId="0" xfId="0" applyBorder="1" applyFont="1"/>
    <xf borderId="2" fillId="5" fontId="5" numFmtId="0" xfId="0" applyAlignment="1" applyBorder="1" applyFont="1">
      <alignment horizontal="center" vertical="center"/>
    </xf>
    <xf borderId="2" fillId="5" fontId="5" numFmtId="164" xfId="0" applyAlignment="1" applyBorder="1" applyFont="1" applyNumberFormat="1">
      <alignment horizontal="center" vertical="center"/>
    </xf>
    <xf borderId="2" fillId="5" fontId="5" numFmtId="165" xfId="0" applyAlignment="1" applyBorder="1" applyFont="1" applyNumberFormat="1">
      <alignment horizontal="center" vertical="center"/>
    </xf>
    <xf borderId="2" fillId="4" fontId="2" numFmtId="0" xfId="0" applyBorder="1" applyFont="1"/>
    <xf borderId="2" fillId="5" fontId="6" numFmtId="0" xfId="0" applyAlignment="1" applyBorder="1" applyFont="1">
      <alignment horizontal="left"/>
    </xf>
    <xf borderId="2" fillId="5" fontId="8" numFmtId="0" xfId="0" applyAlignment="1" applyBorder="1" applyFont="1">
      <alignment horizontal="center" vertical="center"/>
    </xf>
    <xf borderId="2" fillId="5" fontId="5" numFmtId="166" xfId="0" applyAlignment="1" applyBorder="1" applyFont="1" applyNumberFormat="1">
      <alignment horizontal="center" vertical="center"/>
    </xf>
    <xf borderId="2" fillId="5" fontId="2" numFmtId="0" xfId="0" applyAlignment="1" applyBorder="1" applyFont="1">
      <alignment horizontal="left" vertical="center"/>
    </xf>
    <xf borderId="2" fillId="5" fontId="5" numFmtId="10" xfId="0" applyAlignment="1" applyBorder="1" applyFont="1" applyNumberFormat="1">
      <alignment horizontal="center" vertical="center"/>
    </xf>
    <xf borderId="2" fillId="5" fontId="9" numFmtId="166" xfId="0" applyAlignment="1" applyBorder="1" applyFont="1" applyNumberFormat="1">
      <alignment horizontal="center" vertical="center"/>
    </xf>
    <xf borderId="6" fillId="5" fontId="10" numFmtId="0" xfId="0" applyAlignment="1" applyBorder="1" applyFont="1">
      <alignment horizontal="left"/>
    </xf>
    <xf borderId="2" fillId="5" fontId="7" numFmtId="2" xfId="0" applyAlignment="1" applyBorder="1" applyFont="1" applyNumberFormat="1">
      <alignment horizontal="center" vertical="center"/>
    </xf>
    <xf borderId="7" fillId="5" fontId="2" numFmtId="0" xfId="0" applyBorder="1" applyFont="1"/>
    <xf borderId="2" fillId="5" fontId="9" numFmtId="164" xfId="0" applyAlignment="1" applyBorder="1" applyFont="1" applyNumberFormat="1">
      <alignment horizontal="center" vertical="center"/>
    </xf>
    <xf borderId="7" fillId="4" fontId="2" numFmtId="0" xfId="0" applyBorder="1" applyFont="1"/>
    <xf borderId="7" fillId="5" fontId="2" numFmtId="0" xfId="0" applyAlignment="1" applyBorder="1" applyFont="1">
      <alignment horizontal="center" vertical="center"/>
    </xf>
    <xf borderId="2" fillId="5" fontId="7" numFmtId="167" xfId="0" applyAlignment="1" applyBorder="1" applyFont="1" applyNumberFormat="1">
      <alignment horizontal="center" vertical="center"/>
    </xf>
    <xf borderId="7" fillId="2" fontId="2" numFmtId="0" xfId="0" applyBorder="1" applyFont="1"/>
    <xf borderId="2" fillId="5" fontId="8" numFmtId="167" xfId="0" applyAlignment="1" applyBorder="1" applyFont="1" applyNumberFormat="1">
      <alignment horizontal="center" vertical="center"/>
    </xf>
    <xf borderId="2" fillId="5" fontId="2" numFmtId="2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right"/>
    </xf>
    <xf borderId="2" fillId="5" fontId="5" numFmtId="9" xfId="0" applyAlignment="1" applyBorder="1" applyFont="1" applyNumberFormat="1">
      <alignment horizontal="center" vertical="center"/>
    </xf>
    <xf borderId="2" fillId="5" fontId="5" numFmtId="168" xfId="0" applyAlignment="1" applyBorder="1" applyFont="1" applyNumberFormat="1">
      <alignment horizontal="center" vertical="center"/>
    </xf>
    <xf borderId="0" fillId="0" fontId="1" numFmtId="169" xfId="0" applyFont="1" applyNumberFormat="1"/>
    <xf borderId="5" fillId="0" fontId="6" numFmtId="0" xfId="0" applyAlignment="1" applyBorder="1" applyFont="1">
      <alignment horizontal="left"/>
    </xf>
    <xf borderId="2" fillId="5" fontId="2" numFmtId="167" xfId="0" applyAlignment="1" applyBorder="1" applyFont="1" applyNumberFormat="1">
      <alignment horizontal="center" vertical="center"/>
    </xf>
    <xf borderId="3" fillId="5" fontId="2" numFmtId="0" xfId="0" applyBorder="1" applyFont="1"/>
    <xf borderId="8" fillId="5" fontId="3" numFmtId="0" xfId="0" applyAlignment="1" applyBorder="1" applyFont="1">
      <alignment horizontal="center"/>
    </xf>
    <xf borderId="2" fillId="5" fontId="9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/>
    </xf>
    <xf borderId="10" fillId="0" fontId="11" numFmtId="0" xfId="0" applyBorder="1" applyFont="1"/>
    <xf borderId="11" fillId="0" fontId="11" numFmtId="0" xfId="0" applyBorder="1" applyFont="1"/>
    <xf borderId="3" fillId="5" fontId="1" numFmtId="0" xfId="0" applyAlignment="1" applyBorder="1" applyFont="1">
      <alignment horizontal="right"/>
    </xf>
    <xf borderId="5" fillId="0" fontId="4" numFmtId="0" xfId="0" applyBorder="1" applyFont="1"/>
    <xf borderId="2" fillId="7" fontId="2" numFmtId="0" xfId="0" applyBorder="1" applyFill="1" applyFont="1"/>
    <xf borderId="0" fillId="0" fontId="1" numFmtId="164" xfId="0" applyFont="1" applyNumberFormat="1"/>
    <xf borderId="3" fillId="5" fontId="1" numFmtId="170" xfId="0" applyBorder="1" applyFont="1" applyNumberFormat="1"/>
    <xf borderId="3" fillId="5" fontId="1" numFmtId="171" xfId="0" applyBorder="1" applyFont="1" applyNumberFormat="1"/>
    <xf borderId="3" fillId="5" fontId="1" numFmtId="165" xfId="0" applyBorder="1" applyFont="1" applyNumberFormat="1"/>
    <xf borderId="3" fillId="5" fontId="1" numFmtId="172" xfId="0" applyBorder="1" applyFont="1" applyNumberFormat="1"/>
    <xf borderId="9" fillId="0" fontId="12" numFmtId="0" xfId="0" applyAlignment="1" applyBorder="1" applyFont="1">
      <alignment horizontal="center" shrinkToFit="0" wrapText="1"/>
    </xf>
    <xf borderId="2" fillId="0" fontId="12" numFmtId="0" xfId="0" applyBorder="1" applyFont="1"/>
    <xf borderId="9" fillId="0" fontId="12" numFmtId="0" xfId="0" applyAlignment="1" applyBorder="1" applyFont="1">
      <alignment horizontal="center"/>
    </xf>
    <xf borderId="0" fillId="0" fontId="13" numFmtId="0" xfId="0" applyFont="1"/>
    <xf borderId="2" fillId="0" fontId="12" numFmtId="0" xfId="0" applyAlignment="1" applyBorder="1" applyFont="1">
      <alignment vertical="center"/>
    </xf>
    <xf borderId="12" fillId="0" fontId="12" numFmtId="0" xfId="0" applyBorder="1" applyFont="1"/>
    <xf borderId="2" fillId="0" fontId="12" numFmtId="0" xfId="0" applyAlignment="1" applyBorder="1" applyFont="1">
      <alignment horizontal="center" vertical="center"/>
    </xf>
    <xf borderId="2" fillId="0" fontId="1" numFmtId="9" xfId="0" applyBorder="1" applyFont="1" applyNumberFormat="1"/>
    <xf borderId="0" fillId="0" fontId="12" numFmtId="20" xfId="0" applyFont="1" applyNumberFormat="1"/>
    <xf borderId="13" fillId="8" fontId="14" numFmtId="0" xfId="0" applyAlignment="1" applyBorder="1" applyFill="1" applyFont="1">
      <alignment horizontal="center" vertical="center"/>
    </xf>
    <xf borderId="14" fillId="0" fontId="11" numFmtId="0" xfId="0" applyBorder="1" applyFont="1"/>
    <xf borderId="15" fillId="0" fontId="11" numFmtId="0" xfId="0" applyBorder="1" applyFont="1"/>
    <xf borderId="16" fillId="0" fontId="14" numFmtId="0" xfId="0" applyAlignment="1" applyBorder="1" applyFont="1">
      <alignment horizontal="center" vertical="center"/>
    </xf>
    <xf borderId="2" fillId="9" fontId="14" numFmtId="0" xfId="0" applyAlignment="1" applyBorder="1" applyFill="1" applyFont="1">
      <alignment horizontal="center" vertical="center"/>
    </xf>
    <xf borderId="2" fillId="9" fontId="14" numFmtId="0" xfId="0" applyAlignment="1" applyBorder="1" applyFont="1">
      <alignment horizontal="center" shrinkToFit="0" vertical="center" wrapText="1"/>
    </xf>
    <xf borderId="17" fillId="0" fontId="14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 vertical="center"/>
    </xf>
    <xf borderId="2" fillId="9" fontId="16" numFmtId="0" xfId="0" applyBorder="1" applyFont="1"/>
    <xf borderId="18" fillId="9" fontId="16" numFmtId="165" xfId="0" applyBorder="1" applyFont="1" applyNumberFormat="1"/>
    <xf borderId="17" fillId="0" fontId="17" numFmtId="0" xfId="0" applyAlignment="1" applyBorder="1" applyFont="1">
      <alignment horizontal="center" vertical="center"/>
    </xf>
    <xf borderId="0" fillId="0" fontId="1" numFmtId="172" xfId="0" applyFont="1" applyNumberFormat="1"/>
    <xf borderId="2" fillId="9" fontId="16" numFmtId="165" xfId="0" applyBorder="1" applyFont="1" applyNumberFormat="1"/>
    <xf borderId="17" fillId="0" fontId="1" numFmtId="0" xfId="0" applyBorder="1" applyFont="1"/>
    <xf borderId="19" fillId="0" fontId="15" numFmtId="0" xfId="0" applyAlignment="1" applyBorder="1" applyFont="1">
      <alignment horizontal="center" vertical="center"/>
    </xf>
    <xf borderId="20" fillId="9" fontId="16" numFmtId="0" xfId="0" applyBorder="1" applyFont="1"/>
    <xf borderId="20" fillId="9" fontId="16" numFmtId="165" xfId="0" applyBorder="1" applyFont="1" applyNumberFormat="1"/>
    <xf borderId="21" fillId="0" fontId="17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horizontal="left"/>
    </xf>
    <xf borderId="0" fillId="0" fontId="12" numFmtId="0" xfId="0" applyFont="1"/>
    <xf borderId="22" fillId="0" fontId="12" numFmtId="0" xfId="0" applyAlignment="1" applyBorder="1" applyFont="1">
      <alignment horizontal="center"/>
    </xf>
    <xf borderId="23" fillId="0" fontId="11" numFmtId="0" xfId="0" applyBorder="1" applyFont="1"/>
    <xf borderId="24" fillId="0" fontId="11" numFmtId="0" xfId="0" applyBorder="1" applyFont="1"/>
    <xf borderId="12" fillId="0" fontId="12" numFmtId="0" xfId="0" applyAlignment="1" applyBorder="1" applyFont="1">
      <alignment horizontal="center"/>
    </xf>
    <xf borderId="25" fillId="0" fontId="11" numFmtId="0" xfId="0" applyBorder="1" applyFont="1"/>
    <xf borderId="26" fillId="0" fontId="12" numFmtId="0" xfId="0" applyAlignment="1" applyBorder="1" applyFont="1">
      <alignment horizontal="center" shrinkToFit="0" wrapText="1"/>
    </xf>
    <xf borderId="27" fillId="0" fontId="11" numFmtId="0" xfId="0" applyBorder="1" applyFont="1"/>
    <xf borderId="28" fillId="0" fontId="12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vertical="center"/>
    </xf>
    <xf borderId="32" fillId="0" fontId="1" numFmtId="172" xfId="0" applyBorder="1" applyFont="1" applyNumberFormat="1"/>
    <xf borderId="1" fillId="0" fontId="1" numFmtId="172" xfId="0" applyBorder="1" applyFont="1" applyNumberFormat="1"/>
    <xf borderId="33" fillId="0" fontId="1" numFmtId="172" xfId="0" applyBorder="1" applyFont="1" applyNumberFormat="1"/>
    <xf borderId="34" fillId="0" fontId="1" numFmtId="172" xfId="0" applyBorder="1" applyFont="1" applyNumberFormat="1"/>
    <xf borderId="2" fillId="0" fontId="1" numFmtId="172" xfId="0" applyBorder="1" applyFont="1" applyNumberFormat="1"/>
    <xf borderId="35" fillId="0" fontId="1" numFmtId="172" xfId="0" applyBorder="1" applyFont="1" applyNumberFormat="1"/>
    <xf borderId="36" fillId="0" fontId="12" numFmtId="0" xfId="0" applyAlignment="1" applyBorder="1" applyFont="1">
      <alignment horizontal="center" vertical="center"/>
    </xf>
    <xf borderId="37" fillId="0" fontId="1" numFmtId="172" xfId="0" applyBorder="1" applyFont="1" applyNumberFormat="1"/>
    <xf borderId="20" fillId="0" fontId="1" numFmtId="172" xfId="0" applyBorder="1" applyFont="1" applyNumberFormat="1"/>
    <xf borderId="38" fillId="0" fontId="1" numFmtId="172" xfId="0" applyBorder="1" applyFont="1" applyNumberFormat="1"/>
    <xf borderId="39" fillId="0" fontId="12" numFmtId="0" xfId="0" applyAlignment="1" applyBorder="1" applyFont="1">
      <alignment horizontal="center" shrinkToFit="0" vertical="center" wrapText="1"/>
    </xf>
    <xf borderId="40" fillId="0" fontId="12" numFmtId="0" xfId="0" applyAlignment="1" applyBorder="1" applyFont="1">
      <alignment horizontal="center" shrinkToFit="0" vertical="center" wrapText="1"/>
    </xf>
    <xf borderId="41" fillId="0" fontId="12" numFmtId="0" xfId="0" applyAlignment="1" applyBorder="1" applyFont="1">
      <alignment horizontal="center" vertical="center"/>
    </xf>
    <xf borderId="42" fillId="0" fontId="11" numFmtId="0" xfId="0" applyBorder="1" applyFont="1"/>
    <xf borderId="43" fillId="0" fontId="11" numFmtId="0" xfId="0" applyBorder="1" applyFont="1"/>
    <xf borderId="26" fillId="0" fontId="12" numFmtId="0" xfId="0" applyAlignment="1" applyBorder="1" applyFont="1">
      <alignment horizontal="center" shrinkToFit="0" vertical="center" wrapText="1"/>
    </xf>
    <xf borderId="44" fillId="0" fontId="11" numFmtId="0" xfId="0" applyBorder="1" applyFont="1"/>
    <xf borderId="45" fillId="0" fontId="11" numFmtId="0" xfId="0" applyBorder="1" applyFont="1"/>
    <xf borderId="46" fillId="0" fontId="11" numFmtId="0" xfId="0" applyBorder="1" applyFont="1"/>
    <xf borderId="47" fillId="0" fontId="12" numFmtId="0" xfId="0" applyAlignment="1" applyBorder="1" applyFont="1">
      <alignment horizontal="center" vertical="center"/>
    </xf>
    <xf borderId="48" fillId="0" fontId="11" numFmtId="0" xfId="0" applyBorder="1" applyFont="1"/>
    <xf borderId="49" fillId="0" fontId="11" numFmtId="0" xfId="0" applyBorder="1" applyFont="1"/>
    <xf borderId="50" fillId="0" fontId="11" numFmtId="0" xfId="0" applyBorder="1" applyFont="1"/>
    <xf borderId="51" fillId="0" fontId="11" numFmtId="0" xfId="0" applyBorder="1" applyFont="1"/>
    <xf borderId="52" fillId="0" fontId="11" numFmtId="0" xfId="0" applyBorder="1" applyFont="1"/>
    <xf borderId="53" fillId="0" fontId="11" numFmtId="0" xfId="0" applyBorder="1" applyFont="1"/>
    <xf borderId="54" fillId="0" fontId="12" numFmtId="0" xfId="0" applyAlignment="1" applyBorder="1" applyFont="1">
      <alignment horizontal="center" vertical="center"/>
    </xf>
    <xf borderId="55" fillId="0" fontId="12" numFmtId="0" xfId="0" applyAlignment="1" applyBorder="1" applyFont="1">
      <alignment horizontal="center" vertical="center"/>
    </xf>
    <xf borderId="56" fillId="0" fontId="11" numFmtId="0" xfId="0" applyBorder="1" applyFont="1"/>
    <xf borderId="57" fillId="0" fontId="12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/>
    </xf>
    <xf borderId="1" fillId="0" fontId="1" numFmtId="9" xfId="0" applyBorder="1" applyFont="1" applyNumberFormat="1"/>
    <xf borderId="1" fillId="0" fontId="1" numFmtId="172" xfId="0" applyAlignment="1" applyBorder="1" applyFont="1" applyNumberFormat="1">
      <alignment horizontal="right"/>
    </xf>
    <xf borderId="1" fillId="0" fontId="1" numFmtId="171" xfId="0" applyAlignment="1" applyBorder="1" applyFont="1" applyNumberFormat="1">
      <alignment horizontal="right"/>
    </xf>
    <xf borderId="2" fillId="0" fontId="1" numFmtId="0" xfId="0" applyAlignment="1" applyBorder="1" applyFont="1">
      <alignment shrinkToFit="0" vertical="center" wrapText="1"/>
    </xf>
    <xf borderId="1" fillId="0" fontId="1" numFmtId="173" xfId="0" applyAlignment="1" applyBorder="1" applyFont="1" applyNumberFormat="1">
      <alignment horizontal="right"/>
    </xf>
    <xf borderId="2" fillId="0" fontId="1" numFmtId="172" xfId="0" applyAlignment="1" applyBorder="1" applyFont="1" applyNumberFormat="1">
      <alignment horizontal="right"/>
    </xf>
    <xf borderId="1" fillId="0" fontId="1" numFmtId="9" xfId="0" applyAlignment="1" applyBorder="1" applyFont="1" applyNumberFormat="1">
      <alignment horizontal="right"/>
    </xf>
    <xf borderId="58" fillId="0" fontId="12" numFmtId="0" xfId="0" applyAlignment="1" applyBorder="1" applyFont="1">
      <alignment horizontal="center"/>
    </xf>
    <xf borderId="59" fillId="0" fontId="11" numFmtId="0" xfId="0" applyBorder="1" applyFont="1"/>
    <xf borderId="60" fillId="0" fontId="11" numFmtId="0" xfId="0" applyBorder="1" applyFont="1"/>
    <xf borderId="2" fillId="0" fontId="1" numFmtId="164" xfId="0" applyBorder="1" applyFont="1" applyNumberFormat="1"/>
    <xf borderId="2" fillId="0" fontId="1" numFmtId="10" xfId="0" applyBorder="1" applyFont="1" applyNumberFormat="1"/>
    <xf borderId="61" fillId="0" fontId="12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37" fillId="0" fontId="1" numFmtId="0" xfId="0" applyBorder="1" applyFont="1"/>
    <xf borderId="20" fillId="0" fontId="1" numFmtId="0" xfId="0" applyBorder="1" applyFont="1"/>
    <xf borderId="38" fillId="0" fontId="1" numFmtId="0" xfId="0" applyBorder="1" applyFont="1"/>
    <xf borderId="34" fillId="0" fontId="1" numFmtId="0" xfId="0" applyBorder="1" applyFont="1"/>
    <xf borderId="35" fillId="0" fontId="1" numFmtId="0" xfId="0" applyBorder="1" applyFont="1"/>
    <xf borderId="0" fillId="0" fontId="1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Handling Time in min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'(Lookup-2) Handling'!$C$3:$C$17</c:f>
            </c:numRef>
          </c:xVal>
          <c:yVal>
            <c:numRef>
              <c:f>'(Lookup-2) Handling'!$D$3:$D$17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373721"/>
        <c:axId val="650781533"/>
      </c:scatterChart>
      <c:valAx>
        <c:axId val="1990373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0781533"/>
      </c:valAx>
      <c:valAx>
        <c:axId val="650781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037372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2.jpg"/><Relationship Id="rId13" Type="http://schemas.openxmlformats.org/officeDocument/2006/relationships/image" Target="../media/image16.jpg"/><Relationship Id="rId12" Type="http://schemas.openxmlformats.org/officeDocument/2006/relationships/image" Target="../media/image13.jpg"/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7.png"/><Relationship Id="rId9" Type="http://schemas.openxmlformats.org/officeDocument/2006/relationships/image" Target="../media/image11.jpg"/><Relationship Id="rId15" Type="http://schemas.openxmlformats.org/officeDocument/2006/relationships/image" Target="../media/image10.jpg"/><Relationship Id="rId14" Type="http://schemas.openxmlformats.org/officeDocument/2006/relationships/image" Target="../media/image6.jpg"/><Relationship Id="rId5" Type="http://schemas.openxmlformats.org/officeDocument/2006/relationships/image" Target="../media/image12.jpg"/><Relationship Id="rId6" Type="http://schemas.openxmlformats.org/officeDocument/2006/relationships/image" Target="../media/image14.jpg"/><Relationship Id="rId7" Type="http://schemas.openxmlformats.org/officeDocument/2006/relationships/image" Target="../media/image4.jpg"/><Relationship Id="rId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4</xdr:row>
      <xdr:rowOff>114300</xdr:rowOff>
    </xdr:from>
    <xdr:ext cx="4733925" cy="414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1</xdr:row>
      <xdr:rowOff>38100</xdr:rowOff>
    </xdr:from>
    <xdr:ext cx="4371975" cy="2733675"/>
    <xdr:graphicFrame>
      <xdr:nvGraphicFramePr>
        <xdr:cNvPr id="18421832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142875</xdr:colOff>
      <xdr:row>0</xdr:row>
      <xdr:rowOff>0</xdr:rowOff>
    </xdr:from>
    <xdr:ext cx="13944600" cy="6076950"/>
    <xdr:pic>
      <xdr:nvPicPr>
        <xdr:cNvPr descr="cid:image003.png@01D8FD11.170F4E20"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20</xdr:row>
      <xdr:rowOff>38100</xdr:rowOff>
    </xdr:from>
    <xdr:ext cx="838200" cy="8858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26</xdr:row>
      <xdr:rowOff>152400</xdr:rowOff>
    </xdr:from>
    <xdr:ext cx="1571625" cy="10953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20</xdr:row>
      <xdr:rowOff>0</xdr:rowOff>
    </xdr:from>
    <xdr:ext cx="1552575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28</xdr:row>
      <xdr:rowOff>19050</xdr:rowOff>
    </xdr:from>
    <xdr:ext cx="1562100" cy="7524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21</xdr:row>
      <xdr:rowOff>9525</xdr:rowOff>
    </xdr:from>
    <xdr:ext cx="1381125" cy="962025"/>
    <xdr:pic>
      <xdr:nvPicPr>
        <xdr:cNvPr descr="Deep Drawn Parts - D&amp;H Industries"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27</xdr:row>
      <xdr:rowOff>152400</xdr:rowOff>
    </xdr:from>
    <xdr:ext cx="1476375" cy="1028700"/>
    <xdr:pic>
      <xdr:nvPicPr>
        <xdr:cNvPr descr="Deep Drawn Parts - Press capacity from 150 to 600 tons – beds from 30&quot;x 38&quot;  to 60&quot;x 144&quot;"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34</xdr:row>
      <xdr:rowOff>76200</xdr:rowOff>
    </xdr:from>
    <xdr:ext cx="1190625" cy="1247775"/>
    <xdr:pic>
      <xdr:nvPicPr>
        <xdr:cNvPr descr="Sheet Metal Components - SS &amp; MS Enclosure Manufacturer from Chennai"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43</xdr:row>
      <xdr:rowOff>0</xdr:rowOff>
    </xdr:from>
    <xdr:ext cx="1400175" cy="1038225"/>
    <xdr:pic>
      <xdr:nvPicPr>
        <xdr:cNvPr descr="Aluminum-Enclosure-big - Avon Lake Sheet Metal"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43</xdr:row>
      <xdr:rowOff>47625</xdr:rowOff>
    </xdr:from>
    <xdr:ext cx="1571625" cy="1095375"/>
    <xdr:pic>
      <xdr:nvPicPr>
        <xdr:cNvPr descr="Sheet Metal Construction | Haberberger Inc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51</xdr:row>
      <xdr:rowOff>76200</xdr:rowOff>
    </xdr:from>
    <xdr:ext cx="1304925" cy="1390650"/>
    <xdr:pic>
      <xdr:nvPicPr>
        <xdr:cNvPr descr="Larkin Hathaway Sheet Metal HVAC Contractors MA RI CT" id="0" name="image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35</xdr:row>
      <xdr:rowOff>142875</xdr:rowOff>
    </xdr:from>
    <xdr:ext cx="952500" cy="1228725"/>
    <xdr:pic>
      <xdr:nvPicPr>
        <xdr:cNvPr descr="100 Best JAALI DESIGN ideas | jaali design, design, metal screen"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33</xdr:row>
      <xdr:rowOff>152400</xdr:rowOff>
    </xdr:from>
    <xdr:ext cx="1571625" cy="1657350"/>
    <xdr:pic>
      <xdr:nvPicPr>
        <xdr:cNvPr descr="OEM Stamping Service - Maxwill Custom Stamping Service, Custom Punching  Stamping Service Provider"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51</xdr:row>
      <xdr:rowOff>47625</xdr:rowOff>
    </xdr:from>
    <xdr:ext cx="1714500" cy="1285875"/>
    <xdr:pic>
      <xdr:nvPicPr>
        <xdr:cNvPr descr="Harsha Engineers International Limited | TPM certified Precision  Engineering Company manufacturing Bearing Cages and Stamped Components"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44</xdr:row>
      <xdr:rowOff>19050</xdr:rowOff>
    </xdr:from>
    <xdr:ext cx="1419225" cy="762000"/>
    <xdr:pic>
      <xdr:nvPicPr>
        <xdr:cNvPr descr="Online Laser Cutting and Waterjet Cutting Services - Instant Quotes"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51</xdr:row>
      <xdr:rowOff>180975</xdr:rowOff>
    </xdr:from>
    <xdr:ext cx="1343025" cy="933450"/>
    <xdr:pic>
      <xdr:nvPicPr>
        <xdr:cNvPr descr="Metal Stamping: What Is It? How Is It Used? Types Of" id="0" name="image1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heet%20Metal%20Stroke%20Ra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imple"/>
      <sheetName val="Inter"/>
      <sheetName val="Complex"/>
      <sheetName val="% R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54.29"/>
    <col customWidth="1" min="4" max="4" width="36.71"/>
    <col customWidth="1" min="5" max="5" width="28.71"/>
    <col customWidth="1" min="6" max="6" width="90.0"/>
    <col customWidth="1" min="7" max="7" width="55.0"/>
    <col customWidth="1" min="8" max="8" width="104.43"/>
    <col customWidth="1" min="9" max="9" width="8.86"/>
    <col customWidth="1" min="10" max="26" width="8.71"/>
  </cols>
  <sheetData>
    <row r="1">
      <c r="A1" s="1" t="s">
        <v>0</v>
      </c>
      <c r="B1" s="2"/>
      <c r="C1" s="3" t="s">
        <v>1</v>
      </c>
      <c r="D1" s="4"/>
    </row>
    <row r="2">
      <c r="B2" s="5"/>
      <c r="C2" s="3" t="s">
        <v>2</v>
      </c>
      <c r="D2" s="4"/>
    </row>
    <row r="3">
      <c r="B3" s="6"/>
      <c r="C3" s="3" t="s">
        <v>3</v>
      </c>
      <c r="D3" s="4"/>
    </row>
    <row r="4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9" t="s">
        <v>4</v>
      </c>
      <c r="C5" s="9" t="s">
        <v>5</v>
      </c>
      <c r="D5" s="10" t="s">
        <v>6</v>
      </c>
      <c r="E5" s="9" t="s">
        <v>7</v>
      </c>
      <c r="F5" s="9" t="s">
        <v>8</v>
      </c>
      <c r="G5" s="9" t="s">
        <v>9</v>
      </c>
    </row>
    <row r="6">
      <c r="B6" s="11" t="s">
        <v>10</v>
      </c>
      <c r="C6" s="12" t="s">
        <v>11</v>
      </c>
      <c r="D6" s="13"/>
      <c r="E6" s="12"/>
      <c r="F6" s="14" t="s">
        <v>12</v>
      </c>
    </row>
    <row r="7" ht="18.75" customHeight="1">
      <c r="B7" s="15"/>
      <c r="C7" s="12" t="s">
        <v>13</v>
      </c>
      <c r="D7" s="13"/>
      <c r="E7" s="12"/>
      <c r="F7" s="14" t="s">
        <v>12</v>
      </c>
    </row>
    <row r="8" ht="18.75" customHeight="1">
      <c r="B8" s="15"/>
      <c r="C8" s="12" t="s">
        <v>14</v>
      </c>
      <c r="D8" s="16">
        <v>12000.0</v>
      </c>
      <c r="E8" s="12"/>
      <c r="F8" s="14" t="s">
        <v>12</v>
      </c>
      <c r="K8" s="17"/>
    </row>
    <row r="9" ht="18.75" customHeight="1">
      <c r="B9" s="15"/>
      <c r="C9" s="12" t="s">
        <v>15</v>
      </c>
      <c r="D9" s="13" t="s">
        <v>16</v>
      </c>
      <c r="E9" s="12"/>
      <c r="F9" s="14" t="s">
        <v>12</v>
      </c>
    </row>
    <row r="10" ht="18.75" customHeight="1">
      <c r="B10" s="15"/>
      <c r="C10" s="12" t="s">
        <v>17</v>
      </c>
      <c r="D10" s="13" t="s">
        <v>18</v>
      </c>
      <c r="E10" s="12"/>
      <c r="F10" s="14" t="s">
        <v>19</v>
      </c>
    </row>
    <row r="11" ht="18.75" customHeight="1">
      <c r="B11" s="15"/>
      <c r="C11" s="12" t="s">
        <v>20</v>
      </c>
      <c r="D11" s="13"/>
      <c r="E11" s="12"/>
      <c r="F11" s="14" t="s">
        <v>21</v>
      </c>
    </row>
    <row r="12" ht="18.75" customHeight="1">
      <c r="B12" s="15"/>
      <c r="C12" s="12" t="s">
        <v>22</v>
      </c>
      <c r="D12" s="13" t="s">
        <v>23</v>
      </c>
      <c r="E12" s="12"/>
      <c r="F12" s="14" t="s">
        <v>21</v>
      </c>
    </row>
    <row r="13" ht="18.75" customHeight="1">
      <c r="B13" s="15"/>
      <c r="C13" s="12" t="s">
        <v>24</v>
      </c>
      <c r="D13" s="13" t="s">
        <v>23</v>
      </c>
      <c r="E13" s="12"/>
      <c r="F13" s="14" t="s">
        <v>21</v>
      </c>
    </row>
    <row r="14" ht="18.75" customHeight="1">
      <c r="B14" s="15"/>
      <c r="C14" s="12" t="s">
        <v>25</v>
      </c>
      <c r="D14" s="13">
        <v>1.0</v>
      </c>
      <c r="E14" s="12"/>
      <c r="F14" s="14" t="s">
        <v>12</v>
      </c>
    </row>
    <row r="15" ht="18.75" customHeight="1">
      <c r="B15" s="15"/>
      <c r="C15" s="12" t="s">
        <v>26</v>
      </c>
      <c r="D15" s="13" t="s">
        <v>27</v>
      </c>
      <c r="E15" s="12"/>
      <c r="F15" s="14" t="s">
        <v>28</v>
      </c>
    </row>
    <row r="16" ht="18.75" customHeight="1">
      <c r="B16" s="15"/>
      <c r="C16" s="12" t="s">
        <v>29</v>
      </c>
      <c r="D16" s="16">
        <v>2500.0</v>
      </c>
      <c r="E16" s="12"/>
      <c r="F16" s="14" t="s">
        <v>30</v>
      </c>
    </row>
    <row r="17" ht="18.75" customHeight="1">
      <c r="B17" s="15"/>
      <c r="C17" s="12" t="s">
        <v>31</v>
      </c>
      <c r="D17" s="13" t="s">
        <v>32</v>
      </c>
      <c r="E17" s="12"/>
      <c r="F17" s="14" t="s">
        <v>33</v>
      </c>
    </row>
    <row r="18" ht="18.75" customHeight="1">
      <c r="B18" s="15"/>
      <c r="C18" s="12" t="s">
        <v>34</v>
      </c>
      <c r="D18" s="13" t="s">
        <v>35</v>
      </c>
      <c r="E18" s="12"/>
      <c r="F18" s="14" t="s">
        <v>36</v>
      </c>
    </row>
    <row r="19" ht="18.75" customHeight="1">
      <c r="B19" s="15"/>
      <c r="C19" s="12" t="s">
        <v>37</v>
      </c>
      <c r="D19" s="13" t="s">
        <v>38</v>
      </c>
      <c r="E19" s="12"/>
      <c r="F19" s="14" t="s">
        <v>12</v>
      </c>
    </row>
    <row r="20" ht="18.75" customHeight="1">
      <c r="B20" s="15"/>
      <c r="C20" s="12" t="s">
        <v>39</v>
      </c>
      <c r="D20" s="13" t="s">
        <v>40</v>
      </c>
      <c r="E20" s="12"/>
      <c r="F20" s="14" t="s">
        <v>41</v>
      </c>
    </row>
    <row r="21" ht="18.75" customHeight="1">
      <c r="B21" s="15"/>
      <c r="C21" s="12" t="s">
        <v>42</v>
      </c>
      <c r="D21" s="13" t="s">
        <v>43</v>
      </c>
      <c r="E21" s="12"/>
      <c r="F21" s="14" t="s">
        <v>41</v>
      </c>
    </row>
    <row r="22" ht="15.75" customHeight="1">
      <c r="B22" s="18" t="s">
        <v>44</v>
      </c>
      <c r="C22" s="19" t="s">
        <v>45</v>
      </c>
      <c r="D22" s="20" t="s">
        <v>46</v>
      </c>
      <c r="E22" s="19"/>
      <c r="F22" s="14" t="s">
        <v>47</v>
      </c>
    </row>
    <row r="23" ht="15.75" customHeight="1">
      <c r="B23" s="21"/>
      <c r="C23" s="19" t="s">
        <v>48</v>
      </c>
      <c r="D23" s="20" t="s">
        <v>49</v>
      </c>
      <c r="E23" s="19"/>
      <c r="F23" s="14" t="s">
        <v>47</v>
      </c>
    </row>
    <row r="24" ht="15.75" customHeight="1">
      <c r="B24" s="21"/>
      <c r="C24" s="19" t="s">
        <v>50</v>
      </c>
      <c r="D24" s="20" t="s">
        <v>51</v>
      </c>
      <c r="E24" s="19"/>
      <c r="F24" s="14" t="s">
        <v>47</v>
      </c>
    </row>
    <row r="25" ht="15.75" customHeight="1">
      <c r="B25" s="21"/>
      <c r="C25" s="19" t="s">
        <v>52</v>
      </c>
      <c r="D25" s="22">
        <v>7.85</v>
      </c>
      <c r="E25" s="19"/>
      <c r="F25" s="14" t="s">
        <v>53</v>
      </c>
    </row>
    <row r="26" ht="15.75" customHeight="1">
      <c r="B26" s="21"/>
      <c r="C26" s="19" t="s">
        <v>54</v>
      </c>
      <c r="D26" s="22">
        <v>1.5</v>
      </c>
      <c r="E26" s="19"/>
      <c r="F26" s="14" t="s">
        <v>53</v>
      </c>
    </row>
    <row r="27" ht="15.75" customHeight="1">
      <c r="B27" s="21"/>
      <c r="C27" s="19" t="s">
        <v>55</v>
      </c>
      <c r="D27" s="22">
        <v>0.4</v>
      </c>
      <c r="E27" s="19"/>
      <c r="F27" s="14" t="s">
        <v>53</v>
      </c>
    </row>
    <row r="28" ht="15.75" customHeight="1">
      <c r="B28" s="21"/>
      <c r="C28" s="19" t="s">
        <v>56</v>
      </c>
      <c r="D28" s="20">
        <v>50.0</v>
      </c>
      <c r="E28" s="19"/>
      <c r="F28" s="14" t="s">
        <v>47</v>
      </c>
    </row>
    <row r="29" ht="15.75" customHeight="1">
      <c r="B29" s="21"/>
      <c r="C29" s="19" t="s">
        <v>57</v>
      </c>
      <c r="D29" s="20">
        <v>30.0</v>
      </c>
      <c r="E29" s="19"/>
      <c r="F29" s="14" t="s">
        <v>47</v>
      </c>
    </row>
    <row r="30" ht="15.75" customHeight="1">
      <c r="B30" s="21"/>
      <c r="C30" s="19" t="s">
        <v>58</v>
      </c>
      <c r="D30" s="20">
        <v>2.0</v>
      </c>
      <c r="E30" s="19"/>
      <c r="F30" s="14" t="s">
        <v>47</v>
      </c>
    </row>
    <row r="31" ht="15.75" customHeight="1">
      <c r="B31" s="21"/>
      <c r="C31" s="19" t="s">
        <v>59</v>
      </c>
      <c r="D31" s="20">
        <v>23.1</v>
      </c>
      <c r="E31" s="19"/>
      <c r="F31" s="14" t="s">
        <v>47</v>
      </c>
    </row>
    <row r="32" ht="15.75" customHeight="1">
      <c r="B32" s="21"/>
      <c r="C32" s="19" t="s">
        <v>60</v>
      </c>
      <c r="D32" s="23">
        <f>+D28*D29</f>
        <v>1500</v>
      </c>
      <c r="E32" s="19"/>
      <c r="F32" s="14" t="s">
        <v>47</v>
      </c>
    </row>
    <row r="33" ht="15.75" customHeight="1">
      <c r="B33" s="21"/>
      <c r="C33" s="19" t="s">
        <v>61</v>
      </c>
      <c r="D33" s="23">
        <f>D32*D30</f>
        <v>3000</v>
      </c>
      <c r="E33" s="19"/>
      <c r="F33" s="14" t="s">
        <v>62</v>
      </c>
    </row>
    <row r="34" ht="15.75" customHeight="1">
      <c r="B34" s="21"/>
      <c r="C34" s="19" t="s">
        <v>63</v>
      </c>
      <c r="D34" s="24">
        <f>0.01*D30*((D51/10)^(1/2))</f>
        <v>0.1186591758</v>
      </c>
      <c r="E34" s="19"/>
      <c r="F34" s="14" t="s">
        <v>64</v>
      </c>
      <c r="G34" s="14" t="s">
        <v>65</v>
      </c>
    </row>
    <row r="35" ht="15.75" customHeight="1">
      <c r="B35" s="21"/>
      <c r="C35" s="25" t="s">
        <v>66</v>
      </c>
      <c r="D35" s="23"/>
      <c r="E35" s="19"/>
      <c r="F35" s="26" t="s">
        <v>3</v>
      </c>
      <c r="G35" s="7"/>
    </row>
    <row r="36" ht="15.75" customHeight="1">
      <c r="B36" s="21"/>
      <c r="C36" s="19" t="s">
        <v>67</v>
      </c>
      <c r="D36" s="27">
        <v>1250.0</v>
      </c>
      <c r="E36" s="19"/>
      <c r="F36" s="14" t="s">
        <v>68</v>
      </c>
      <c r="G36" s="7"/>
    </row>
    <row r="37" ht="15.75" customHeight="1">
      <c r="B37" s="21"/>
      <c r="C37" s="19" t="s">
        <v>69</v>
      </c>
      <c r="D37" s="27">
        <v>2500.0</v>
      </c>
      <c r="E37" s="19"/>
      <c r="F37" s="14" t="s">
        <v>68</v>
      </c>
      <c r="G37" s="7"/>
    </row>
    <row r="38" ht="15.75" customHeight="1">
      <c r="B38" s="21"/>
      <c r="C38" s="19" t="s">
        <v>70</v>
      </c>
      <c r="D38" s="22">
        <v>2.0</v>
      </c>
      <c r="E38" s="19"/>
      <c r="F38" s="14" t="s">
        <v>71</v>
      </c>
      <c r="G38" s="7"/>
    </row>
    <row r="39" ht="15.75" customHeight="1">
      <c r="B39" s="21"/>
      <c r="C39" s="19" t="s">
        <v>72</v>
      </c>
      <c r="D39" s="28">
        <f>((D36-D38)*(D37-D38))/((D28+D34)*(D29+D34))</f>
        <v>2065.246722</v>
      </c>
      <c r="E39" s="29"/>
      <c r="F39" s="14" t="s">
        <v>64</v>
      </c>
      <c r="G39" s="14" t="s">
        <v>73</v>
      </c>
    </row>
    <row r="40" ht="15.75" customHeight="1">
      <c r="B40" s="21"/>
      <c r="C40" s="19" t="s">
        <v>74</v>
      </c>
      <c r="D40" s="28">
        <f>+(D36*D37*D30*D25/1000)</f>
        <v>49062.5</v>
      </c>
      <c r="E40" s="19"/>
      <c r="F40" s="14" t="s">
        <v>64</v>
      </c>
      <c r="G40" s="14" t="s">
        <v>75</v>
      </c>
    </row>
    <row r="41" ht="15.75" customHeight="1">
      <c r="B41" s="21"/>
      <c r="C41" s="19" t="s">
        <v>76</v>
      </c>
      <c r="D41" s="28">
        <f>+D43-D31</f>
        <v>0.6562415525</v>
      </c>
      <c r="E41" s="19"/>
      <c r="F41" s="14" t="s">
        <v>64</v>
      </c>
      <c r="G41" s="14" t="s">
        <v>77</v>
      </c>
    </row>
    <row r="42" ht="15.75" customHeight="1">
      <c r="B42" s="21"/>
      <c r="C42" s="19" t="s">
        <v>78</v>
      </c>
      <c r="D42" s="28">
        <f>D31</f>
        <v>23.1</v>
      </c>
      <c r="E42" s="19"/>
      <c r="F42" s="14" t="s">
        <v>47</v>
      </c>
      <c r="G42" s="7"/>
    </row>
    <row r="43" ht="15.75" customHeight="1">
      <c r="B43" s="21"/>
      <c r="C43" s="19" t="s">
        <v>79</v>
      </c>
      <c r="D43" s="28">
        <f>+D40/D39</f>
        <v>23.75624155</v>
      </c>
      <c r="E43" s="19"/>
      <c r="F43" s="14" t="s">
        <v>64</v>
      </c>
      <c r="G43" s="14" t="s">
        <v>80</v>
      </c>
    </row>
    <row r="44" ht="15.75" customHeight="1">
      <c r="B44" s="21"/>
      <c r="C44" s="19" t="s">
        <v>81</v>
      </c>
      <c r="D44" s="30">
        <f>D42/D43</f>
        <v>0.9723760364</v>
      </c>
      <c r="E44" s="19"/>
      <c r="F44" s="14" t="s">
        <v>64</v>
      </c>
      <c r="G44" s="14" t="s">
        <v>82</v>
      </c>
    </row>
    <row r="45" ht="15.75" customHeight="1">
      <c r="B45" s="21"/>
      <c r="C45" s="19" t="s">
        <v>83</v>
      </c>
      <c r="D45" s="30">
        <v>0.9</v>
      </c>
      <c r="E45" s="19"/>
      <c r="F45" s="14" t="s">
        <v>84</v>
      </c>
    </row>
    <row r="46" ht="15.75" customHeight="1">
      <c r="B46" s="21"/>
      <c r="C46" s="19" t="s">
        <v>85</v>
      </c>
      <c r="D46" s="28">
        <f>(D43/1000)*D26</f>
        <v>0.03563436233</v>
      </c>
      <c r="E46" s="19"/>
      <c r="F46" s="14" t="s">
        <v>64</v>
      </c>
      <c r="G46" s="14" t="s">
        <v>86</v>
      </c>
    </row>
    <row r="47" ht="15.75" customHeight="1">
      <c r="B47" s="21"/>
      <c r="C47" s="19" t="s">
        <v>87</v>
      </c>
      <c r="D47" s="28">
        <f>((D41/1000)*D45)*D27</f>
        <v>0.0002362469589</v>
      </c>
      <c r="E47" s="19"/>
      <c r="F47" s="14" t="s">
        <v>64</v>
      </c>
      <c r="G47" s="14" t="s">
        <v>88</v>
      </c>
    </row>
    <row r="48" ht="15.75" customHeight="1">
      <c r="B48" s="21"/>
      <c r="C48" s="19" t="s">
        <v>89</v>
      </c>
      <c r="D48" s="31">
        <f>+D46-D47</f>
        <v>0.03539811537</v>
      </c>
      <c r="E48" s="19"/>
      <c r="F48" s="14" t="s">
        <v>64</v>
      </c>
      <c r="G48" s="14" t="s">
        <v>90</v>
      </c>
    </row>
    <row r="49" ht="15.75" customHeight="1">
      <c r="B49" s="18" t="s">
        <v>91</v>
      </c>
      <c r="C49" s="19" t="s">
        <v>92</v>
      </c>
      <c r="D49" s="20" t="s">
        <v>93</v>
      </c>
      <c r="E49" s="19"/>
      <c r="F49" s="32" t="s">
        <v>36</v>
      </c>
    </row>
    <row r="50" ht="15.75" customHeight="1">
      <c r="B50" s="21"/>
      <c r="C50" s="19" t="s">
        <v>94</v>
      </c>
      <c r="D50" s="20">
        <v>178.84</v>
      </c>
      <c r="E50" s="19"/>
      <c r="F50" s="14" t="s">
        <v>47</v>
      </c>
    </row>
    <row r="51" ht="15.75" customHeight="1">
      <c r="B51" s="21"/>
      <c r="C51" s="19" t="s">
        <v>95</v>
      </c>
      <c r="D51" s="20">
        <v>352.0</v>
      </c>
      <c r="E51" s="19"/>
      <c r="F51" s="14" t="s">
        <v>53</v>
      </c>
    </row>
    <row r="52" ht="15.75" customHeight="1">
      <c r="B52" s="21"/>
      <c r="C52" s="19" t="s">
        <v>96</v>
      </c>
      <c r="D52" s="33">
        <f>(D50*$D$30*D51)/9810</f>
        <v>12.83418552</v>
      </c>
      <c r="E52" s="19"/>
      <c r="F52" s="14" t="s">
        <v>64</v>
      </c>
      <c r="G52" s="14" t="s">
        <v>97</v>
      </c>
    </row>
    <row r="53" ht="15.75" customHeight="1">
      <c r="B53" s="21"/>
      <c r="C53" s="34" t="s">
        <v>98</v>
      </c>
      <c r="D53" s="33">
        <f>D52*1.25</f>
        <v>16.04273191</v>
      </c>
      <c r="E53" s="19"/>
      <c r="F53" s="14" t="s">
        <v>64</v>
      </c>
      <c r="G53" s="14" t="s">
        <v>99</v>
      </c>
    </row>
    <row r="54" ht="15.75" customHeight="1">
      <c r="B54" s="21"/>
      <c r="C54" s="34" t="s">
        <v>100</v>
      </c>
      <c r="D54" s="35" t="s">
        <v>101</v>
      </c>
      <c r="E54" s="19"/>
      <c r="F54" s="14" t="s">
        <v>102</v>
      </c>
    </row>
    <row r="55" ht="15.75" customHeight="1">
      <c r="B55" s="21"/>
      <c r="C55" s="34" t="s">
        <v>103</v>
      </c>
      <c r="D55" s="20" t="s">
        <v>104</v>
      </c>
      <c r="E55" s="19"/>
      <c r="F55" s="14" t="s">
        <v>102</v>
      </c>
    </row>
    <row r="56" ht="15.75" customHeight="1">
      <c r="B56" s="21"/>
      <c r="C56" s="34" t="s">
        <v>105</v>
      </c>
      <c r="D56" s="20" t="s">
        <v>106</v>
      </c>
      <c r="E56" s="19"/>
      <c r="F56" s="14" t="s">
        <v>102</v>
      </c>
    </row>
    <row r="57" ht="15.75" customHeight="1">
      <c r="B57" s="21"/>
      <c r="C57" s="36" t="s">
        <v>107</v>
      </c>
      <c r="D57" s="37"/>
      <c r="E57" s="19"/>
      <c r="F57" s="14" t="s">
        <v>3</v>
      </c>
    </row>
    <row r="58" ht="15.75" customHeight="1">
      <c r="B58" s="21"/>
      <c r="C58" s="34" t="s">
        <v>108</v>
      </c>
      <c r="D58" s="38">
        <f>(1/(100*70%))*60</f>
        <v>0.8571428571</v>
      </c>
      <c r="E58" s="19"/>
      <c r="F58" s="14" t="s">
        <v>109</v>
      </c>
      <c r="G58" s="14" t="s">
        <v>110</v>
      </c>
    </row>
    <row r="59" ht="15.75" customHeight="1">
      <c r="B59" s="21"/>
      <c r="C59" s="39" t="s">
        <v>111</v>
      </c>
      <c r="D59" s="40">
        <f>(D60/$D$16)</f>
        <v>0.008</v>
      </c>
      <c r="E59" s="19"/>
      <c r="F59" s="14" t="s">
        <v>64</v>
      </c>
      <c r="G59" s="14" t="s">
        <v>112</v>
      </c>
    </row>
    <row r="60" ht="15.75" customHeight="1">
      <c r="B60" s="21"/>
      <c r="C60" s="34" t="s">
        <v>113</v>
      </c>
      <c r="D60" s="41">
        <f>ROUNDUP((D16/D39),0)*(10)</f>
        <v>20</v>
      </c>
      <c r="E60" s="19"/>
      <c r="F60" s="14" t="s">
        <v>64</v>
      </c>
      <c r="G60" s="14" t="s">
        <v>114</v>
      </c>
    </row>
    <row r="61" ht="15.75" customHeight="1">
      <c r="B61" s="21"/>
      <c r="C61" s="39" t="s">
        <v>115</v>
      </c>
      <c r="D61" s="20">
        <v>0.5</v>
      </c>
      <c r="E61" s="19"/>
      <c r="F61" s="14" t="s">
        <v>102</v>
      </c>
    </row>
    <row r="62" ht="15.75" customHeight="1">
      <c r="B62" s="21"/>
      <c r="C62" s="34" t="s">
        <v>116</v>
      </c>
      <c r="D62" s="20">
        <v>0.0</v>
      </c>
      <c r="E62" s="19"/>
      <c r="F62" s="14" t="s">
        <v>117</v>
      </c>
    </row>
    <row r="63" ht="15.75" customHeight="1">
      <c r="B63" s="42" t="s">
        <v>118</v>
      </c>
      <c r="C63" s="39" t="s">
        <v>119</v>
      </c>
      <c r="D63" s="22">
        <v>30.0</v>
      </c>
      <c r="E63" s="19"/>
      <c r="F63" s="14" t="s">
        <v>120</v>
      </c>
    </row>
    <row r="64" ht="15.75" customHeight="1">
      <c r="B64" s="21"/>
      <c r="C64" s="34" t="s">
        <v>121</v>
      </c>
      <c r="D64" s="22">
        <v>45.0</v>
      </c>
      <c r="E64" s="19"/>
      <c r="F64" s="14" t="s">
        <v>120</v>
      </c>
    </row>
    <row r="65" ht="15.75" customHeight="1">
      <c r="B65" s="21"/>
      <c r="C65" s="34" t="s">
        <v>122</v>
      </c>
      <c r="D65" s="22">
        <v>50.0</v>
      </c>
      <c r="E65" s="19"/>
      <c r="F65" s="14"/>
    </row>
    <row r="66" ht="15.75" customHeight="1">
      <c r="B66" s="21"/>
      <c r="C66" s="34" t="s">
        <v>123</v>
      </c>
      <c r="D66" s="43">
        <v>0.01</v>
      </c>
      <c r="E66" s="19"/>
      <c r="F66" s="14" t="s">
        <v>124</v>
      </c>
      <c r="H66" s="7"/>
    </row>
    <row r="67" ht="15.75" customHeight="1">
      <c r="B67" s="21"/>
      <c r="C67" s="19" t="s">
        <v>125</v>
      </c>
      <c r="D67" s="38">
        <v>0.5</v>
      </c>
      <c r="E67" s="19"/>
      <c r="F67" s="14" t="s">
        <v>126</v>
      </c>
      <c r="H67" s="7"/>
    </row>
    <row r="68" ht="15.75" customHeight="1">
      <c r="B68" s="21"/>
      <c r="C68" s="19" t="s">
        <v>127</v>
      </c>
      <c r="D68" s="44">
        <v>0.98</v>
      </c>
      <c r="E68" s="19"/>
      <c r="F68" s="14" t="s">
        <v>128</v>
      </c>
    </row>
    <row r="69" ht="15.75" customHeight="1">
      <c r="B69" s="21"/>
      <c r="C69" s="34" t="s">
        <v>129</v>
      </c>
      <c r="D69" s="22">
        <v>15.0</v>
      </c>
      <c r="E69" s="19"/>
      <c r="F69" s="14" t="s">
        <v>102</v>
      </c>
    </row>
    <row r="70" ht="15.75" customHeight="1">
      <c r="B70" s="21"/>
      <c r="C70" s="34" t="s">
        <v>130</v>
      </c>
      <c r="D70" s="28">
        <f>(D69/3600)*D58</f>
        <v>0.003571428571</v>
      </c>
      <c r="E70" s="19"/>
      <c r="F70" s="14" t="s">
        <v>64</v>
      </c>
      <c r="G70" s="14" t="s">
        <v>131</v>
      </c>
    </row>
    <row r="71" ht="15.75" customHeight="1">
      <c r="B71" s="21"/>
      <c r="C71" s="39" t="s">
        <v>132</v>
      </c>
      <c r="D71" s="28">
        <f>(((D63/60)*(D59*D61))+((D64/60)*(D59*D62)))+((D69/60)*D59)</f>
        <v>0.004</v>
      </c>
      <c r="E71" s="19"/>
      <c r="F71" s="14" t="s">
        <v>64</v>
      </c>
      <c r="G71" s="14" t="s">
        <v>133</v>
      </c>
    </row>
    <row r="72" ht="15.75" customHeight="1">
      <c r="B72" s="21"/>
      <c r="C72" s="34" t="s">
        <v>134</v>
      </c>
      <c r="D72" s="28">
        <f>(((D63/3600)*(D58*D61)))</f>
        <v>0.003571428571</v>
      </c>
      <c r="E72" s="19"/>
      <c r="F72" s="14" t="s">
        <v>64</v>
      </c>
      <c r="G72" s="14" t="s">
        <v>135</v>
      </c>
    </row>
    <row r="73" ht="15.75" customHeight="1">
      <c r="B73" s="21"/>
      <c r="C73" s="39" t="s">
        <v>136</v>
      </c>
      <c r="D73" s="28">
        <f>(((D65/60)*(D67))*(D66*$D$16))/$D$16</f>
        <v>0.004166666667</v>
      </c>
      <c r="E73" s="19"/>
      <c r="F73" s="14" t="s">
        <v>64</v>
      </c>
      <c r="G73" s="14" t="s">
        <v>137</v>
      </c>
    </row>
    <row r="74" ht="15.75" customHeight="1">
      <c r="B74" s="21"/>
      <c r="C74" s="34" t="s">
        <v>138</v>
      </c>
      <c r="D74" s="28">
        <f>+((1-D68)*(($D$48-(($D$42/1000)*$D$27))+SUM(D70:D73)))</f>
        <v>0.0008293527836</v>
      </c>
      <c r="E74" s="19"/>
      <c r="F74" s="14" t="s">
        <v>64</v>
      </c>
      <c r="G74" s="14" t="s">
        <v>139</v>
      </c>
    </row>
    <row r="75" ht="15.75" customHeight="1">
      <c r="B75" s="1"/>
      <c r="C75" s="34" t="s">
        <v>140</v>
      </c>
      <c r="D75" s="31">
        <f>SUM(D70:D74)</f>
        <v>0.01613887659</v>
      </c>
      <c r="E75" s="19"/>
      <c r="F75" s="14" t="s">
        <v>64</v>
      </c>
      <c r="G75" s="14" t="s">
        <v>141</v>
      </c>
    </row>
    <row r="76" ht="15.75" customHeight="1">
      <c r="B76" s="18" t="s">
        <v>142</v>
      </c>
      <c r="C76" s="19" t="s">
        <v>92</v>
      </c>
      <c r="D76" s="20" t="s">
        <v>143</v>
      </c>
      <c r="E76" s="19"/>
      <c r="F76" s="32" t="s">
        <v>36</v>
      </c>
      <c r="H76" s="45"/>
    </row>
    <row r="77" ht="15.75" customHeight="1">
      <c r="B77" s="21"/>
      <c r="C77" s="19" t="s">
        <v>144</v>
      </c>
      <c r="D77" s="20">
        <v>440.0</v>
      </c>
      <c r="E77" s="19"/>
      <c r="F77" s="14" t="s">
        <v>53</v>
      </c>
    </row>
    <row r="78" ht="15.75" customHeight="1">
      <c r="B78" s="21"/>
      <c r="C78" s="19" t="s">
        <v>145</v>
      </c>
      <c r="D78" s="20">
        <v>2200.0</v>
      </c>
      <c r="E78" s="19"/>
      <c r="F78" s="14" t="s">
        <v>47</v>
      </c>
    </row>
    <row r="79" ht="15.75" customHeight="1">
      <c r="B79" s="21"/>
      <c r="C79" s="19" t="s">
        <v>146</v>
      </c>
      <c r="D79" s="20">
        <v>15.0</v>
      </c>
      <c r="E79" s="19"/>
      <c r="F79" s="14" t="s">
        <v>47</v>
      </c>
    </row>
    <row r="80" ht="15.75" customHeight="1">
      <c r="B80" s="21"/>
      <c r="C80" s="19" t="s">
        <v>147</v>
      </c>
      <c r="D80" s="20">
        <v>1.33</v>
      </c>
      <c r="E80" s="19"/>
      <c r="F80" s="14" t="s">
        <v>148</v>
      </c>
    </row>
    <row r="81" ht="15.75" customHeight="1">
      <c r="B81" s="21"/>
      <c r="C81" s="19" t="s">
        <v>96</v>
      </c>
      <c r="D81" s="33">
        <f>((($D$30^2)*D78*D77*D80)/D79)/9810</f>
        <v>34.99667006</v>
      </c>
      <c r="E81" s="19"/>
      <c r="F81" s="14" t="s">
        <v>149</v>
      </c>
      <c r="G81" s="14" t="s">
        <v>150</v>
      </c>
    </row>
    <row r="82" ht="15.75" customHeight="1">
      <c r="B82" s="21"/>
      <c r="C82" s="34" t="s">
        <v>151</v>
      </c>
      <c r="D82" s="33">
        <v>1.0</v>
      </c>
      <c r="E82" s="19"/>
      <c r="F82" s="14" t="s">
        <v>47</v>
      </c>
      <c r="G82" s="46"/>
    </row>
    <row r="83" ht="15.75" customHeight="1">
      <c r="B83" s="21"/>
      <c r="C83" s="34" t="s">
        <v>152</v>
      </c>
      <c r="D83" s="33">
        <f>D81*D82</f>
        <v>34.99667006</v>
      </c>
      <c r="E83" s="19"/>
      <c r="F83" s="14" t="s">
        <v>149</v>
      </c>
      <c r="G83" s="14" t="s">
        <v>153</v>
      </c>
    </row>
    <row r="84" ht="15.75" customHeight="1">
      <c r="B84" s="21"/>
      <c r="C84" s="34" t="s">
        <v>98</v>
      </c>
      <c r="D84" s="33">
        <f>D83*1.25</f>
        <v>43.74583758</v>
      </c>
      <c r="E84" s="19"/>
      <c r="F84" s="14" t="s">
        <v>149</v>
      </c>
      <c r="G84" s="14" t="s">
        <v>99</v>
      </c>
    </row>
    <row r="85" ht="15.75" customHeight="1">
      <c r="B85" s="21"/>
      <c r="C85" s="34" t="s">
        <v>100</v>
      </c>
      <c r="D85" s="35" t="s">
        <v>154</v>
      </c>
      <c r="E85" s="19"/>
      <c r="F85" s="14" t="s">
        <v>102</v>
      </c>
    </row>
    <row r="86" ht="15.75" customHeight="1">
      <c r="B86" s="21"/>
      <c r="C86" s="34" t="s">
        <v>103</v>
      </c>
      <c r="D86" s="20" t="s">
        <v>155</v>
      </c>
      <c r="E86" s="19"/>
      <c r="F86" s="14" t="s">
        <v>102</v>
      </c>
    </row>
    <row r="87" ht="15.75" customHeight="1">
      <c r="B87" s="21"/>
      <c r="C87" s="34" t="s">
        <v>105</v>
      </c>
      <c r="D87" s="20" t="s">
        <v>156</v>
      </c>
      <c r="E87" s="19"/>
      <c r="F87" s="14" t="s">
        <v>102</v>
      </c>
    </row>
    <row r="88" ht="15.75" customHeight="1">
      <c r="B88" s="21"/>
      <c r="C88" s="36" t="s">
        <v>107</v>
      </c>
      <c r="D88" s="35"/>
      <c r="E88" s="19"/>
      <c r="F88" s="14" t="s">
        <v>3</v>
      </c>
    </row>
    <row r="89" ht="15.75" customHeight="1">
      <c r="B89" s="21"/>
      <c r="C89" s="34" t="s">
        <v>108</v>
      </c>
      <c r="D89" s="38">
        <f>2+(D92*60)</f>
        <v>7</v>
      </c>
      <c r="E89" s="19"/>
      <c r="F89" s="14" t="s">
        <v>157</v>
      </c>
      <c r="G89" s="14"/>
    </row>
    <row r="90" ht="15.75" customHeight="1">
      <c r="B90" s="21"/>
      <c r="C90" s="39" t="s">
        <v>111</v>
      </c>
      <c r="D90" s="40">
        <f>(D91/$D$16)</f>
        <v>0.004</v>
      </c>
      <c r="E90" s="19"/>
      <c r="F90" s="14" t="s">
        <v>149</v>
      </c>
      <c r="G90" s="14" t="s">
        <v>158</v>
      </c>
    </row>
    <row r="91" ht="15.75" customHeight="1">
      <c r="B91" s="21"/>
      <c r="C91" s="19" t="s">
        <v>159</v>
      </c>
      <c r="D91" s="47">
        <v>10.0</v>
      </c>
      <c r="E91" s="19"/>
      <c r="F91" s="14" t="s">
        <v>160</v>
      </c>
    </row>
    <row r="92" ht="15.75" customHeight="1">
      <c r="B92" s="21"/>
      <c r="C92" s="34" t="s">
        <v>161</v>
      </c>
      <c r="D92" s="47">
        <f>(5/60)</f>
        <v>0.08333333333</v>
      </c>
      <c r="E92" s="19"/>
      <c r="F92" s="14" t="s">
        <v>162</v>
      </c>
    </row>
    <row r="93" ht="15.75" customHeight="1">
      <c r="B93" s="42" t="s">
        <v>118</v>
      </c>
      <c r="C93" s="39" t="s">
        <v>163</v>
      </c>
      <c r="D93" s="20">
        <v>1.0</v>
      </c>
      <c r="E93" s="19"/>
      <c r="F93" s="14" t="s">
        <v>102</v>
      </c>
    </row>
    <row r="94" ht="15.75" customHeight="1">
      <c r="B94" s="21"/>
      <c r="C94" s="34" t="s">
        <v>116</v>
      </c>
      <c r="D94" s="20">
        <v>0.0</v>
      </c>
      <c r="E94" s="19"/>
      <c r="F94" s="14" t="s">
        <v>117</v>
      </c>
    </row>
    <row r="95" ht="15.75" customHeight="1">
      <c r="B95" s="21"/>
      <c r="C95" s="39" t="s">
        <v>119</v>
      </c>
      <c r="D95" s="22">
        <v>30.0</v>
      </c>
      <c r="E95" s="19"/>
      <c r="F95" s="14" t="s">
        <v>120</v>
      </c>
    </row>
    <row r="96" ht="15.75" customHeight="1">
      <c r="B96" s="21"/>
      <c r="C96" s="34" t="s">
        <v>121</v>
      </c>
      <c r="D96" s="22">
        <v>45.0</v>
      </c>
      <c r="E96" s="19"/>
      <c r="F96" s="14" t="s">
        <v>120</v>
      </c>
    </row>
    <row r="97" ht="15.75" customHeight="1">
      <c r="B97" s="21"/>
      <c r="C97" s="34" t="s">
        <v>122</v>
      </c>
      <c r="D97" s="22">
        <v>50.0</v>
      </c>
      <c r="E97" s="19"/>
      <c r="F97" s="14"/>
    </row>
    <row r="98" ht="15.75" customHeight="1">
      <c r="B98" s="21"/>
      <c r="C98" s="34" t="s">
        <v>123</v>
      </c>
      <c r="D98" s="43">
        <v>0.01</v>
      </c>
      <c r="E98" s="19"/>
      <c r="F98" s="14" t="s">
        <v>124</v>
      </c>
    </row>
    <row r="99" ht="15.75" customHeight="1">
      <c r="B99" s="21"/>
      <c r="C99" s="19" t="s">
        <v>125</v>
      </c>
      <c r="D99" s="38">
        <v>0.5</v>
      </c>
      <c r="E99" s="19"/>
      <c r="F99" s="14" t="s">
        <v>126</v>
      </c>
    </row>
    <row r="100" ht="15.75" customHeight="1">
      <c r="B100" s="21"/>
      <c r="C100" s="19" t="s">
        <v>127</v>
      </c>
      <c r="D100" s="44">
        <v>0.98</v>
      </c>
      <c r="E100" s="19"/>
      <c r="F100" s="14" t="s">
        <v>128</v>
      </c>
    </row>
    <row r="101" ht="15.75" customHeight="1">
      <c r="B101" s="21"/>
      <c r="C101" s="34" t="s">
        <v>129</v>
      </c>
      <c r="D101" s="22">
        <v>15.0</v>
      </c>
      <c r="E101" s="19"/>
      <c r="F101" s="14" t="s">
        <v>102</v>
      </c>
    </row>
    <row r="102" ht="15.75" customHeight="1">
      <c r="B102" s="21"/>
      <c r="C102" s="34" t="s">
        <v>130</v>
      </c>
      <c r="D102" s="28">
        <f>(D101/3600)*D89</f>
        <v>0.02916666667</v>
      </c>
      <c r="E102" s="19"/>
      <c r="F102" s="14" t="s">
        <v>64</v>
      </c>
      <c r="G102" s="14" t="s">
        <v>131</v>
      </c>
    </row>
    <row r="103" ht="15.75" customHeight="1">
      <c r="B103" s="21"/>
      <c r="C103" s="39" t="s">
        <v>132</v>
      </c>
      <c r="D103" s="28">
        <f>(((D95/60)*(D90*D93))+((D96/60)*(D90*D94)))+((D101/60)*D90)</f>
        <v>0.003</v>
      </c>
      <c r="E103" s="19"/>
      <c r="F103" s="14" t="s">
        <v>64</v>
      </c>
      <c r="G103" s="14" t="s">
        <v>133</v>
      </c>
    </row>
    <row r="104" ht="15.75" customHeight="1">
      <c r="B104" s="21"/>
      <c r="C104" s="34" t="s">
        <v>134</v>
      </c>
      <c r="D104" s="28">
        <f>(((D95/3060)*(D89*D93)))</f>
        <v>0.06862745098</v>
      </c>
      <c r="E104" s="19"/>
      <c r="F104" s="14" t="s">
        <v>64</v>
      </c>
      <c r="G104" s="14" t="s">
        <v>135</v>
      </c>
    </row>
    <row r="105" ht="15.75" customHeight="1">
      <c r="B105" s="21"/>
      <c r="C105" s="39" t="s">
        <v>136</v>
      </c>
      <c r="D105" s="28">
        <f>(((D97/60)*(D99))*(D98*$D$16))/$D$16</f>
        <v>0.004166666667</v>
      </c>
      <c r="E105" s="19"/>
      <c r="F105" s="14" t="s">
        <v>64</v>
      </c>
      <c r="G105" s="14" t="s">
        <v>137</v>
      </c>
    </row>
    <row r="106" ht="15.75" customHeight="1">
      <c r="B106" s="21"/>
      <c r="C106" s="34" t="s">
        <v>138</v>
      </c>
      <c r="D106" s="28">
        <f>+((1-D100)*(($D$48-(($D$42/1000)*$D$27))+SUM(D102:D105)))</f>
        <v>0.002622377994</v>
      </c>
      <c r="E106" s="19"/>
      <c r="F106" s="14" t="s">
        <v>64</v>
      </c>
      <c r="G106" s="14" t="s">
        <v>139</v>
      </c>
    </row>
    <row r="107" ht="15.75" customHeight="1">
      <c r="B107" s="1"/>
      <c r="C107" s="34" t="s">
        <v>140</v>
      </c>
      <c r="D107" s="31">
        <f>SUM(D102:D106)</f>
        <v>0.1075831623</v>
      </c>
      <c r="E107" s="19"/>
      <c r="F107" s="14" t="s">
        <v>64</v>
      </c>
      <c r="G107" s="14" t="s">
        <v>141</v>
      </c>
    </row>
    <row r="108" ht="15.75" customHeight="1">
      <c r="D108" s="4"/>
      <c r="E108" s="7"/>
    </row>
    <row r="109" ht="15.75" customHeight="1">
      <c r="D109" s="4"/>
      <c r="E109" s="7"/>
    </row>
    <row r="110" ht="15.75" customHeight="1">
      <c r="D110" s="4"/>
      <c r="E110" s="7"/>
    </row>
    <row r="111" ht="15.75" customHeight="1">
      <c r="D111" s="4"/>
      <c r="E111" s="7"/>
    </row>
    <row r="112" ht="15.75" customHeight="1">
      <c r="D112" s="4"/>
      <c r="E112" s="7"/>
    </row>
    <row r="113" ht="15.75" customHeight="1">
      <c r="D113" s="4"/>
      <c r="E113" s="7"/>
    </row>
    <row r="114" ht="15.75" customHeight="1">
      <c r="D114" s="4"/>
      <c r="E114" s="7"/>
    </row>
    <row r="115" ht="15.75" customHeight="1">
      <c r="D115" s="4"/>
      <c r="E115" s="7"/>
    </row>
    <row r="116" ht="15.75" customHeight="1">
      <c r="D116" s="4"/>
      <c r="E116" s="7"/>
    </row>
    <row r="117" ht="15.75" customHeight="1">
      <c r="D117" s="4"/>
      <c r="E117" s="7"/>
    </row>
    <row r="118" ht="15.75" customHeight="1">
      <c r="D118" s="4"/>
      <c r="E118" s="7"/>
    </row>
    <row r="119" ht="15.75" customHeight="1">
      <c r="D119" s="4"/>
      <c r="E119" s="7"/>
    </row>
    <row r="120" ht="15.75" customHeight="1">
      <c r="D120" s="4"/>
      <c r="E120" s="7"/>
    </row>
    <row r="121" ht="15.75" customHeight="1">
      <c r="D121" s="4"/>
      <c r="E121" s="7"/>
    </row>
    <row r="122" ht="15.75" customHeight="1">
      <c r="D122" s="4"/>
      <c r="E122" s="7"/>
    </row>
    <row r="123" ht="15.75" customHeight="1">
      <c r="D123" s="4"/>
      <c r="E123" s="7"/>
    </row>
    <row r="124" ht="15.75" customHeight="1">
      <c r="D124" s="4"/>
      <c r="E124" s="7"/>
    </row>
    <row r="125" ht="15.75" customHeight="1">
      <c r="D125" s="4"/>
      <c r="E125" s="7"/>
    </row>
    <row r="126" ht="15.75" customHeight="1">
      <c r="D126" s="4"/>
      <c r="E126" s="7"/>
    </row>
    <row r="127" ht="15.75" customHeight="1">
      <c r="D127" s="4"/>
      <c r="E127" s="7"/>
    </row>
    <row r="128" ht="15.75" customHeight="1">
      <c r="D128" s="4"/>
      <c r="E128" s="7"/>
    </row>
    <row r="129" ht="15.75" customHeight="1">
      <c r="D129" s="4"/>
      <c r="E129" s="7"/>
    </row>
    <row r="130" ht="15.75" customHeight="1">
      <c r="D130" s="4"/>
      <c r="E130" s="7"/>
    </row>
    <row r="131" ht="15.75" customHeight="1">
      <c r="D131" s="4"/>
      <c r="E131" s="7"/>
    </row>
    <row r="132" ht="15.75" customHeight="1">
      <c r="D132" s="4"/>
      <c r="E132" s="7"/>
    </row>
    <row r="133" ht="15.75" customHeight="1">
      <c r="D133" s="4"/>
      <c r="E133" s="7"/>
    </row>
    <row r="134" ht="15.75" customHeight="1">
      <c r="D134" s="4"/>
      <c r="E134" s="7"/>
    </row>
    <row r="135" ht="15.75" customHeight="1">
      <c r="D135" s="4"/>
      <c r="E135" s="7"/>
    </row>
    <row r="136" ht="15.75" customHeight="1">
      <c r="D136" s="4"/>
      <c r="E136" s="7"/>
    </row>
    <row r="137" ht="15.75" customHeight="1">
      <c r="D137" s="4"/>
      <c r="E137" s="7"/>
    </row>
    <row r="138" ht="15.75" customHeight="1">
      <c r="D138" s="4"/>
      <c r="E138" s="7"/>
    </row>
    <row r="139" ht="15.75" customHeight="1">
      <c r="D139" s="4"/>
      <c r="E139" s="7"/>
    </row>
    <row r="140" ht="15.75" customHeight="1">
      <c r="D140" s="4"/>
      <c r="E140" s="7"/>
    </row>
    <row r="141" ht="15.75" customHeight="1">
      <c r="D141" s="4"/>
      <c r="E141" s="7"/>
    </row>
    <row r="142" ht="15.75" customHeight="1">
      <c r="D142" s="4"/>
      <c r="E142" s="7"/>
    </row>
    <row r="143" ht="15.75" customHeight="1">
      <c r="D143" s="4"/>
      <c r="E143" s="7"/>
    </row>
    <row r="144" ht="15.75" customHeight="1">
      <c r="D144" s="4"/>
      <c r="E144" s="7"/>
    </row>
    <row r="145" ht="15.75" customHeight="1">
      <c r="D145" s="4"/>
      <c r="E145" s="7"/>
    </row>
    <row r="146" ht="15.75" customHeight="1">
      <c r="D146" s="4"/>
      <c r="E146" s="7"/>
    </row>
    <row r="147" ht="15.75" customHeight="1">
      <c r="D147" s="4"/>
      <c r="E147" s="7"/>
    </row>
    <row r="148" ht="15.75" customHeight="1">
      <c r="D148" s="4"/>
      <c r="E148" s="7"/>
    </row>
    <row r="149" ht="15.75" customHeight="1">
      <c r="D149" s="4"/>
      <c r="E149" s="7"/>
    </row>
    <row r="150" ht="15.75" customHeight="1">
      <c r="D150" s="4"/>
      <c r="E150" s="7"/>
    </row>
    <row r="151" ht="15.75" customHeight="1">
      <c r="D151" s="4"/>
      <c r="E151" s="7"/>
    </row>
    <row r="152" ht="15.75" customHeight="1">
      <c r="D152" s="4"/>
      <c r="E152" s="7"/>
    </row>
    <row r="153" ht="15.75" customHeight="1">
      <c r="D153" s="4"/>
      <c r="E153" s="7"/>
    </row>
    <row r="154" ht="15.75" customHeight="1">
      <c r="D154" s="4"/>
      <c r="E154" s="7"/>
    </row>
    <row r="155" ht="15.75" customHeight="1">
      <c r="D155" s="4"/>
      <c r="E155" s="7"/>
    </row>
    <row r="156" ht="15.75" customHeight="1">
      <c r="D156" s="4"/>
      <c r="E156" s="7"/>
    </row>
    <row r="157" ht="15.75" customHeight="1">
      <c r="D157" s="4"/>
      <c r="E157" s="7"/>
    </row>
    <row r="158" ht="15.75" customHeight="1">
      <c r="D158" s="4"/>
      <c r="E158" s="7"/>
    </row>
    <row r="159" ht="15.75" customHeight="1">
      <c r="D159" s="4"/>
      <c r="E159" s="7"/>
    </row>
    <row r="160" ht="15.75" customHeight="1">
      <c r="D160" s="4"/>
      <c r="E160" s="7"/>
    </row>
    <row r="161" ht="15.75" customHeight="1">
      <c r="D161" s="4"/>
      <c r="E161" s="7"/>
    </row>
    <row r="162" ht="15.75" customHeight="1">
      <c r="D162" s="4"/>
      <c r="E162" s="7"/>
    </row>
    <row r="163" ht="15.75" customHeight="1">
      <c r="D163" s="4"/>
      <c r="E163" s="7"/>
    </row>
    <row r="164" ht="15.75" customHeight="1">
      <c r="D164" s="4"/>
      <c r="E164" s="7"/>
    </row>
    <row r="165" ht="15.75" customHeight="1">
      <c r="D165" s="4"/>
      <c r="E165" s="7"/>
    </row>
    <row r="166" ht="15.75" customHeight="1">
      <c r="D166" s="4"/>
      <c r="E166" s="7"/>
    </row>
    <row r="167" ht="15.75" customHeight="1">
      <c r="D167" s="4"/>
      <c r="E167" s="7"/>
    </row>
    <row r="168" ht="15.75" customHeight="1">
      <c r="D168" s="4"/>
      <c r="E168" s="7"/>
    </row>
    <row r="169" ht="15.75" customHeight="1">
      <c r="D169" s="4"/>
      <c r="E169" s="7"/>
    </row>
    <row r="170" ht="15.75" customHeight="1">
      <c r="D170" s="4"/>
      <c r="E170" s="7"/>
    </row>
    <row r="171" ht="15.75" customHeight="1">
      <c r="D171" s="4"/>
      <c r="E171" s="7"/>
    </row>
    <row r="172" ht="15.75" customHeight="1">
      <c r="D172" s="4"/>
      <c r="E172" s="7"/>
    </row>
    <row r="173" ht="15.75" customHeight="1">
      <c r="D173" s="4"/>
      <c r="E173" s="7"/>
    </row>
    <row r="174" ht="15.75" customHeight="1">
      <c r="D174" s="4"/>
      <c r="E174" s="7"/>
    </row>
    <row r="175" ht="15.75" customHeight="1">
      <c r="D175" s="4"/>
      <c r="E175" s="7"/>
    </row>
    <row r="176" ht="15.75" customHeight="1">
      <c r="D176" s="4"/>
      <c r="E176" s="7"/>
    </row>
    <row r="177" ht="15.75" customHeight="1">
      <c r="D177" s="4"/>
      <c r="E177" s="7"/>
    </row>
    <row r="178" ht="15.75" customHeight="1">
      <c r="D178" s="4"/>
      <c r="E178" s="7"/>
    </row>
    <row r="179" ht="15.75" customHeight="1">
      <c r="D179" s="4"/>
      <c r="E179" s="7"/>
    </row>
    <row r="180" ht="15.75" customHeight="1">
      <c r="D180" s="4"/>
      <c r="E180" s="7"/>
    </row>
    <row r="181" ht="15.75" customHeight="1">
      <c r="D181" s="4"/>
      <c r="E181" s="7"/>
    </row>
    <row r="182" ht="15.75" customHeight="1">
      <c r="D182" s="4"/>
      <c r="E182" s="7"/>
    </row>
    <row r="183" ht="15.75" customHeight="1">
      <c r="D183" s="4"/>
      <c r="E183" s="7"/>
    </row>
    <row r="184" ht="15.75" customHeight="1">
      <c r="D184" s="4"/>
      <c r="E184" s="7"/>
    </row>
    <row r="185" ht="15.75" customHeight="1">
      <c r="D185" s="4"/>
      <c r="E185" s="7"/>
    </row>
    <row r="186" ht="15.75" customHeight="1">
      <c r="D186" s="4"/>
      <c r="E186" s="7"/>
    </row>
    <row r="187" ht="15.75" customHeight="1">
      <c r="D187" s="4"/>
      <c r="E187" s="7"/>
    </row>
    <row r="188" ht="15.75" customHeight="1">
      <c r="D188" s="4"/>
      <c r="E188" s="7"/>
    </row>
    <row r="189" ht="15.75" customHeight="1">
      <c r="D189" s="4"/>
      <c r="E189" s="7"/>
    </row>
    <row r="190" ht="15.75" customHeight="1">
      <c r="D190" s="4"/>
      <c r="E190" s="7"/>
    </row>
    <row r="191" ht="15.75" customHeight="1">
      <c r="D191" s="4"/>
      <c r="E191" s="7"/>
    </row>
    <row r="192" ht="15.75" customHeight="1">
      <c r="D192" s="4"/>
      <c r="E192" s="7"/>
    </row>
    <row r="193" ht="15.75" customHeight="1">
      <c r="D193" s="4"/>
      <c r="E193" s="7"/>
    </row>
    <row r="194" ht="15.75" customHeight="1">
      <c r="D194" s="4"/>
      <c r="E194" s="7"/>
    </row>
    <row r="195" ht="15.75" customHeight="1">
      <c r="D195" s="4"/>
      <c r="E195" s="7"/>
    </row>
    <row r="196" ht="15.75" customHeight="1">
      <c r="D196" s="4"/>
      <c r="E196" s="7"/>
    </row>
    <row r="197" ht="15.75" customHeight="1">
      <c r="D197" s="4"/>
      <c r="E197" s="7"/>
    </row>
    <row r="198" ht="15.75" customHeight="1">
      <c r="D198" s="4"/>
      <c r="E198" s="7"/>
    </row>
    <row r="199" ht="15.75" customHeight="1">
      <c r="D199" s="4"/>
      <c r="E199" s="7"/>
    </row>
    <row r="200" ht="15.75" customHeight="1">
      <c r="D200" s="4"/>
      <c r="E200" s="7"/>
    </row>
    <row r="201" ht="15.75" customHeight="1">
      <c r="D201" s="4"/>
      <c r="E201" s="7"/>
    </row>
    <row r="202" ht="15.75" customHeight="1">
      <c r="D202" s="4"/>
      <c r="E202" s="7"/>
    </row>
    <row r="203" ht="15.75" customHeight="1">
      <c r="D203" s="4"/>
      <c r="E203" s="7"/>
    </row>
    <row r="204" ht="15.75" customHeight="1">
      <c r="D204" s="4"/>
      <c r="E204" s="7"/>
    </row>
    <row r="205" ht="15.75" customHeight="1">
      <c r="D205" s="4"/>
      <c r="E205" s="7"/>
    </row>
    <row r="206" ht="15.75" customHeight="1">
      <c r="D206" s="4"/>
      <c r="E206" s="7"/>
    </row>
    <row r="207" ht="15.75" customHeight="1">
      <c r="D207" s="4"/>
      <c r="E207" s="7"/>
    </row>
    <row r="208" ht="15.75" customHeight="1">
      <c r="D208" s="4"/>
      <c r="E208" s="7"/>
    </row>
    <row r="209" ht="15.75" customHeight="1">
      <c r="D209" s="4"/>
      <c r="E209" s="7"/>
    </row>
    <row r="210" ht="15.75" customHeight="1">
      <c r="D210" s="4"/>
      <c r="E210" s="7"/>
    </row>
    <row r="211" ht="15.75" customHeight="1">
      <c r="D211" s="4"/>
      <c r="E211" s="7"/>
    </row>
    <row r="212" ht="15.75" customHeight="1">
      <c r="D212" s="4"/>
      <c r="E212" s="7"/>
    </row>
    <row r="213" ht="15.75" customHeight="1">
      <c r="D213" s="4"/>
      <c r="E213" s="7"/>
    </row>
    <row r="214" ht="15.75" customHeight="1">
      <c r="D214" s="4"/>
      <c r="E214" s="7"/>
    </row>
    <row r="215" ht="15.75" customHeight="1">
      <c r="D215" s="4"/>
      <c r="E215" s="7"/>
    </row>
    <row r="216" ht="15.75" customHeight="1">
      <c r="D216" s="4"/>
      <c r="E216" s="7"/>
    </row>
    <row r="217" ht="15.75" customHeight="1">
      <c r="D217" s="4"/>
      <c r="E217" s="7"/>
    </row>
    <row r="218" ht="15.75" customHeight="1">
      <c r="D218" s="4"/>
      <c r="E218" s="7"/>
    </row>
    <row r="219" ht="15.75" customHeight="1">
      <c r="D219" s="4"/>
      <c r="E219" s="7"/>
    </row>
    <row r="220" ht="15.75" customHeight="1">
      <c r="D220" s="4"/>
      <c r="E220" s="7"/>
    </row>
    <row r="221" ht="15.75" customHeight="1">
      <c r="D221" s="4"/>
      <c r="E221" s="7"/>
    </row>
    <row r="222" ht="15.75" customHeight="1">
      <c r="D222" s="4"/>
      <c r="E222" s="7"/>
    </row>
    <row r="223" ht="15.75" customHeight="1">
      <c r="D223" s="4"/>
      <c r="E223" s="7"/>
    </row>
    <row r="224" ht="15.75" customHeight="1">
      <c r="D224" s="4"/>
      <c r="E224" s="7"/>
    </row>
    <row r="225" ht="15.75" customHeight="1">
      <c r="D225" s="4"/>
      <c r="E225" s="7"/>
    </row>
    <row r="226" ht="15.75" customHeight="1">
      <c r="D226" s="4"/>
      <c r="E226" s="7"/>
    </row>
    <row r="227" ht="15.75" customHeight="1">
      <c r="D227" s="4"/>
      <c r="E227" s="7"/>
    </row>
    <row r="228" ht="15.75" customHeight="1">
      <c r="D228" s="4"/>
      <c r="E228" s="7"/>
    </row>
    <row r="229" ht="15.75" customHeight="1">
      <c r="D229" s="4"/>
      <c r="E229" s="7"/>
    </row>
    <row r="230" ht="15.75" customHeight="1">
      <c r="D230" s="4"/>
      <c r="E230" s="7"/>
    </row>
    <row r="231" ht="15.75" customHeight="1">
      <c r="D231" s="4"/>
      <c r="E231" s="7"/>
    </row>
    <row r="232" ht="15.75" customHeight="1">
      <c r="D232" s="4"/>
      <c r="E232" s="7"/>
    </row>
    <row r="233" ht="15.75" customHeight="1">
      <c r="D233" s="4"/>
      <c r="E233" s="7"/>
    </row>
    <row r="234" ht="15.75" customHeight="1">
      <c r="D234" s="4"/>
      <c r="E234" s="7"/>
    </row>
    <row r="235" ht="15.75" customHeight="1">
      <c r="D235" s="4"/>
      <c r="E235" s="7"/>
    </row>
    <row r="236" ht="15.75" customHeight="1">
      <c r="D236" s="4"/>
      <c r="E236" s="7"/>
    </row>
    <row r="237" ht="15.75" customHeight="1">
      <c r="D237" s="4"/>
      <c r="E237" s="7"/>
    </row>
    <row r="238" ht="15.75" customHeight="1">
      <c r="D238" s="4"/>
      <c r="E238" s="7"/>
    </row>
    <row r="239" ht="15.75" customHeight="1">
      <c r="D239" s="4"/>
      <c r="E239" s="7"/>
    </row>
    <row r="240" ht="15.75" customHeight="1">
      <c r="D240" s="4"/>
      <c r="E240" s="7"/>
    </row>
    <row r="241" ht="15.75" customHeight="1">
      <c r="D241" s="4"/>
      <c r="E241" s="7"/>
    </row>
    <row r="242" ht="15.75" customHeight="1">
      <c r="D242" s="4"/>
      <c r="E242" s="7"/>
    </row>
    <row r="243" ht="15.75" customHeight="1">
      <c r="D243" s="4"/>
      <c r="E243" s="7"/>
    </row>
    <row r="244" ht="15.75" customHeight="1">
      <c r="D244" s="4"/>
      <c r="E244" s="7"/>
    </row>
    <row r="245" ht="15.75" customHeight="1">
      <c r="D245" s="4"/>
      <c r="E245" s="7"/>
    </row>
    <row r="246" ht="15.75" customHeight="1">
      <c r="D246" s="4"/>
      <c r="E246" s="7"/>
    </row>
    <row r="247" ht="15.75" customHeight="1">
      <c r="D247" s="4"/>
      <c r="E247" s="7"/>
    </row>
    <row r="248" ht="15.75" customHeight="1">
      <c r="D248" s="4"/>
      <c r="E248" s="7"/>
    </row>
    <row r="249" ht="15.75" customHeight="1">
      <c r="D249" s="4"/>
      <c r="E249" s="7"/>
    </row>
    <row r="250" ht="15.75" customHeight="1">
      <c r="D250" s="4"/>
      <c r="E250" s="7"/>
    </row>
    <row r="251" ht="15.75" customHeight="1">
      <c r="D251" s="4"/>
      <c r="E251" s="7"/>
    </row>
    <row r="252" ht="15.75" customHeight="1">
      <c r="D252" s="4"/>
      <c r="E252" s="7"/>
    </row>
    <row r="253" ht="15.75" customHeight="1">
      <c r="D253" s="4"/>
      <c r="E253" s="7"/>
    </row>
    <row r="254" ht="15.75" customHeight="1">
      <c r="D254" s="4"/>
      <c r="E254" s="7"/>
    </row>
    <row r="255" ht="15.75" customHeight="1">
      <c r="D255" s="4"/>
      <c r="E255" s="7"/>
    </row>
    <row r="256" ht="15.75" customHeight="1">
      <c r="D256" s="4"/>
      <c r="E256" s="7"/>
    </row>
    <row r="257" ht="15.75" customHeight="1">
      <c r="D257" s="4"/>
      <c r="E257" s="7"/>
    </row>
    <row r="258" ht="15.75" customHeight="1">
      <c r="D258" s="4"/>
      <c r="E258" s="7"/>
    </row>
    <row r="259" ht="15.75" customHeight="1">
      <c r="D259" s="4"/>
      <c r="E259" s="7"/>
    </row>
    <row r="260" ht="15.75" customHeight="1">
      <c r="D260" s="4"/>
      <c r="E260" s="7"/>
    </row>
    <row r="261" ht="15.75" customHeight="1">
      <c r="D261" s="4"/>
      <c r="E261" s="7"/>
    </row>
    <row r="262" ht="15.75" customHeight="1">
      <c r="D262" s="4"/>
      <c r="E262" s="7"/>
    </row>
    <row r="263" ht="15.75" customHeight="1">
      <c r="D263" s="4"/>
      <c r="E263" s="7"/>
    </row>
    <row r="264" ht="15.75" customHeight="1">
      <c r="D264" s="4"/>
      <c r="E264" s="7"/>
    </row>
    <row r="265" ht="15.75" customHeight="1">
      <c r="D265" s="4"/>
      <c r="E265" s="7"/>
    </row>
    <row r="266" ht="15.75" customHeight="1">
      <c r="D266" s="4"/>
      <c r="E266" s="7"/>
    </row>
    <row r="267" ht="15.75" customHeight="1">
      <c r="D267" s="4"/>
      <c r="E267" s="7"/>
    </row>
    <row r="268" ht="15.75" customHeight="1">
      <c r="D268" s="4"/>
      <c r="E268" s="7"/>
    </row>
    <row r="269" ht="15.75" customHeight="1">
      <c r="D269" s="4"/>
      <c r="E269" s="7"/>
    </row>
    <row r="270" ht="15.75" customHeight="1">
      <c r="D270" s="4"/>
      <c r="E270" s="7"/>
    </row>
    <row r="271" ht="15.75" customHeight="1">
      <c r="D271" s="4"/>
      <c r="E271" s="7"/>
    </row>
    <row r="272" ht="15.75" customHeight="1">
      <c r="D272" s="4"/>
      <c r="E272" s="7"/>
    </row>
    <row r="273" ht="15.75" customHeight="1">
      <c r="D273" s="4"/>
      <c r="E273" s="7"/>
    </row>
    <row r="274" ht="15.75" customHeight="1">
      <c r="D274" s="4"/>
      <c r="E274" s="7"/>
    </row>
    <row r="275" ht="15.75" customHeight="1">
      <c r="D275" s="4"/>
      <c r="E275" s="7"/>
    </row>
    <row r="276" ht="15.75" customHeight="1">
      <c r="D276" s="4"/>
      <c r="E276" s="7"/>
    </row>
    <row r="277" ht="15.75" customHeight="1">
      <c r="D277" s="4"/>
      <c r="E277" s="7"/>
    </row>
    <row r="278" ht="15.75" customHeight="1">
      <c r="D278" s="4"/>
      <c r="E278" s="7"/>
    </row>
    <row r="279" ht="15.75" customHeight="1">
      <c r="D279" s="4"/>
      <c r="E279" s="7"/>
    </row>
    <row r="280" ht="15.75" customHeight="1">
      <c r="D280" s="4"/>
      <c r="E280" s="7"/>
    </row>
    <row r="281" ht="15.75" customHeight="1">
      <c r="D281" s="4"/>
      <c r="E281" s="7"/>
    </row>
    <row r="282" ht="15.75" customHeight="1">
      <c r="D282" s="4"/>
      <c r="E282" s="7"/>
    </row>
    <row r="283" ht="15.75" customHeight="1">
      <c r="D283" s="4"/>
      <c r="E283" s="7"/>
    </row>
    <row r="284" ht="15.75" customHeight="1">
      <c r="D284" s="4"/>
      <c r="E284" s="7"/>
    </row>
    <row r="285" ht="15.75" customHeight="1">
      <c r="D285" s="4"/>
      <c r="E285" s="7"/>
    </row>
    <row r="286" ht="15.75" customHeight="1">
      <c r="D286" s="4"/>
      <c r="E286" s="7"/>
    </row>
    <row r="287" ht="15.75" customHeight="1">
      <c r="D287" s="4"/>
      <c r="E287" s="7"/>
    </row>
    <row r="288" ht="15.75" customHeight="1">
      <c r="D288" s="4"/>
      <c r="E288" s="7"/>
    </row>
    <row r="289" ht="15.75" customHeight="1">
      <c r="D289" s="4"/>
      <c r="E289" s="7"/>
    </row>
    <row r="290" ht="15.75" customHeight="1">
      <c r="D290" s="4"/>
      <c r="E290" s="7"/>
    </row>
    <row r="291" ht="15.75" customHeight="1">
      <c r="D291" s="4"/>
      <c r="E291" s="7"/>
    </row>
    <row r="292" ht="15.75" customHeight="1">
      <c r="D292" s="4"/>
      <c r="E292" s="7"/>
    </row>
    <row r="293" ht="15.75" customHeight="1">
      <c r="D293" s="4"/>
      <c r="E293" s="7"/>
    </row>
    <row r="294" ht="15.75" customHeight="1">
      <c r="D294" s="4"/>
      <c r="E294" s="7"/>
    </row>
    <row r="295" ht="15.75" customHeight="1">
      <c r="D295" s="4"/>
      <c r="E295" s="7"/>
    </row>
    <row r="296" ht="15.75" customHeight="1">
      <c r="D296" s="4"/>
      <c r="E296" s="7"/>
    </row>
    <row r="297" ht="15.75" customHeight="1">
      <c r="D297" s="4"/>
      <c r="E297" s="7"/>
    </row>
    <row r="298" ht="15.75" customHeight="1">
      <c r="D298" s="4"/>
      <c r="E298" s="7"/>
    </row>
    <row r="299" ht="15.75" customHeight="1">
      <c r="D299" s="4"/>
      <c r="E299" s="7"/>
    </row>
    <row r="300" ht="15.75" customHeight="1">
      <c r="D300" s="4"/>
      <c r="E300" s="7"/>
    </row>
    <row r="301" ht="15.75" customHeight="1">
      <c r="D301" s="4"/>
      <c r="E301" s="7"/>
    </row>
    <row r="302" ht="15.75" customHeight="1">
      <c r="D302" s="4"/>
      <c r="E302" s="7"/>
    </row>
    <row r="303" ht="15.75" customHeight="1">
      <c r="D303" s="4"/>
      <c r="E303" s="7"/>
    </row>
    <row r="304" ht="15.75" customHeight="1">
      <c r="D304" s="4"/>
      <c r="E304" s="7"/>
    </row>
    <row r="305" ht="15.75" customHeight="1">
      <c r="D305" s="4"/>
      <c r="E305" s="7"/>
    </row>
    <row r="306" ht="15.75" customHeight="1">
      <c r="D306" s="4"/>
      <c r="E306" s="7"/>
    </row>
    <row r="307" ht="15.75" customHeight="1">
      <c r="D307" s="4"/>
      <c r="E307" s="7"/>
    </row>
    <row r="308" ht="15.75" customHeight="1">
      <c r="D308" s="4"/>
      <c r="E308" s="7"/>
    </row>
    <row r="309" ht="15.75" customHeight="1">
      <c r="D309" s="4"/>
      <c r="E309" s="7"/>
    </row>
    <row r="310" ht="15.75" customHeight="1">
      <c r="D310" s="4"/>
      <c r="E310" s="7"/>
    </row>
    <row r="311" ht="15.75" customHeight="1">
      <c r="D311" s="4"/>
      <c r="E311" s="7"/>
    </row>
    <row r="312" ht="15.75" customHeight="1">
      <c r="D312" s="4"/>
      <c r="E312" s="7"/>
    </row>
    <row r="313" ht="15.75" customHeight="1">
      <c r="D313" s="4"/>
      <c r="E313" s="7"/>
    </row>
    <row r="314" ht="15.75" customHeight="1">
      <c r="D314" s="4"/>
      <c r="E314" s="7"/>
    </row>
    <row r="315" ht="15.75" customHeight="1">
      <c r="D315" s="4"/>
      <c r="E315" s="7"/>
    </row>
    <row r="316" ht="15.75" customHeight="1">
      <c r="D316" s="4"/>
      <c r="E316" s="7"/>
    </row>
    <row r="317" ht="15.75" customHeight="1">
      <c r="D317" s="4"/>
      <c r="E317" s="7"/>
    </row>
    <row r="318" ht="15.75" customHeight="1">
      <c r="D318" s="4"/>
      <c r="E318" s="7"/>
    </row>
    <row r="319" ht="15.75" customHeight="1">
      <c r="D319" s="4"/>
      <c r="E319" s="7"/>
    </row>
    <row r="320" ht="15.75" customHeight="1">
      <c r="D320" s="4"/>
      <c r="E320" s="7"/>
    </row>
    <row r="321" ht="15.75" customHeight="1">
      <c r="D321" s="4"/>
      <c r="E321" s="7"/>
    </row>
    <row r="322" ht="15.75" customHeight="1">
      <c r="D322" s="4"/>
      <c r="E322" s="7"/>
    </row>
    <row r="323" ht="15.75" customHeight="1">
      <c r="D323" s="4"/>
      <c r="E323" s="7"/>
    </row>
    <row r="324" ht="15.75" customHeight="1">
      <c r="D324" s="4"/>
      <c r="E324" s="7"/>
    </row>
    <row r="325" ht="15.75" customHeight="1">
      <c r="D325" s="4"/>
      <c r="E325" s="7"/>
    </row>
    <row r="326" ht="15.75" customHeight="1">
      <c r="D326" s="4"/>
      <c r="E326" s="7"/>
    </row>
    <row r="327" ht="15.75" customHeight="1">
      <c r="D327" s="4"/>
      <c r="E327" s="7"/>
    </row>
    <row r="328" ht="15.75" customHeight="1">
      <c r="D328" s="4"/>
      <c r="E328" s="7"/>
    </row>
    <row r="329" ht="15.75" customHeight="1">
      <c r="D329" s="4"/>
      <c r="E329" s="7"/>
    </row>
    <row r="330" ht="15.75" customHeight="1">
      <c r="D330" s="4"/>
      <c r="E330" s="7"/>
    </row>
    <row r="331" ht="15.75" customHeight="1">
      <c r="D331" s="4"/>
      <c r="E331" s="7"/>
    </row>
    <row r="332" ht="15.75" customHeight="1">
      <c r="D332" s="4"/>
      <c r="E332" s="7"/>
    </row>
    <row r="333" ht="15.75" customHeight="1">
      <c r="D333" s="4"/>
      <c r="E333" s="7"/>
    </row>
    <row r="334" ht="15.75" customHeight="1">
      <c r="D334" s="4"/>
      <c r="E334" s="7"/>
    </row>
    <row r="335" ht="15.75" customHeight="1">
      <c r="D335" s="4"/>
      <c r="E335" s="7"/>
    </row>
    <row r="336" ht="15.75" customHeight="1">
      <c r="D336" s="4"/>
      <c r="E336" s="7"/>
    </row>
    <row r="337" ht="15.75" customHeight="1">
      <c r="D337" s="4"/>
      <c r="E337" s="7"/>
    </row>
    <row r="338" ht="15.75" customHeight="1">
      <c r="D338" s="4"/>
      <c r="E338" s="7"/>
    </row>
    <row r="339" ht="15.75" customHeight="1">
      <c r="D339" s="4"/>
      <c r="E339" s="7"/>
    </row>
    <row r="340" ht="15.75" customHeight="1">
      <c r="D340" s="4"/>
      <c r="E340" s="7"/>
    </row>
    <row r="341" ht="15.75" customHeight="1">
      <c r="D341" s="4"/>
      <c r="E341" s="7"/>
    </row>
    <row r="342" ht="15.75" customHeight="1">
      <c r="D342" s="4"/>
      <c r="E342" s="7"/>
    </row>
    <row r="343" ht="15.75" customHeight="1">
      <c r="D343" s="4"/>
      <c r="E343" s="7"/>
    </row>
    <row r="344" ht="15.75" customHeight="1">
      <c r="D344" s="4"/>
      <c r="E344" s="7"/>
    </row>
    <row r="345" ht="15.75" customHeight="1">
      <c r="D345" s="4"/>
      <c r="E345" s="7"/>
    </row>
    <row r="346" ht="15.75" customHeight="1">
      <c r="D346" s="4"/>
      <c r="E346" s="7"/>
    </row>
    <row r="347" ht="15.75" customHeight="1">
      <c r="D347" s="4"/>
      <c r="E347" s="7"/>
    </row>
    <row r="348" ht="15.75" customHeight="1">
      <c r="D348" s="4"/>
      <c r="E348" s="7"/>
    </row>
    <row r="349" ht="15.75" customHeight="1">
      <c r="D349" s="4"/>
      <c r="E349" s="7"/>
    </row>
    <row r="350" ht="15.75" customHeight="1">
      <c r="D350" s="4"/>
      <c r="E350" s="7"/>
    </row>
    <row r="351" ht="15.75" customHeight="1">
      <c r="D351" s="4"/>
      <c r="E351" s="7"/>
    </row>
    <row r="352" ht="15.75" customHeight="1">
      <c r="D352" s="4"/>
      <c r="E352" s="7"/>
    </row>
    <row r="353" ht="15.75" customHeight="1">
      <c r="D353" s="4"/>
      <c r="E353" s="7"/>
    </row>
    <row r="354" ht="15.75" customHeight="1">
      <c r="D354" s="4"/>
      <c r="E354" s="7"/>
    </row>
    <row r="355" ht="15.75" customHeight="1">
      <c r="D355" s="4"/>
      <c r="E355" s="7"/>
    </row>
    <row r="356" ht="15.75" customHeight="1">
      <c r="D356" s="4"/>
      <c r="E356" s="7"/>
    </row>
    <row r="357" ht="15.75" customHeight="1">
      <c r="D357" s="4"/>
      <c r="E357" s="7"/>
    </row>
    <row r="358" ht="15.75" customHeight="1">
      <c r="D358" s="4"/>
      <c r="E358" s="7"/>
    </row>
    <row r="359" ht="15.75" customHeight="1">
      <c r="D359" s="4"/>
      <c r="E359" s="7"/>
    </row>
    <row r="360" ht="15.75" customHeight="1">
      <c r="D360" s="4"/>
      <c r="E360" s="7"/>
    </row>
    <row r="361" ht="15.75" customHeight="1">
      <c r="D361" s="4"/>
      <c r="E361" s="7"/>
    </row>
    <row r="362" ht="15.75" customHeight="1">
      <c r="D362" s="4"/>
      <c r="E362" s="7"/>
    </row>
    <row r="363" ht="15.75" customHeight="1">
      <c r="D363" s="4"/>
      <c r="E363" s="7"/>
    </row>
    <row r="364" ht="15.75" customHeight="1">
      <c r="D364" s="4"/>
      <c r="E364" s="7"/>
    </row>
    <row r="365" ht="15.75" customHeight="1">
      <c r="D365" s="4"/>
      <c r="E365" s="7"/>
    </row>
    <row r="366" ht="15.75" customHeight="1">
      <c r="D366" s="4"/>
      <c r="E366" s="7"/>
    </row>
    <row r="367" ht="15.75" customHeight="1">
      <c r="D367" s="4"/>
      <c r="E367" s="7"/>
    </row>
    <row r="368" ht="15.75" customHeight="1">
      <c r="D368" s="4"/>
      <c r="E368" s="7"/>
    </row>
    <row r="369" ht="15.75" customHeight="1">
      <c r="D369" s="4"/>
      <c r="E369" s="7"/>
    </row>
    <row r="370" ht="15.75" customHeight="1">
      <c r="D370" s="4"/>
      <c r="E370" s="7"/>
    </row>
    <row r="371" ht="15.75" customHeight="1">
      <c r="D371" s="4"/>
      <c r="E371" s="7"/>
    </row>
    <row r="372" ht="15.75" customHeight="1">
      <c r="D372" s="4"/>
      <c r="E372" s="7"/>
    </row>
    <row r="373" ht="15.75" customHeight="1">
      <c r="D373" s="4"/>
      <c r="E373" s="7"/>
    </row>
    <row r="374" ht="15.75" customHeight="1">
      <c r="D374" s="4"/>
      <c r="E374" s="7"/>
    </row>
    <row r="375" ht="15.75" customHeight="1">
      <c r="D375" s="4"/>
      <c r="E375" s="7"/>
    </row>
    <row r="376" ht="15.75" customHeight="1">
      <c r="D376" s="4"/>
      <c r="E376" s="7"/>
    </row>
    <row r="377" ht="15.75" customHeight="1">
      <c r="D377" s="4"/>
      <c r="E377" s="7"/>
    </row>
    <row r="378" ht="15.75" customHeight="1">
      <c r="D378" s="4"/>
      <c r="E378" s="7"/>
    </row>
    <row r="379" ht="15.75" customHeight="1">
      <c r="D379" s="4"/>
      <c r="E379" s="7"/>
    </row>
    <row r="380" ht="15.75" customHeight="1">
      <c r="D380" s="4"/>
      <c r="E380" s="7"/>
    </row>
    <row r="381" ht="15.75" customHeight="1">
      <c r="D381" s="4"/>
      <c r="E381" s="7"/>
    </row>
    <row r="382" ht="15.75" customHeight="1">
      <c r="D382" s="4"/>
      <c r="E382" s="7"/>
    </row>
    <row r="383" ht="15.75" customHeight="1">
      <c r="D383" s="4"/>
      <c r="E383" s="7"/>
    </row>
    <row r="384" ht="15.75" customHeight="1">
      <c r="D384" s="4"/>
      <c r="E384" s="7"/>
    </row>
    <row r="385" ht="15.75" customHeight="1">
      <c r="D385" s="4"/>
      <c r="E385" s="7"/>
    </row>
    <row r="386" ht="15.75" customHeight="1">
      <c r="D386" s="4"/>
      <c r="E386" s="7"/>
    </row>
    <row r="387" ht="15.75" customHeight="1">
      <c r="D387" s="4"/>
      <c r="E387" s="7"/>
    </row>
    <row r="388" ht="15.75" customHeight="1">
      <c r="D388" s="4"/>
      <c r="E388" s="7"/>
    </row>
    <row r="389" ht="15.75" customHeight="1">
      <c r="D389" s="4"/>
      <c r="E389" s="7"/>
    </row>
    <row r="390" ht="15.75" customHeight="1">
      <c r="D390" s="4"/>
      <c r="E390" s="7"/>
    </row>
    <row r="391" ht="15.75" customHeight="1">
      <c r="D391" s="4"/>
      <c r="E391" s="7"/>
    </row>
    <row r="392" ht="15.75" customHeight="1">
      <c r="D392" s="4"/>
      <c r="E392" s="7"/>
    </row>
    <row r="393" ht="15.75" customHeight="1">
      <c r="D393" s="4"/>
      <c r="E393" s="7"/>
    </row>
    <row r="394" ht="15.75" customHeight="1">
      <c r="D394" s="4"/>
      <c r="E394" s="7"/>
    </row>
    <row r="395" ht="15.75" customHeight="1">
      <c r="D395" s="4"/>
      <c r="E395" s="7"/>
    </row>
    <row r="396" ht="15.75" customHeight="1">
      <c r="D396" s="4"/>
      <c r="E396" s="7"/>
    </row>
    <row r="397" ht="15.75" customHeight="1">
      <c r="D397" s="4"/>
      <c r="E397" s="7"/>
    </row>
    <row r="398" ht="15.75" customHeight="1">
      <c r="D398" s="4"/>
      <c r="E398" s="7"/>
    </row>
    <row r="399" ht="15.75" customHeight="1">
      <c r="D399" s="4"/>
      <c r="E399" s="7"/>
    </row>
    <row r="400" ht="15.75" customHeight="1">
      <c r="D400" s="4"/>
      <c r="E400" s="7"/>
    </row>
    <row r="401" ht="15.75" customHeight="1">
      <c r="D401" s="4"/>
      <c r="E401" s="7"/>
    </row>
    <row r="402" ht="15.75" customHeight="1">
      <c r="D402" s="4"/>
      <c r="E402" s="7"/>
    </row>
    <row r="403" ht="15.75" customHeight="1">
      <c r="D403" s="4"/>
      <c r="E403" s="7"/>
    </row>
    <row r="404" ht="15.75" customHeight="1">
      <c r="D404" s="4"/>
      <c r="E404" s="7"/>
    </row>
    <row r="405" ht="15.75" customHeight="1">
      <c r="D405" s="4"/>
      <c r="E405" s="7"/>
    </row>
    <row r="406" ht="15.75" customHeight="1">
      <c r="D406" s="4"/>
      <c r="E406" s="7"/>
    </row>
    <row r="407" ht="15.75" customHeight="1">
      <c r="D407" s="4"/>
      <c r="E407" s="7"/>
    </row>
    <row r="408" ht="15.75" customHeight="1">
      <c r="D408" s="4"/>
      <c r="E408" s="7"/>
    </row>
    <row r="409" ht="15.75" customHeight="1">
      <c r="D409" s="4"/>
      <c r="E409" s="7"/>
    </row>
    <row r="410" ht="15.75" customHeight="1">
      <c r="D410" s="4"/>
      <c r="E410" s="7"/>
    </row>
    <row r="411" ht="15.75" customHeight="1">
      <c r="D411" s="4"/>
      <c r="E411" s="7"/>
    </row>
    <row r="412" ht="15.75" customHeight="1">
      <c r="D412" s="4"/>
      <c r="E412" s="7"/>
    </row>
    <row r="413" ht="15.75" customHeight="1">
      <c r="D413" s="4"/>
      <c r="E413" s="7"/>
    </row>
    <row r="414" ht="15.75" customHeight="1">
      <c r="D414" s="4"/>
      <c r="E414" s="7"/>
    </row>
    <row r="415" ht="15.75" customHeight="1">
      <c r="D415" s="4"/>
      <c r="E415" s="7"/>
    </row>
    <row r="416" ht="15.75" customHeight="1">
      <c r="D416" s="4"/>
      <c r="E416" s="7"/>
    </row>
    <row r="417" ht="15.75" customHeight="1">
      <c r="D417" s="4"/>
      <c r="E417" s="7"/>
    </row>
    <row r="418" ht="15.75" customHeight="1">
      <c r="D418" s="4"/>
      <c r="E418" s="7"/>
    </row>
    <row r="419" ht="15.75" customHeight="1">
      <c r="D419" s="4"/>
      <c r="E419" s="7"/>
    </row>
    <row r="420" ht="15.75" customHeight="1">
      <c r="D420" s="4"/>
      <c r="E420" s="7"/>
    </row>
    <row r="421" ht="15.75" customHeight="1">
      <c r="D421" s="4"/>
      <c r="E421" s="7"/>
    </row>
    <row r="422" ht="15.75" customHeight="1">
      <c r="D422" s="4"/>
      <c r="E422" s="7"/>
    </row>
    <row r="423" ht="15.75" customHeight="1">
      <c r="D423" s="4"/>
      <c r="E423" s="7"/>
    </row>
    <row r="424" ht="15.75" customHeight="1">
      <c r="D424" s="4"/>
      <c r="E424" s="7"/>
    </row>
    <row r="425" ht="15.75" customHeight="1">
      <c r="D425" s="4"/>
      <c r="E425" s="7"/>
    </row>
    <row r="426" ht="15.75" customHeight="1">
      <c r="D426" s="4"/>
      <c r="E426" s="7"/>
    </row>
    <row r="427" ht="15.75" customHeight="1">
      <c r="D427" s="4"/>
      <c r="E427" s="7"/>
    </row>
    <row r="428" ht="15.75" customHeight="1">
      <c r="D428" s="4"/>
      <c r="E428" s="7"/>
    </row>
    <row r="429" ht="15.75" customHeight="1">
      <c r="D429" s="4"/>
      <c r="E429" s="7"/>
    </row>
    <row r="430" ht="15.75" customHeight="1">
      <c r="D430" s="4"/>
      <c r="E430" s="7"/>
    </row>
    <row r="431" ht="15.75" customHeight="1">
      <c r="D431" s="4"/>
      <c r="E431" s="7"/>
    </row>
    <row r="432" ht="15.75" customHeight="1">
      <c r="D432" s="4"/>
      <c r="E432" s="7"/>
    </row>
    <row r="433" ht="15.75" customHeight="1">
      <c r="D433" s="4"/>
      <c r="E433" s="7"/>
    </row>
    <row r="434" ht="15.75" customHeight="1">
      <c r="D434" s="4"/>
      <c r="E434" s="7"/>
    </row>
    <row r="435" ht="15.75" customHeight="1">
      <c r="D435" s="4"/>
      <c r="E435" s="7"/>
    </row>
    <row r="436" ht="15.75" customHeight="1">
      <c r="D436" s="4"/>
      <c r="E436" s="7"/>
    </row>
    <row r="437" ht="15.75" customHeight="1">
      <c r="D437" s="4"/>
      <c r="E437" s="7"/>
    </row>
    <row r="438" ht="15.75" customHeight="1">
      <c r="D438" s="4"/>
      <c r="E438" s="7"/>
    </row>
    <row r="439" ht="15.75" customHeight="1">
      <c r="D439" s="4"/>
      <c r="E439" s="7"/>
    </row>
    <row r="440" ht="15.75" customHeight="1">
      <c r="D440" s="4"/>
      <c r="E440" s="7"/>
    </row>
    <row r="441" ht="15.75" customHeight="1">
      <c r="D441" s="4"/>
      <c r="E441" s="7"/>
    </row>
    <row r="442" ht="15.75" customHeight="1">
      <c r="D442" s="4"/>
      <c r="E442" s="7"/>
    </row>
    <row r="443" ht="15.75" customHeight="1">
      <c r="D443" s="4"/>
      <c r="E443" s="7"/>
    </row>
    <row r="444" ht="15.75" customHeight="1">
      <c r="D444" s="4"/>
      <c r="E444" s="7"/>
    </row>
    <row r="445" ht="15.75" customHeight="1">
      <c r="D445" s="4"/>
      <c r="E445" s="7"/>
    </row>
    <row r="446" ht="15.75" customHeight="1">
      <c r="D446" s="4"/>
      <c r="E446" s="7"/>
    </row>
    <row r="447" ht="15.75" customHeight="1">
      <c r="D447" s="4"/>
      <c r="E447" s="7"/>
    </row>
    <row r="448" ht="15.75" customHeight="1">
      <c r="D448" s="4"/>
      <c r="E448" s="7"/>
    </row>
    <row r="449" ht="15.75" customHeight="1">
      <c r="D449" s="4"/>
      <c r="E449" s="7"/>
    </row>
    <row r="450" ht="15.75" customHeight="1">
      <c r="D450" s="4"/>
      <c r="E450" s="7"/>
    </row>
    <row r="451" ht="15.75" customHeight="1">
      <c r="D451" s="4"/>
      <c r="E451" s="7"/>
    </row>
    <row r="452" ht="15.75" customHeight="1">
      <c r="D452" s="4"/>
      <c r="E452" s="7"/>
    </row>
    <row r="453" ht="15.75" customHeight="1">
      <c r="D453" s="4"/>
      <c r="E453" s="7"/>
    </row>
    <row r="454" ht="15.75" customHeight="1">
      <c r="D454" s="4"/>
      <c r="E454" s="7"/>
    </row>
    <row r="455" ht="15.75" customHeight="1">
      <c r="D455" s="4"/>
      <c r="E455" s="7"/>
    </row>
    <row r="456" ht="15.75" customHeight="1">
      <c r="D456" s="4"/>
      <c r="E456" s="7"/>
    </row>
    <row r="457" ht="15.75" customHeight="1">
      <c r="D457" s="4"/>
      <c r="E457" s="7"/>
    </row>
    <row r="458" ht="15.75" customHeight="1">
      <c r="D458" s="4"/>
      <c r="E458" s="7"/>
    </row>
    <row r="459" ht="15.75" customHeight="1">
      <c r="D459" s="4"/>
      <c r="E459" s="7"/>
    </row>
    <row r="460" ht="15.75" customHeight="1">
      <c r="D460" s="4"/>
      <c r="E460" s="7"/>
    </row>
    <row r="461" ht="15.75" customHeight="1">
      <c r="D461" s="4"/>
      <c r="E461" s="7"/>
    </row>
    <row r="462" ht="15.75" customHeight="1">
      <c r="D462" s="4"/>
      <c r="E462" s="7"/>
    </row>
    <row r="463" ht="15.75" customHeight="1">
      <c r="D463" s="4"/>
      <c r="E463" s="7"/>
    </row>
    <row r="464" ht="15.75" customHeight="1">
      <c r="D464" s="4"/>
      <c r="E464" s="7"/>
    </row>
    <row r="465" ht="15.75" customHeight="1">
      <c r="D465" s="4"/>
      <c r="E465" s="7"/>
    </row>
    <row r="466" ht="15.75" customHeight="1">
      <c r="D466" s="4"/>
      <c r="E466" s="7"/>
    </row>
    <row r="467" ht="15.75" customHeight="1">
      <c r="D467" s="4"/>
      <c r="E467" s="7"/>
    </row>
    <row r="468" ht="15.75" customHeight="1">
      <c r="D468" s="4"/>
      <c r="E468" s="7"/>
    </row>
    <row r="469" ht="15.75" customHeight="1">
      <c r="D469" s="4"/>
      <c r="E469" s="7"/>
    </row>
    <row r="470" ht="15.75" customHeight="1">
      <c r="D470" s="4"/>
      <c r="E470" s="7"/>
    </row>
    <row r="471" ht="15.75" customHeight="1">
      <c r="D471" s="4"/>
      <c r="E471" s="7"/>
    </row>
    <row r="472" ht="15.75" customHeight="1">
      <c r="D472" s="4"/>
      <c r="E472" s="7"/>
    </row>
    <row r="473" ht="15.75" customHeight="1">
      <c r="D473" s="4"/>
      <c r="E473" s="7"/>
    </row>
    <row r="474" ht="15.75" customHeight="1">
      <c r="D474" s="4"/>
      <c r="E474" s="7"/>
    </row>
    <row r="475" ht="15.75" customHeight="1">
      <c r="D475" s="4"/>
      <c r="E475" s="7"/>
    </row>
    <row r="476" ht="15.75" customHeight="1">
      <c r="D476" s="4"/>
      <c r="E476" s="7"/>
    </row>
    <row r="477" ht="15.75" customHeight="1">
      <c r="D477" s="4"/>
      <c r="E477" s="7"/>
    </row>
    <row r="478" ht="15.75" customHeight="1">
      <c r="D478" s="4"/>
      <c r="E478" s="7"/>
    </row>
    <row r="479" ht="15.75" customHeight="1">
      <c r="D479" s="4"/>
      <c r="E479" s="7"/>
    </row>
    <row r="480" ht="15.75" customHeight="1">
      <c r="D480" s="4"/>
      <c r="E480" s="7"/>
    </row>
    <row r="481" ht="15.75" customHeight="1">
      <c r="D481" s="4"/>
      <c r="E481" s="7"/>
    </row>
    <row r="482" ht="15.75" customHeight="1">
      <c r="D482" s="4"/>
      <c r="E482" s="7"/>
    </row>
    <row r="483" ht="15.75" customHeight="1">
      <c r="D483" s="4"/>
      <c r="E483" s="7"/>
    </row>
    <row r="484" ht="15.75" customHeight="1">
      <c r="D484" s="4"/>
      <c r="E484" s="7"/>
    </row>
    <row r="485" ht="15.75" customHeight="1">
      <c r="D485" s="4"/>
      <c r="E485" s="7"/>
    </row>
    <row r="486" ht="15.75" customHeight="1">
      <c r="D486" s="4"/>
      <c r="E486" s="7"/>
    </row>
    <row r="487" ht="15.75" customHeight="1">
      <c r="D487" s="4"/>
      <c r="E487" s="7"/>
    </row>
    <row r="488" ht="15.75" customHeight="1">
      <c r="D488" s="4"/>
      <c r="E488" s="7"/>
    </row>
    <row r="489" ht="15.75" customHeight="1">
      <c r="D489" s="4"/>
      <c r="E489" s="7"/>
    </row>
    <row r="490" ht="15.75" customHeight="1">
      <c r="D490" s="4"/>
      <c r="E490" s="7"/>
    </row>
    <row r="491" ht="15.75" customHeight="1">
      <c r="D491" s="4"/>
      <c r="E491" s="7"/>
    </row>
    <row r="492" ht="15.75" customHeight="1">
      <c r="D492" s="4"/>
      <c r="E492" s="7"/>
    </row>
    <row r="493" ht="15.75" customHeight="1">
      <c r="D493" s="4"/>
      <c r="E493" s="7"/>
    </row>
    <row r="494" ht="15.75" customHeight="1">
      <c r="D494" s="4"/>
      <c r="E494" s="7"/>
    </row>
    <row r="495" ht="15.75" customHeight="1">
      <c r="D495" s="4"/>
      <c r="E495" s="7"/>
    </row>
    <row r="496" ht="15.75" customHeight="1">
      <c r="D496" s="4"/>
      <c r="E496" s="7"/>
    </row>
    <row r="497" ht="15.75" customHeight="1">
      <c r="D497" s="4"/>
      <c r="E497" s="7"/>
    </row>
    <row r="498" ht="15.75" customHeight="1">
      <c r="D498" s="4"/>
      <c r="E498" s="7"/>
    </row>
    <row r="499" ht="15.75" customHeight="1">
      <c r="D499" s="4"/>
      <c r="E499" s="7"/>
    </row>
    <row r="500" ht="15.75" customHeight="1">
      <c r="D500" s="4"/>
      <c r="E500" s="7"/>
    </row>
    <row r="501" ht="15.75" customHeight="1">
      <c r="D501" s="4"/>
      <c r="E501" s="7"/>
    </row>
    <row r="502" ht="15.75" customHeight="1">
      <c r="D502" s="4"/>
      <c r="E502" s="7"/>
    </row>
    <row r="503" ht="15.75" customHeight="1">
      <c r="D503" s="4"/>
      <c r="E503" s="7"/>
    </row>
    <row r="504" ht="15.75" customHeight="1">
      <c r="D504" s="4"/>
      <c r="E504" s="7"/>
    </row>
    <row r="505" ht="15.75" customHeight="1">
      <c r="D505" s="4"/>
      <c r="E505" s="7"/>
    </row>
    <row r="506" ht="15.75" customHeight="1">
      <c r="D506" s="4"/>
      <c r="E506" s="7"/>
    </row>
    <row r="507" ht="15.75" customHeight="1">
      <c r="D507" s="4"/>
      <c r="E507" s="7"/>
    </row>
    <row r="508" ht="15.75" customHeight="1">
      <c r="D508" s="4"/>
      <c r="E508" s="7"/>
    </row>
    <row r="509" ht="15.75" customHeight="1">
      <c r="D509" s="4"/>
      <c r="E509" s="7"/>
    </row>
    <row r="510" ht="15.75" customHeight="1">
      <c r="D510" s="4"/>
      <c r="E510" s="7"/>
    </row>
    <row r="511" ht="15.75" customHeight="1">
      <c r="D511" s="4"/>
      <c r="E511" s="7"/>
    </row>
    <row r="512" ht="15.75" customHeight="1">
      <c r="D512" s="4"/>
      <c r="E512" s="7"/>
    </row>
    <row r="513" ht="15.75" customHeight="1">
      <c r="D513" s="4"/>
      <c r="E513" s="7"/>
    </row>
    <row r="514" ht="15.75" customHeight="1">
      <c r="D514" s="4"/>
      <c r="E514" s="7"/>
    </row>
    <row r="515" ht="15.75" customHeight="1">
      <c r="D515" s="4"/>
      <c r="E515" s="7"/>
    </row>
    <row r="516" ht="15.75" customHeight="1">
      <c r="D516" s="4"/>
      <c r="E516" s="7"/>
    </row>
    <row r="517" ht="15.75" customHeight="1">
      <c r="D517" s="4"/>
      <c r="E517" s="7"/>
    </row>
    <row r="518" ht="15.75" customHeight="1">
      <c r="D518" s="4"/>
      <c r="E518" s="7"/>
    </row>
    <row r="519" ht="15.75" customHeight="1">
      <c r="D519" s="4"/>
      <c r="E519" s="7"/>
    </row>
    <row r="520" ht="15.75" customHeight="1">
      <c r="D520" s="4"/>
      <c r="E520" s="7"/>
    </row>
    <row r="521" ht="15.75" customHeight="1">
      <c r="D521" s="4"/>
      <c r="E521" s="7"/>
    </row>
    <row r="522" ht="15.75" customHeight="1">
      <c r="D522" s="4"/>
      <c r="E522" s="7"/>
    </row>
    <row r="523" ht="15.75" customHeight="1">
      <c r="D523" s="4"/>
      <c r="E523" s="7"/>
    </row>
    <row r="524" ht="15.75" customHeight="1">
      <c r="D524" s="4"/>
      <c r="E524" s="7"/>
    </row>
    <row r="525" ht="15.75" customHeight="1">
      <c r="D525" s="4"/>
      <c r="E525" s="7"/>
    </row>
    <row r="526" ht="15.75" customHeight="1">
      <c r="D526" s="4"/>
      <c r="E526" s="7"/>
    </row>
    <row r="527" ht="15.75" customHeight="1">
      <c r="D527" s="4"/>
      <c r="E527" s="7"/>
    </row>
    <row r="528" ht="15.75" customHeight="1">
      <c r="D528" s="4"/>
      <c r="E528" s="7"/>
    </row>
    <row r="529" ht="15.75" customHeight="1">
      <c r="D529" s="4"/>
      <c r="E529" s="7"/>
    </row>
    <row r="530" ht="15.75" customHeight="1">
      <c r="D530" s="4"/>
      <c r="E530" s="7"/>
    </row>
    <row r="531" ht="15.75" customHeight="1">
      <c r="D531" s="4"/>
      <c r="E531" s="7"/>
    </row>
    <row r="532" ht="15.75" customHeight="1">
      <c r="D532" s="4"/>
      <c r="E532" s="7"/>
    </row>
    <row r="533" ht="15.75" customHeight="1">
      <c r="D533" s="4"/>
      <c r="E533" s="7"/>
    </row>
    <row r="534" ht="15.75" customHeight="1">
      <c r="D534" s="4"/>
      <c r="E534" s="7"/>
    </row>
    <row r="535" ht="15.75" customHeight="1">
      <c r="D535" s="4"/>
      <c r="E535" s="7"/>
    </row>
    <row r="536" ht="15.75" customHeight="1">
      <c r="D536" s="4"/>
      <c r="E536" s="7"/>
    </row>
    <row r="537" ht="15.75" customHeight="1">
      <c r="D537" s="4"/>
      <c r="E537" s="7"/>
    </row>
    <row r="538" ht="15.75" customHeight="1">
      <c r="D538" s="4"/>
      <c r="E538" s="7"/>
    </row>
    <row r="539" ht="15.75" customHeight="1">
      <c r="D539" s="4"/>
      <c r="E539" s="7"/>
    </row>
    <row r="540" ht="15.75" customHeight="1">
      <c r="D540" s="4"/>
      <c r="E540" s="7"/>
    </row>
    <row r="541" ht="15.75" customHeight="1">
      <c r="D541" s="4"/>
      <c r="E541" s="7"/>
    </row>
    <row r="542" ht="15.75" customHeight="1">
      <c r="D542" s="4"/>
      <c r="E542" s="7"/>
    </row>
    <row r="543" ht="15.75" customHeight="1">
      <c r="D543" s="4"/>
      <c r="E543" s="7"/>
    </row>
    <row r="544" ht="15.75" customHeight="1">
      <c r="D544" s="4"/>
      <c r="E544" s="7"/>
    </row>
    <row r="545" ht="15.75" customHeight="1">
      <c r="D545" s="4"/>
      <c r="E545" s="7"/>
    </row>
    <row r="546" ht="15.75" customHeight="1">
      <c r="D546" s="4"/>
      <c r="E546" s="7"/>
    </row>
    <row r="547" ht="15.75" customHeight="1">
      <c r="D547" s="4"/>
      <c r="E547" s="7"/>
    </row>
    <row r="548" ht="15.75" customHeight="1">
      <c r="D548" s="4"/>
      <c r="E548" s="7"/>
    </row>
    <row r="549" ht="15.75" customHeight="1">
      <c r="D549" s="4"/>
      <c r="E549" s="7"/>
    </row>
    <row r="550" ht="15.75" customHeight="1">
      <c r="D550" s="4"/>
      <c r="E550" s="7"/>
    </row>
    <row r="551" ht="15.75" customHeight="1">
      <c r="D551" s="4"/>
      <c r="E551" s="7"/>
    </row>
    <row r="552" ht="15.75" customHeight="1">
      <c r="D552" s="4"/>
      <c r="E552" s="7"/>
    </row>
    <row r="553" ht="15.75" customHeight="1">
      <c r="D553" s="4"/>
      <c r="E553" s="7"/>
    </row>
    <row r="554" ht="15.75" customHeight="1">
      <c r="D554" s="4"/>
      <c r="E554" s="7"/>
    </row>
    <row r="555" ht="15.75" customHeight="1">
      <c r="D555" s="4"/>
      <c r="E555" s="7"/>
    </row>
    <row r="556" ht="15.75" customHeight="1">
      <c r="D556" s="4"/>
      <c r="E556" s="7"/>
    </row>
    <row r="557" ht="15.75" customHeight="1">
      <c r="D557" s="4"/>
      <c r="E557" s="7"/>
    </row>
    <row r="558" ht="15.75" customHeight="1">
      <c r="D558" s="4"/>
      <c r="E558" s="7"/>
    </row>
    <row r="559" ht="15.75" customHeight="1">
      <c r="D559" s="4"/>
      <c r="E559" s="7"/>
    </row>
    <row r="560" ht="15.75" customHeight="1">
      <c r="D560" s="4"/>
      <c r="E560" s="7"/>
    </row>
    <row r="561" ht="15.75" customHeight="1">
      <c r="D561" s="4"/>
      <c r="E561" s="7"/>
    </row>
    <row r="562" ht="15.75" customHeight="1">
      <c r="D562" s="4"/>
      <c r="E562" s="7"/>
    </row>
    <row r="563" ht="15.75" customHeight="1">
      <c r="D563" s="4"/>
      <c r="E563" s="7"/>
    </row>
    <row r="564" ht="15.75" customHeight="1">
      <c r="D564" s="4"/>
      <c r="E564" s="7"/>
    </row>
    <row r="565" ht="15.75" customHeight="1">
      <c r="D565" s="4"/>
      <c r="E565" s="7"/>
    </row>
    <row r="566" ht="15.75" customHeight="1">
      <c r="D566" s="4"/>
      <c r="E566" s="7"/>
    </row>
    <row r="567" ht="15.75" customHeight="1">
      <c r="D567" s="4"/>
      <c r="E567" s="7"/>
    </row>
    <row r="568" ht="15.75" customHeight="1">
      <c r="D568" s="4"/>
      <c r="E568" s="7"/>
    </row>
    <row r="569" ht="15.75" customHeight="1">
      <c r="D569" s="4"/>
      <c r="E569" s="7"/>
    </row>
    <row r="570" ht="15.75" customHeight="1">
      <c r="D570" s="4"/>
      <c r="E570" s="7"/>
    </row>
    <row r="571" ht="15.75" customHeight="1">
      <c r="D571" s="4"/>
      <c r="E571" s="7"/>
    </row>
    <row r="572" ht="15.75" customHeight="1">
      <c r="D572" s="4"/>
      <c r="E572" s="7"/>
    </row>
    <row r="573" ht="15.75" customHeight="1">
      <c r="D573" s="4"/>
      <c r="E573" s="7"/>
    </row>
    <row r="574" ht="15.75" customHeight="1">
      <c r="D574" s="4"/>
      <c r="E574" s="7"/>
    </row>
    <row r="575" ht="15.75" customHeight="1">
      <c r="D575" s="4"/>
      <c r="E575" s="7"/>
    </row>
    <row r="576" ht="15.75" customHeight="1">
      <c r="D576" s="4"/>
      <c r="E576" s="7"/>
    </row>
    <row r="577" ht="15.75" customHeight="1">
      <c r="D577" s="4"/>
      <c r="E577" s="7"/>
    </row>
    <row r="578" ht="15.75" customHeight="1">
      <c r="D578" s="4"/>
      <c r="E578" s="7"/>
    </row>
    <row r="579" ht="15.75" customHeight="1">
      <c r="D579" s="4"/>
      <c r="E579" s="7"/>
    </row>
    <row r="580" ht="15.75" customHeight="1">
      <c r="D580" s="4"/>
      <c r="E580" s="7"/>
    </row>
    <row r="581" ht="15.75" customHeight="1">
      <c r="D581" s="4"/>
      <c r="E581" s="7"/>
    </row>
    <row r="582" ht="15.75" customHeight="1">
      <c r="D582" s="4"/>
      <c r="E582" s="7"/>
    </row>
    <row r="583" ht="15.75" customHeight="1">
      <c r="D583" s="4"/>
      <c r="E583" s="7"/>
    </row>
    <row r="584" ht="15.75" customHeight="1">
      <c r="D584" s="4"/>
      <c r="E584" s="7"/>
    </row>
    <row r="585" ht="15.75" customHeight="1">
      <c r="D585" s="4"/>
      <c r="E585" s="7"/>
    </row>
    <row r="586" ht="15.75" customHeight="1">
      <c r="D586" s="4"/>
      <c r="E586" s="7"/>
    </row>
    <row r="587" ht="15.75" customHeight="1">
      <c r="D587" s="4"/>
      <c r="E587" s="7"/>
    </row>
    <row r="588" ht="15.75" customHeight="1">
      <c r="D588" s="4"/>
      <c r="E588" s="7"/>
    </row>
    <row r="589" ht="15.75" customHeight="1">
      <c r="D589" s="4"/>
      <c r="E589" s="7"/>
    </row>
    <row r="590" ht="15.75" customHeight="1">
      <c r="D590" s="4"/>
      <c r="E590" s="7"/>
    </row>
    <row r="591" ht="15.75" customHeight="1">
      <c r="D591" s="4"/>
      <c r="E591" s="7"/>
    </row>
    <row r="592" ht="15.75" customHeight="1">
      <c r="D592" s="4"/>
      <c r="E592" s="7"/>
    </row>
    <row r="593" ht="15.75" customHeight="1">
      <c r="D593" s="4"/>
      <c r="E593" s="7"/>
    </row>
    <row r="594" ht="15.75" customHeight="1">
      <c r="D594" s="4"/>
      <c r="E594" s="7"/>
    </row>
    <row r="595" ht="15.75" customHeight="1">
      <c r="D595" s="4"/>
      <c r="E595" s="7"/>
    </row>
    <row r="596" ht="15.75" customHeight="1">
      <c r="D596" s="4"/>
      <c r="E596" s="7"/>
    </row>
    <row r="597" ht="15.75" customHeight="1">
      <c r="D597" s="4"/>
      <c r="E597" s="7"/>
    </row>
    <row r="598" ht="15.75" customHeight="1">
      <c r="D598" s="4"/>
      <c r="E598" s="7"/>
    </row>
    <row r="599" ht="15.75" customHeight="1">
      <c r="D599" s="4"/>
      <c r="E599" s="7"/>
    </row>
    <row r="600" ht="15.75" customHeight="1">
      <c r="D600" s="4"/>
      <c r="E600" s="7"/>
    </row>
    <row r="601" ht="15.75" customHeight="1">
      <c r="D601" s="4"/>
      <c r="E601" s="7"/>
    </row>
    <row r="602" ht="15.75" customHeight="1">
      <c r="D602" s="4"/>
      <c r="E602" s="7"/>
    </row>
    <row r="603" ht="15.75" customHeight="1">
      <c r="D603" s="4"/>
      <c r="E603" s="7"/>
    </row>
    <row r="604" ht="15.75" customHeight="1">
      <c r="D604" s="4"/>
      <c r="E604" s="7"/>
    </row>
    <row r="605" ht="15.75" customHeight="1">
      <c r="D605" s="4"/>
      <c r="E605" s="7"/>
    </row>
    <row r="606" ht="15.75" customHeight="1">
      <c r="D606" s="4"/>
      <c r="E606" s="7"/>
    </row>
    <row r="607" ht="15.75" customHeight="1">
      <c r="D607" s="4"/>
      <c r="E607" s="7"/>
    </row>
    <row r="608" ht="15.75" customHeight="1">
      <c r="D608" s="4"/>
      <c r="E608" s="7"/>
    </row>
    <row r="609" ht="15.75" customHeight="1">
      <c r="D609" s="4"/>
      <c r="E609" s="7"/>
    </row>
    <row r="610" ht="15.75" customHeight="1">
      <c r="D610" s="4"/>
      <c r="E610" s="7"/>
    </row>
    <row r="611" ht="15.75" customHeight="1">
      <c r="D611" s="4"/>
      <c r="E611" s="7"/>
    </row>
    <row r="612" ht="15.75" customHeight="1">
      <c r="D612" s="4"/>
      <c r="E612" s="7"/>
    </row>
    <row r="613" ht="15.75" customHeight="1">
      <c r="D613" s="4"/>
      <c r="E613" s="7"/>
    </row>
    <row r="614" ht="15.75" customHeight="1">
      <c r="D614" s="4"/>
      <c r="E614" s="7"/>
    </row>
    <row r="615" ht="15.75" customHeight="1">
      <c r="D615" s="4"/>
      <c r="E615" s="7"/>
    </row>
    <row r="616" ht="15.75" customHeight="1">
      <c r="D616" s="4"/>
      <c r="E616" s="7"/>
    </row>
    <row r="617" ht="15.75" customHeight="1">
      <c r="D617" s="4"/>
      <c r="E617" s="7"/>
    </row>
    <row r="618" ht="15.75" customHeight="1">
      <c r="D618" s="4"/>
      <c r="E618" s="7"/>
    </row>
    <row r="619" ht="15.75" customHeight="1">
      <c r="D619" s="4"/>
      <c r="E619" s="7"/>
    </row>
    <row r="620" ht="15.75" customHeight="1">
      <c r="D620" s="4"/>
      <c r="E620" s="7"/>
    </row>
    <row r="621" ht="15.75" customHeight="1">
      <c r="D621" s="4"/>
      <c r="E621" s="7"/>
    </row>
    <row r="622" ht="15.75" customHeight="1">
      <c r="D622" s="4"/>
      <c r="E622" s="7"/>
    </row>
    <row r="623" ht="15.75" customHeight="1">
      <c r="D623" s="4"/>
      <c r="E623" s="7"/>
    </row>
    <row r="624" ht="15.75" customHeight="1">
      <c r="D624" s="4"/>
      <c r="E624" s="7"/>
    </row>
    <row r="625" ht="15.75" customHeight="1">
      <c r="D625" s="4"/>
      <c r="E625" s="7"/>
    </row>
    <row r="626" ht="15.75" customHeight="1">
      <c r="D626" s="4"/>
      <c r="E626" s="7"/>
    </row>
    <row r="627" ht="15.75" customHeight="1">
      <c r="D627" s="4"/>
      <c r="E627" s="7"/>
    </row>
    <row r="628" ht="15.75" customHeight="1">
      <c r="D628" s="4"/>
      <c r="E628" s="7"/>
    </row>
    <row r="629" ht="15.75" customHeight="1">
      <c r="D629" s="4"/>
      <c r="E629" s="7"/>
    </row>
    <row r="630" ht="15.75" customHeight="1">
      <c r="D630" s="4"/>
      <c r="E630" s="7"/>
    </row>
    <row r="631" ht="15.75" customHeight="1">
      <c r="D631" s="4"/>
      <c r="E631" s="7"/>
    </row>
    <row r="632" ht="15.75" customHeight="1">
      <c r="D632" s="4"/>
      <c r="E632" s="7"/>
    </row>
    <row r="633" ht="15.75" customHeight="1">
      <c r="D633" s="4"/>
      <c r="E633" s="7"/>
    </row>
    <row r="634" ht="15.75" customHeight="1">
      <c r="D634" s="4"/>
      <c r="E634" s="7"/>
    </row>
    <row r="635" ht="15.75" customHeight="1">
      <c r="D635" s="4"/>
      <c r="E635" s="7"/>
    </row>
    <row r="636" ht="15.75" customHeight="1">
      <c r="D636" s="4"/>
      <c r="E636" s="7"/>
    </row>
    <row r="637" ht="15.75" customHeight="1">
      <c r="D637" s="4"/>
      <c r="E637" s="7"/>
    </row>
    <row r="638" ht="15.75" customHeight="1">
      <c r="D638" s="4"/>
      <c r="E638" s="7"/>
    </row>
    <row r="639" ht="15.75" customHeight="1">
      <c r="D639" s="4"/>
      <c r="E639" s="7"/>
    </row>
    <row r="640" ht="15.75" customHeight="1">
      <c r="D640" s="4"/>
      <c r="E640" s="7"/>
    </row>
    <row r="641" ht="15.75" customHeight="1">
      <c r="D641" s="4"/>
      <c r="E641" s="7"/>
    </row>
    <row r="642" ht="15.75" customHeight="1">
      <c r="D642" s="4"/>
      <c r="E642" s="7"/>
    </row>
    <row r="643" ht="15.75" customHeight="1">
      <c r="D643" s="4"/>
      <c r="E643" s="7"/>
    </row>
    <row r="644" ht="15.75" customHeight="1">
      <c r="D644" s="4"/>
      <c r="E644" s="7"/>
    </row>
    <row r="645" ht="15.75" customHeight="1">
      <c r="D645" s="4"/>
      <c r="E645" s="7"/>
    </row>
    <row r="646" ht="15.75" customHeight="1">
      <c r="D646" s="4"/>
      <c r="E646" s="7"/>
    </row>
    <row r="647" ht="15.75" customHeight="1">
      <c r="D647" s="4"/>
      <c r="E647" s="7"/>
    </row>
    <row r="648" ht="15.75" customHeight="1">
      <c r="D648" s="4"/>
      <c r="E648" s="7"/>
    </row>
    <row r="649" ht="15.75" customHeight="1">
      <c r="D649" s="4"/>
      <c r="E649" s="7"/>
    </row>
    <row r="650" ht="15.75" customHeight="1">
      <c r="D650" s="4"/>
      <c r="E650" s="7"/>
    </row>
    <row r="651" ht="15.75" customHeight="1">
      <c r="D651" s="4"/>
      <c r="E651" s="7"/>
    </row>
    <row r="652" ht="15.75" customHeight="1">
      <c r="D652" s="4"/>
      <c r="E652" s="7"/>
    </row>
    <row r="653" ht="15.75" customHeight="1">
      <c r="D653" s="4"/>
      <c r="E653" s="7"/>
    </row>
    <row r="654" ht="15.75" customHeight="1">
      <c r="D654" s="4"/>
      <c r="E654" s="7"/>
    </row>
    <row r="655" ht="15.75" customHeight="1">
      <c r="D655" s="4"/>
      <c r="E655" s="7"/>
    </row>
    <row r="656" ht="15.75" customHeight="1">
      <c r="D656" s="4"/>
      <c r="E656" s="7"/>
    </row>
    <row r="657" ht="15.75" customHeight="1">
      <c r="D657" s="4"/>
      <c r="E657" s="7"/>
    </row>
    <row r="658" ht="15.75" customHeight="1">
      <c r="D658" s="4"/>
      <c r="E658" s="7"/>
    </row>
    <row r="659" ht="15.75" customHeight="1">
      <c r="D659" s="4"/>
      <c r="E659" s="7"/>
    </row>
    <row r="660" ht="15.75" customHeight="1">
      <c r="D660" s="4"/>
      <c r="E660" s="7"/>
    </row>
    <row r="661" ht="15.75" customHeight="1">
      <c r="D661" s="4"/>
      <c r="E661" s="7"/>
    </row>
    <row r="662" ht="15.75" customHeight="1">
      <c r="D662" s="4"/>
      <c r="E662" s="7"/>
    </row>
    <row r="663" ht="15.75" customHeight="1">
      <c r="D663" s="4"/>
      <c r="E663" s="7"/>
    </row>
    <row r="664" ht="15.75" customHeight="1">
      <c r="D664" s="4"/>
      <c r="E664" s="7"/>
    </row>
    <row r="665" ht="15.75" customHeight="1">
      <c r="D665" s="4"/>
      <c r="E665" s="7"/>
    </row>
    <row r="666" ht="15.75" customHeight="1">
      <c r="D666" s="4"/>
      <c r="E666" s="7"/>
    </row>
    <row r="667" ht="15.75" customHeight="1">
      <c r="D667" s="4"/>
      <c r="E667" s="7"/>
    </row>
    <row r="668" ht="15.75" customHeight="1">
      <c r="D668" s="4"/>
      <c r="E668" s="7"/>
    </row>
    <row r="669" ht="15.75" customHeight="1">
      <c r="D669" s="4"/>
      <c r="E669" s="7"/>
    </row>
    <row r="670" ht="15.75" customHeight="1">
      <c r="D670" s="4"/>
      <c r="E670" s="7"/>
    </row>
    <row r="671" ht="15.75" customHeight="1">
      <c r="D671" s="4"/>
      <c r="E671" s="7"/>
    </row>
    <row r="672" ht="15.75" customHeight="1">
      <c r="D672" s="4"/>
      <c r="E672" s="7"/>
    </row>
    <row r="673" ht="15.75" customHeight="1">
      <c r="D673" s="4"/>
      <c r="E673" s="7"/>
    </row>
    <row r="674" ht="15.75" customHeight="1">
      <c r="D674" s="4"/>
      <c r="E674" s="7"/>
    </row>
    <row r="675" ht="15.75" customHeight="1">
      <c r="D675" s="4"/>
      <c r="E675" s="7"/>
    </row>
    <row r="676" ht="15.75" customHeight="1">
      <c r="D676" s="4"/>
      <c r="E676" s="7"/>
    </row>
    <row r="677" ht="15.75" customHeight="1">
      <c r="D677" s="4"/>
      <c r="E677" s="7"/>
    </row>
    <row r="678" ht="15.75" customHeight="1">
      <c r="D678" s="4"/>
      <c r="E678" s="7"/>
    </row>
    <row r="679" ht="15.75" customHeight="1">
      <c r="D679" s="4"/>
      <c r="E679" s="7"/>
    </row>
    <row r="680" ht="15.75" customHeight="1">
      <c r="D680" s="4"/>
      <c r="E680" s="7"/>
    </row>
    <row r="681" ht="15.75" customHeight="1">
      <c r="D681" s="4"/>
      <c r="E681" s="7"/>
    </row>
    <row r="682" ht="15.75" customHeight="1">
      <c r="D682" s="4"/>
      <c r="E682" s="7"/>
    </row>
    <row r="683" ht="15.75" customHeight="1">
      <c r="D683" s="4"/>
      <c r="E683" s="7"/>
    </row>
    <row r="684" ht="15.75" customHeight="1">
      <c r="D684" s="4"/>
      <c r="E684" s="7"/>
    </row>
    <row r="685" ht="15.75" customHeight="1">
      <c r="D685" s="4"/>
      <c r="E685" s="7"/>
    </row>
    <row r="686" ht="15.75" customHeight="1">
      <c r="D686" s="4"/>
      <c r="E686" s="7"/>
    </row>
    <row r="687" ht="15.75" customHeight="1">
      <c r="D687" s="4"/>
      <c r="E687" s="7"/>
    </row>
    <row r="688" ht="15.75" customHeight="1">
      <c r="D688" s="4"/>
      <c r="E688" s="7"/>
    </row>
    <row r="689" ht="15.75" customHeight="1">
      <c r="D689" s="4"/>
      <c r="E689" s="7"/>
    </row>
    <row r="690" ht="15.75" customHeight="1">
      <c r="D690" s="4"/>
      <c r="E690" s="7"/>
    </row>
    <row r="691" ht="15.75" customHeight="1">
      <c r="D691" s="4"/>
      <c r="E691" s="7"/>
    </row>
    <row r="692" ht="15.75" customHeight="1">
      <c r="D692" s="4"/>
      <c r="E692" s="7"/>
    </row>
    <row r="693" ht="15.75" customHeight="1">
      <c r="D693" s="4"/>
      <c r="E693" s="7"/>
    </row>
    <row r="694" ht="15.75" customHeight="1">
      <c r="D694" s="4"/>
      <c r="E694" s="7"/>
    </row>
    <row r="695" ht="15.75" customHeight="1">
      <c r="D695" s="4"/>
      <c r="E695" s="7"/>
    </row>
    <row r="696" ht="15.75" customHeight="1">
      <c r="D696" s="4"/>
      <c r="E696" s="7"/>
    </row>
    <row r="697" ht="15.75" customHeight="1">
      <c r="D697" s="4"/>
      <c r="E697" s="7"/>
    </row>
    <row r="698" ht="15.75" customHeight="1">
      <c r="D698" s="4"/>
      <c r="E698" s="7"/>
    </row>
    <row r="699" ht="15.75" customHeight="1">
      <c r="D699" s="4"/>
      <c r="E699" s="7"/>
    </row>
    <row r="700" ht="15.75" customHeight="1">
      <c r="D700" s="4"/>
      <c r="E700" s="7"/>
    </row>
    <row r="701" ht="15.75" customHeight="1">
      <c r="D701" s="4"/>
      <c r="E701" s="7"/>
    </row>
    <row r="702" ht="15.75" customHeight="1">
      <c r="D702" s="4"/>
      <c r="E702" s="7"/>
    </row>
    <row r="703" ht="15.75" customHeight="1">
      <c r="D703" s="4"/>
      <c r="E703" s="7"/>
    </row>
    <row r="704" ht="15.75" customHeight="1">
      <c r="D704" s="4"/>
      <c r="E704" s="7"/>
    </row>
    <row r="705" ht="15.75" customHeight="1">
      <c r="D705" s="4"/>
      <c r="E705" s="7"/>
    </row>
    <row r="706" ht="15.75" customHeight="1">
      <c r="D706" s="4"/>
      <c r="E706" s="7"/>
    </row>
    <row r="707" ht="15.75" customHeight="1">
      <c r="D707" s="4"/>
      <c r="E707" s="7"/>
    </row>
    <row r="708" ht="15.75" customHeight="1">
      <c r="D708" s="4"/>
      <c r="E708" s="7"/>
    </row>
    <row r="709" ht="15.75" customHeight="1">
      <c r="D709" s="4"/>
      <c r="E709" s="7"/>
    </row>
    <row r="710" ht="15.75" customHeight="1">
      <c r="D710" s="4"/>
      <c r="E710" s="7"/>
    </row>
    <row r="711" ht="15.75" customHeight="1">
      <c r="D711" s="4"/>
      <c r="E711" s="7"/>
    </row>
    <row r="712" ht="15.75" customHeight="1">
      <c r="D712" s="4"/>
      <c r="E712" s="7"/>
    </row>
    <row r="713" ht="15.75" customHeight="1">
      <c r="D713" s="4"/>
      <c r="E713" s="7"/>
    </row>
    <row r="714" ht="15.75" customHeight="1">
      <c r="D714" s="4"/>
      <c r="E714" s="7"/>
    </row>
    <row r="715" ht="15.75" customHeight="1">
      <c r="D715" s="4"/>
      <c r="E715" s="7"/>
    </row>
    <row r="716" ht="15.75" customHeight="1">
      <c r="D716" s="4"/>
      <c r="E716" s="7"/>
    </row>
    <row r="717" ht="15.75" customHeight="1">
      <c r="D717" s="4"/>
      <c r="E717" s="7"/>
    </row>
    <row r="718" ht="15.75" customHeight="1">
      <c r="D718" s="4"/>
      <c r="E718" s="7"/>
    </row>
    <row r="719" ht="15.75" customHeight="1">
      <c r="D719" s="4"/>
      <c r="E719" s="7"/>
    </row>
    <row r="720" ht="15.75" customHeight="1">
      <c r="D720" s="4"/>
      <c r="E720" s="7"/>
    </row>
    <row r="721" ht="15.75" customHeight="1">
      <c r="D721" s="4"/>
      <c r="E721" s="7"/>
    </row>
    <row r="722" ht="15.75" customHeight="1">
      <c r="D722" s="4"/>
      <c r="E722" s="7"/>
    </row>
    <row r="723" ht="15.75" customHeight="1">
      <c r="D723" s="4"/>
      <c r="E723" s="7"/>
    </row>
    <row r="724" ht="15.75" customHeight="1">
      <c r="D724" s="4"/>
      <c r="E724" s="7"/>
    </row>
    <row r="725" ht="15.75" customHeight="1">
      <c r="D725" s="4"/>
      <c r="E725" s="7"/>
    </row>
    <row r="726" ht="15.75" customHeight="1">
      <c r="D726" s="4"/>
      <c r="E726" s="7"/>
    </row>
    <row r="727" ht="15.75" customHeight="1">
      <c r="D727" s="4"/>
      <c r="E727" s="7"/>
    </row>
    <row r="728" ht="15.75" customHeight="1">
      <c r="D728" s="4"/>
      <c r="E728" s="7"/>
    </row>
    <row r="729" ht="15.75" customHeight="1">
      <c r="D729" s="4"/>
      <c r="E729" s="7"/>
    </row>
    <row r="730" ht="15.75" customHeight="1">
      <c r="D730" s="4"/>
      <c r="E730" s="7"/>
    </row>
    <row r="731" ht="15.75" customHeight="1">
      <c r="D731" s="4"/>
      <c r="E731" s="7"/>
    </row>
    <row r="732" ht="15.75" customHeight="1">
      <c r="D732" s="4"/>
      <c r="E732" s="7"/>
    </row>
    <row r="733" ht="15.75" customHeight="1">
      <c r="D733" s="4"/>
      <c r="E733" s="7"/>
    </row>
    <row r="734" ht="15.75" customHeight="1">
      <c r="D734" s="4"/>
      <c r="E734" s="7"/>
    </row>
    <row r="735" ht="15.75" customHeight="1">
      <c r="D735" s="4"/>
      <c r="E735" s="7"/>
    </row>
    <row r="736" ht="15.75" customHeight="1">
      <c r="D736" s="4"/>
      <c r="E736" s="7"/>
    </row>
    <row r="737" ht="15.75" customHeight="1">
      <c r="D737" s="4"/>
      <c r="E737" s="7"/>
    </row>
    <row r="738" ht="15.75" customHeight="1">
      <c r="D738" s="4"/>
      <c r="E738" s="7"/>
    </row>
    <row r="739" ht="15.75" customHeight="1">
      <c r="D739" s="4"/>
      <c r="E739" s="7"/>
    </row>
    <row r="740" ht="15.75" customHeight="1">
      <c r="D740" s="4"/>
      <c r="E740" s="7"/>
    </row>
    <row r="741" ht="15.75" customHeight="1">
      <c r="D741" s="4"/>
      <c r="E741" s="7"/>
    </row>
    <row r="742" ht="15.75" customHeight="1">
      <c r="D742" s="4"/>
      <c r="E742" s="7"/>
    </row>
    <row r="743" ht="15.75" customHeight="1">
      <c r="D743" s="4"/>
      <c r="E743" s="7"/>
    </row>
    <row r="744" ht="15.75" customHeight="1">
      <c r="D744" s="4"/>
      <c r="E744" s="7"/>
    </row>
    <row r="745" ht="15.75" customHeight="1">
      <c r="D745" s="4"/>
      <c r="E745" s="7"/>
    </row>
    <row r="746" ht="15.75" customHeight="1">
      <c r="D746" s="4"/>
      <c r="E746" s="7"/>
    </row>
    <row r="747" ht="15.75" customHeight="1">
      <c r="D747" s="4"/>
      <c r="E747" s="7"/>
    </row>
    <row r="748" ht="15.75" customHeight="1">
      <c r="D748" s="4"/>
      <c r="E748" s="7"/>
    </row>
    <row r="749" ht="15.75" customHeight="1">
      <c r="D749" s="4"/>
      <c r="E749" s="7"/>
    </row>
    <row r="750" ht="15.75" customHeight="1">
      <c r="D750" s="4"/>
      <c r="E750" s="7"/>
    </row>
    <row r="751" ht="15.75" customHeight="1">
      <c r="D751" s="4"/>
      <c r="E751" s="7"/>
    </row>
    <row r="752" ht="15.75" customHeight="1">
      <c r="D752" s="4"/>
      <c r="E752" s="7"/>
    </row>
    <row r="753" ht="15.75" customHeight="1">
      <c r="D753" s="4"/>
      <c r="E753" s="7"/>
    </row>
    <row r="754" ht="15.75" customHeight="1">
      <c r="D754" s="4"/>
      <c r="E754" s="7"/>
    </row>
    <row r="755" ht="15.75" customHeight="1">
      <c r="D755" s="4"/>
      <c r="E755" s="7"/>
    </row>
    <row r="756" ht="15.75" customHeight="1">
      <c r="D756" s="4"/>
      <c r="E756" s="7"/>
    </row>
    <row r="757" ht="15.75" customHeight="1">
      <c r="D757" s="4"/>
      <c r="E757" s="7"/>
    </row>
    <row r="758" ht="15.75" customHeight="1">
      <c r="D758" s="4"/>
      <c r="E758" s="7"/>
    </row>
    <row r="759" ht="15.75" customHeight="1">
      <c r="D759" s="4"/>
      <c r="E759" s="7"/>
    </row>
    <row r="760" ht="15.75" customHeight="1">
      <c r="D760" s="4"/>
      <c r="E760" s="7"/>
    </row>
    <row r="761" ht="15.75" customHeight="1">
      <c r="D761" s="4"/>
      <c r="E761" s="7"/>
    </row>
    <row r="762" ht="15.75" customHeight="1">
      <c r="D762" s="4"/>
      <c r="E762" s="7"/>
    </row>
    <row r="763" ht="15.75" customHeight="1">
      <c r="D763" s="4"/>
      <c r="E763" s="7"/>
    </row>
    <row r="764" ht="15.75" customHeight="1">
      <c r="D764" s="4"/>
      <c r="E764" s="7"/>
    </row>
    <row r="765" ht="15.75" customHeight="1">
      <c r="D765" s="4"/>
      <c r="E765" s="7"/>
    </row>
    <row r="766" ht="15.75" customHeight="1">
      <c r="D766" s="4"/>
      <c r="E766" s="7"/>
    </row>
    <row r="767" ht="15.75" customHeight="1">
      <c r="D767" s="4"/>
      <c r="E767" s="7"/>
    </row>
    <row r="768" ht="15.75" customHeight="1">
      <c r="D768" s="4"/>
      <c r="E768" s="7"/>
    </row>
    <row r="769" ht="15.75" customHeight="1">
      <c r="D769" s="4"/>
      <c r="E769" s="7"/>
    </row>
    <row r="770" ht="15.75" customHeight="1">
      <c r="D770" s="4"/>
      <c r="E770" s="7"/>
    </row>
    <row r="771" ht="15.75" customHeight="1">
      <c r="D771" s="4"/>
      <c r="E771" s="7"/>
    </row>
    <row r="772" ht="15.75" customHeight="1">
      <c r="D772" s="4"/>
      <c r="E772" s="7"/>
    </row>
    <row r="773" ht="15.75" customHeight="1">
      <c r="D773" s="4"/>
      <c r="E773" s="7"/>
    </row>
    <row r="774" ht="15.75" customHeight="1">
      <c r="D774" s="4"/>
      <c r="E774" s="7"/>
    </row>
    <row r="775" ht="15.75" customHeight="1">
      <c r="D775" s="4"/>
      <c r="E775" s="7"/>
    </row>
    <row r="776" ht="15.75" customHeight="1">
      <c r="D776" s="4"/>
      <c r="E776" s="7"/>
    </row>
    <row r="777" ht="15.75" customHeight="1">
      <c r="D777" s="4"/>
      <c r="E777" s="7"/>
    </row>
    <row r="778" ht="15.75" customHeight="1">
      <c r="D778" s="4"/>
      <c r="E778" s="7"/>
    </row>
    <row r="779" ht="15.75" customHeight="1">
      <c r="D779" s="4"/>
      <c r="E779" s="7"/>
    </row>
    <row r="780" ht="15.75" customHeight="1">
      <c r="D780" s="4"/>
      <c r="E780" s="7"/>
    </row>
    <row r="781" ht="15.75" customHeight="1">
      <c r="D781" s="4"/>
      <c r="E781" s="7"/>
    </row>
    <row r="782" ht="15.75" customHeight="1">
      <c r="D782" s="4"/>
      <c r="E782" s="7"/>
    </row>
    <row r="783" ht="15.75" customHeight="1">
      <c r="D783" s="4"/>
      <c r="E783" s="7"/>
    </row>
    <row r="784" ht="15.75" customHeight="1">
      <c r="D784" s="4"/>
      <c r="E784" s="7"/>
    </row>
    <row r="785" ht="15.75" customHeight="1">
      <c r="D785" s="4"/>
      <c r="E785" s="7"/>
    </row>
    <row r="786" ht="15.75" customHeight="1">
      <c r="D786" s="4"/>
      <c r="E786" s="7"/>
    </row>
    <row r="787" ht="15.75" customHeight="1">
      <c r="D787" s="4"/>
      <c r="E787" s="7"/>
    </row>
    <row r="788" ht="15.75" customHeight="1">
      <c r="D788" s="4"/>
      <c r="E788" s="7"/>
    </row>
    <row r="789" ht="15.75" customHeight="1">
      <c r="D789" s="4"/>
      <c r="E789" s="7"/>
    </row>
    <row r="790" ht="15.75" customHeight="1">
      <c r="D790" s="4"/>
      <c r="E790" s="7"/>
    </row>
    <row r="791" ht="15.75" customHeight="1">
      <c r="D791" s="4"/>
      <c r="E791" s="7"/>
    </row>
    <row r="792" ht="15.75" customHeight="1">
      <c r="D792" s="4"/>
      <c r="E792" s="7"/>
    </row>
    <row r="793" ht="15.75" customHeight="1">
      <c r="D793" s="4"/>
      <c r="E793" s="7"/>
    </row>
    <row r="794" ht="15.75" customHeight="1">
      <c r="D794" s="4"/>
      <c r="E794" s="7"/>
    </row>
    <row r="795" ht="15.75" customHeight="1">
      <c r="D795" s="4"/>
      <c r="E795" s="7"/>
    </row>
    <row r="796" ht="15.75" customHeight="1">
      <c r="D796" s="4"/>
      <c r="E796" s="7"/>
    </row>
    <row r="797" ht="15.75" customHeight="1">
      <c r="D797" s="4"/>
      <c r="E797" s="7"/>
    </row>
    <row r="798" ht="15.75" customHeight="1">
      <c r="D798" s="4"/>
      <c r="E798" s="7"/>
    </row>
    <row r="799" ht="15.75" customHeight="1">
      <c r="D799" s="4"/>
      <c r="E799" s="7"/>
    </row>
    <row r="800" ht="15.75" customHeight="1">
      <c r="D800" s="4"/>
      <c r="E800" s="7"/>
    </row>
    <row r="801" ht="15.75" customHeight="1">
      <c r="D801" s="4"/>
      <c r="E801" s="7"/>
    </row>
    <row r="802" ht="15.75" customHeight="1">
      <c r="D802" s="4"/>
      <c r="E802" s="7"/>
    </row>
    <row r="803" ht="15.75" customHeight="1">
      <c r="D803" s="4"/>
      <c r="E803" s="7"/>
    </row>
    <row r="804" ht="15.75" customHeight="1">
      <c r="D804" s="4"/>
      <c r="E804" s="7"/>
    </row>
    <row r="805" ht="15.75" customHeight="1">
      <c r="D805" s="4"/>
      <c r="E805" s="7"/>
    </row>
    <row r="806" ht="15.75" customHeight="1">
      <c r="D806" s="4"/>
      <c r="E806" s="7"/>
    </row>
    <row r="807" ht="15.75" customHeight="1">
      <c r="D807" s="4"/>
      <c r="E807" s="7"/>
    </row>
    <row r="808" ht="15.75" customHeight="1">
      <c r="D808" s="4"/>
      <c r="E808" s="7"/>
    </row>
    <row r="809" ht="15.75" customHeight="1">
      <c r="D809" s="4"/>
      <c r="E809" s="7"/>
    </row>
    <row r="810" ht="15.75" customHeight="1">
      <c r="D810" s="4"/>
      <c r="E810" s="7"/>
    </row>
    <row r="811" ht="15.75" customHeight="1">
      <c r="D811" s="4"/>
      <c r="E811" s="7"/>
    </row>
    <row r="812" ht="15.75" customHeight="1">
      <c r="D812" s="4"/>
      <c r="E812" s="7"/>
    </row>
    <row r="813" ht="15.75" customHeight="1">
      <c r="D813" s="4"/>
      <c r="E813" s="7"/>
    </row>
    <row r="814" ht="15.75" customHeight="1">
      <c r="D814" s="4"/>
      <c r="E814" s="7"/>
    </row>
    <row r="815" ht="15.75" customHeight="1">
      <c r="D815" s="4"/>
      <c r="E815" s="7"/>
    </row>
    <row r="816" ht="15.75" customHeight="1">
      <c r="D816" s="4"/>
      <c r="E816" s="7"/>
    </row>
    <row r="817" ht="15.75" customHeight="1">
      <c r="D817" s="4"/>
      <c r="E817" s="7"/>
    </row>
    <row r="818" ht="15.75" customHeight="1">
      <c r="D818" s="4"/>
      <c r="E818" s="7"/>
    </row>
    <row r="819" ht="15.75" customHeight="1">
      <c r="D819" s="4"/>
      <c r="E819" s="7"/>
    </row>
    <row r="820" ht="15.75" customHeight="1">
      <c r="D820" s="4"/>
      <c r="E820" s="7"/>
    </row>
    <row r="821" ht="15.75" customHeight="1">
      <c r="D821" s="4"/>
      <c r="E821" s="7"/>
    </row>
    <row r="822" ht="15.75" customHeight="1">
      <c r="D822" s="4"/>
      <c r="E822" s="7"/>
    </row>
    <row r="823" ht="15.75" customHeight="1">
      <c r="D823" s="4"/>
      <c r="E823" s="7"/>
    </row>
    <row r="824" ht="15.75" customHeight="1">
      <c r="D824" s="4"/>
      <c r="E824" s="7"/>
    </row>
    <row r="825" ht="15.75" customHeight="1">
      <c r="D825" s="4"/>
      <c r="E825" s="7"/>
    </row>
    <row r="826" ht="15.75" customHeight="1">
      <c r="D826" s="4"/>
      <c r="E826" s="7"/>
    </row>
    <row r="827" ht="15.75" customHeight="1">
      <c r="D827" s="4"/>
      <c r="E827" s="7"/>
    </row>
    <row r="828" ht="15.75" customHeight="1">
      <c r="D828" s="4"/>
      <c r="E828" s="7"/>
    </row>
    <row r="829" ht="15.75" customHeight="1">
      <c r="D829" s="4"/>
      <c r="E829" s="7"/>
    </row>
    <row r="830" ht="15.75" customHeight="1">
      <c r="D830" s="4"/>
      <c r="E830" s="7"/>
    </row>
    <row r="831" ht="15.75" customHeight="1">
      <c r="D831" s="4"/>
      <c r="E831" s="7"/>
    </row>
    <row r="832" ht="15.75" customHeight="1">
      <c r="D832" s="4"/>
      <c r="E832" s="7"/>
    </row>
    <row r="833" ht="15.75" customHeight="1">
      <c r="D833" s="4"/>
      <c r="E833" s="7"/>
    </row>
    <row r="834" ht="15.75" customHeight="1">
      <c r="D834" s="4"/>
      <c r="E834" s="7"/>
    </row>
    <row r="835" ht="15.75" customHeight="1">
      <c r="D835" s="4"/>
      <c r="E835" s="7"/>
    </row>
    <row r="836" ht="15.75" customHeight="1">
      <c r="D836" s="4"/>
      <c r="E836" s="7"/>
    </row>
    <row r="837" ht="15.75" customHeight="1">
      <c r="D837" s="4"/>
      <c r="E837" s="7"/>
    </row>
    <row r="838" ht="15.75" customHeight="1">
      <c r="D838" s="4"/>
      <c r="E838" s="7"/>
    </row>
    <row r="839" ht="15.75" customHeight="1">
      <c r="D839" s="4"/>
      <c r="E839" s="7"/>
    </row>
    <row r="840" ht="15.75" customHeight="1">
      <c r="D840" s="4"/>
      <c r="E840" s="7"/>
    </row>
    <row r="841" ht="15.75" customHeight="1">
      <c r="D841" s="4"/>
      <c r="E841" s="7"/>
    </row>
    <row r="842" ht="15.75" customHeight="1">
      <c r="D842" s="4"/>
      <c r="E842" s="7"/>
    </row>
    <row r="843" ht="15.75" customHeight="1">
      <c r="D843" s="4"/>
      <c r="E843" s="7"/>
    </row>
    <row r="844" ht="15.75" customHeight="1">
      <c r="D844" s="4"/>
      <c r="E844" s="7"/>
    </row>
    <row r="845" ht="15.75" customHeight="1">
      <c r="D845" s="4"/>
      <c r="E845" s="7"/>
    </row>
    <row r="846" ht="15.75" customHeight="1">
      <c r="D846" s="4"/>
      <c r="E846" s="7"/>
    </row>
    <row r="847" ht="15.75" customHeight="1">
      <c r="D847" s="4"/>
      <c r="E847" s="7"/>
    </row>
    <row r="848" ht="15.75" customHeight="1">
      <c r="D848" s="4"/>
      <c r="E848" s="7"/>
    </row>
    <row r="849" ht="15.75" customHeight="1">
      <c r="D849" s="4"/>
      <c r="E849" s="7"/>
    </row>
    <row r="850" ht="15.75" customHeight="1">
      <c r="D850" s="4"/>
      <c r="E850" s="7"/>
    </row>
    <row r="851" ht="15.75" customHeight="1">
      <c r="D851" s="4"/>
      <c r="E851" s="7"/>
    </row>
    <row r="852" ht="15.75" customHeight="1">
      <c r="D852" s="4"/>
      <c r="E852" s="7"/>
    </row>
    <row r="853" ht="15.75" customHeight="1">
      <c r="D853" s="4"/>
      <c r="E853" s="7"/>
    </row>
    <row r="854" ht="15.75" customHeight="1">
      <c r="D854" s="4"/>
      <c r="E854" s="7"/>
    </row>
    <row r="855" ht="15.75" customHeight="1">
      <c r="D855" s="4"/>
      <c r="E855" s="7"/>
    </row>
    <row r="856" ht="15.75" customHeight="1">
      <c r="D856" s="4"/>
      <c r="E856" s="7"/>
    </row>
    <row r="857" ht="15.75" customHeight="1">
      <c r="D857" s="4"/>
      <c r="E857" s="7"/>
    </row>
    <row r="858" ht="15.75" customHeight="1">
      <c r="D858" s="4"/>
      <c r="E858" s="7"/>
    </row>
    <row r="859" ht="15.75" customHeight="1">
      <c r="D859" s="4"/>
      <c r="E859" s="7"/>
    </row>
    <row r="860" ht="15.75" customHeight="1">
      <c r="D860" s="4"/>
      <c r="E860" s="7"/>
    </row>
    <row r="861" ht="15.75" customHeight="1">
      <c r="D861" s="4"/>
      <c r="E861" s="7"/>
    </row>
    <row r="862" ht="15.75" customHeight="1">
      <c r="D862" s="4"/>
      <c r="E862" s="7"/>
    </row>
    <row r="863" ht="15.75" customHeight="1">
      <c r="D863" s="4"/>
      <c r="E863" s="7"/>
    </row>
    <row r="864" ht="15.75" customHeight="1">
      <c r="D864" s="4"/>
      <c r="E864" s="7"/>
    </row>
    <row r="865" ht="15.75" customHeight="1">
      <c r="D865" s="4"/>
      <c r="E865" s="7"/>
    </row>
    <row r="866" ht="15.75" customHeight="1">
      <c r="D866" s="4"/>
      <c r="E866" s="7"/>
    </row>
    <row r="867" ht="15.75" customHeight="1">
      <c r="D867" s="4"/>
      <c r="E867" s="7"/>
    </row>
    <row r="868" ht="15.75" customHeight="1">
      <c r="D868" s="4"/>
      <c r="E868" s="7"/>
    </row>
    <row r="869" ht="15.75" customHeight="1">
      <c r="D869" s="4"/>
      <c r="E869" s="7"/>
    </row>
    <row r="870" ht="15.75" customHeight="1">
      <c r="D870" s="4"/>
      <c r="E870" s="7"/>
    </row>
    <row r="871" ht="15.75" customHeight="1">
      <c r="D871" s="4"/>
      <c r="E871" s="7"/>
    </row>
    <row r="872" ht="15.75" customHeight="1">
      <c r="D872" s="4"/>
      <c r="E872" s="7"/>
    </row>
    <row r="873" ht="15.75" customHeight="1">
      <c r="D873" s="4"/>
      <c r="E873" s="7"/>
    </row>
    <row r="874" ht="15.75" customHeight="1">
      <c r="D874" s="4"/>
      <c r="E874" s="7"/>
    </row>
    <row r="875" ht="15.75" customHeight="1">
      <c r="D875" s="4"/>
      <c r="E875" s="7"/>
    </row>
    <row r="876" ht="15.75" customHeight="1">
      <c r="D876" s="4"/>
      <c r="E876" s="7"/>
    </row>
    <row r="877" ht="15.75" customHeight="1">
      <c r="D877" s="4"/>
      <c r="E877" s="7"/>
    </row>
    <row r="878" ht="15.75" customHeight="1">
      <c r="D878" s="4"/>
      <c r="E878" s="7"/>
    </row>
    <row r="879" ht="15.75" customHeight="1">
      <c r="D879" s="4"/>
      <c r="E879" s="7"/>
    </row>
    <row r="880" ht="15.75" customHeight="1">
      <c r="D880" s="4"/>
      <c r="E880" s="7"/>
    </row>
    <row r="881" ht="15.75" customHeight="1">
      <c r="D881" s="4"/>
      <c r="E881" s="7"/>
    </row>
    <row r="882" ht="15.75" customHeight="1">
      <c r="D882" s="4"/>
      <c r="E882" s="7"/>
    </row>
    <row r="883" ht="15.75" customHeight="1">
      <c r="D883" s="4"/>
      <c r="E883" s="7"/>
    </row>
    <row r="884" ht="15.75" customHeight="1">
      <c r="D884" s="4"/>
      <c r="E884" s="7"/>
    </row>
    <row r="885" ht="15.75" customHeight="1">
      <c r="D885" s="4"/>
      <c r="E885" s="7"/>
    </row>
    <row r="886" ht="15.75" customHeight="1">
      <c r="D886" s="4"/>
      <c r="E886" s="7"/>
    </row>
    <row r="887" ht="15.75" customHeight="1">
      <c r="D887" s="4"/>
      <c r="E887" s="7"/>
    </row>
    <row r="888" ht="15.75" customHeight="1">
      <c r="D888" s="4"/>
      <c r="E888" s="7"/>
    </row>
    <row r="889" ht="15.75" customHeight="1">
      <c r="D889" s="4"/>
      <c r="E889" s="7"/>
    </row>
    <row r="890" ht="15.75" customHeight="1">
      <c r="D890" s="4"/>
      <c r="E890" s="7"/>
    </row>
    <row r="891" ht="15.75" customHeight="1">
      <c r="D891" s="4"/>
      <c r="E891" s="7"/>
    </row>
    <row r="892" ht="15.75" customHeight="1">
      <c r="D892" s="4"/>
      <c r="E892" s="7"/>
    </row>
    <row r="893" ht="15.75" customHeight="1">
      <c r="D893" s="4"/>
      <c r="E893" s="7"/>
    </row>
    <row r="894" ht="15.75" customHeight="1">
      <c r="D894" s="4"/>
      <c r="E894" s="7"/>
    </row>
    <row r="895" ht="15.75" customHeight="1">
      <c r="D895" s="4"/>
      <c r="E895" s="7"/>
    </row>
    <row r="896" ht="15.75" customHeight="1">
      <c r="D896" s="4"/>
      <c r="E896" s="7"/>
    </row>
    <row r="897" ht="15.75" customHeight="1">
      <c r="D897" s="4"/>
      <c r="E897" s="7"/>
    </row>
    <row r="898" ht="15.75" customHeight="1">
      <c r="D898" s="4"/>
      <c r="E898" s="7"/>
    </row>
    <row r="899" ht="15.75" customHeight="1">
      <c r="D899" s="4"/>
      <c r="E899" s="7"/>
    </row>
    <row r="900" ht="15.75" customHeight="1">
      <c r="D900" s="4"/>
      <c r="E900" s="7"/>
    </row>
    <row r="901" ht="15.75" customHeight="1">
      <c r="D901" s="4"/>
      <c r="E901" s="7"/>
    </row>
    <row r="902" ht="15.75" customHeight="1">
      <c r="D902" s="4"/>
      <c r="E902" s="7"/>
    </row>
    <row r="903" ht="15.75" customHeight="1">
      <c r="D903" s="4"/>
      <c r="E903" s="7"/>
    </row>
    <row r="904" ht="15.75" customHeight="1">
      <c r="D904" s="4"/>
      <c r="E904" s="7"/>
    </row>
    <row r="905" ht="15.75" customHeight="1">
      <c r="D905" s="4"/>
      <c r="E905" s="7"/>
    </row>
    <row r="906" ht="15.75" customHeight="1">
      <c r="D906" s="4"/>
      <c r="E906" s="7"/>
    </row>
    <row r="907" ht="15.75" customHeight="1">
      <c r="D907" s="4"/>
      <c r="E907" s="7"/>
    </row>
    <row r="908" ht="15.75" customHeight="1">
      <c r="D908" s="4"/>
      <c r="E908" s="7"/>
    </row>
    <row r="909" ht="15.75" customHeight="1">
      <c r="D909" s="4"/>
      <c r="E909" s="7"/>
    </row>
    <row r="910" ht="15.75" customHeight="1">
      <c r="D910" s="4"/>
      <c r="E910" s="7"/>
    </row>
    <row r="911" ht="15.75" customHeight="1">
      <c r="D911" s="4"/>
      <c r="E911" s="7"/>
    </row>
    <row r="912" ht="15.75" customHeight="1">
      <c r="D912" s="4"/>
      <c r="E912" s="7"/>
    </row>
    <row r="913" ht="15.75" customHeight="1">
      <c r="D913" s="4"/>
      <c r="E913" s="7"/>
    </row>
    <row r="914" ht="15.75" customHeight="1">
      <c r="D914" s="4"/>
      <c r="E914" s="7"/>
    </row>
    <row r="915" ht="15.75" customHeight="1">
      <c r="D915" s="4"/>
      <c r="E915" s="7"/>
    </row>
    <row r="916" ht="15.75" customHeight="1">
      <c r="D916" s="4"/>
      <c r="E916" s="7"/>
    </row>
    <row r="917" ht="15.75" customHeight="1">
      <c r="D917" s="4"/>
      <c r="E917" s="7"/>
    </row>
    <row r="918" ht="15.75" customHeight="1">
      <c r="D918" s="4"/>
      <c r="E918" s="7"/>
    </row>
    <row r="919" ht="15.75" customHeight="1">
      <c r="D919" s="4"/>
      <c r="E919" s="7"/>
    </row>
    <row r="920" ht="15.75" customHeight="1">
      <c r="D920" s="4"/>
      <c r="E920" s="7"/>
    </row>
    <row r="921" ht="15.75" customHeight="1">
      <c r="D921" s="4"/>
      <c r="E921" s="7"/>
    </row>
    <row r="922" ht="15.75" customHeight="1">
      <c r="D922" s="4"/>
      <c r="E922" s="7"/>
    </row>
    <row r="923" ht="15.75" customHeight="1">
      <c r="D923" s="4"/>
      <c r="E923" s="7"/>
    </row>
    <row r="924" ht="15.75" customHeight="1">
      <c r="D924" s="4"/>
      <c r="E924" s="7"/>
    </row>
    <row r="925" ht="15.75" customHeight="1">
      <c r="D925" s="4"/>
      <c r="E925" s="7"/>
    </row>
    <row r="926" ht="15.75" customHeight="1">
      <c r="D926" s="4"/>
      <c r="E926" s="7"/>
    </row>
    <row r="927" ht="15.75" customHeight="1">
      <c r="D927" s="4"/>
      <c r="E927" s="7"/>
    </row>
    <row r="928" ht="15.75" customHeight="1">
      <c r="D928" s="4"/>
      <c r="E928" s="7"/>
    </row>
    <row r="929" ht="15.75" customHeight="1">
      <c r="D929" s="4"/>
      <c r="E929" s="7"/>
    </row>
    <row r="930" ht="15.75" customHeight="1">
      <c r="D930" s="4"/>
      <c r="E930" s="7"/>
    </row>
    <row r="931" ht="15.75" customHeight="1">
      <c r="D931" s="4"/>
      <c r="E931" s="7"/>
    </row>
    <row r="932" ht="15.75" customHeight="1">
      <c r="D932" s="4"/>
      <c r="E932" s="7"/>
    </row>
    <row r="933" ht="15.75" customHeight="1">
      <c r="D933" s="4"/>
      <c r="E933" s="7"/>
    </row>
    <row r="934" ht="15.75" customHeight="1">
      <c r="D934" s="4"/>
      <c r="E934" s="7"/>
    </row>
    <row r="935" ht="15.75" customHeight="1">
      <c r="D935" s="4"/>
      <c r="E935" s="7"/>
    </row>
    <row r="936" ht="15.75" customHeight="1">
      <c r="D936" s="4"/>
      <c r="E936" s="7"/>
    </row>
    <row r="937" ht="15.75" customHeight="1">
      <c r="D937" s="4"/>
      <c r="E937" s="7"/>
    </row>
    <row r="938" ht="15.75" customHeight="1">
      <c r="D938" s="4"/>
      <c r="E938" s="7"/>
    </row>
    <row r="939" ht="15.75" customHeight="1">
      <c r="D939" s="4"/>
      <c r="E939" s="7"/>
    </row>
    <row r="940" ht="15.75" customHeight="1">
      <c r="D940" s="4"/>
      <c r="E940" s="7"/>
    </row>
    <row r="941" ht="15.75" customHeight="1">
      <c r="D941" s="4"/>
      <c r="E941" s="7"/>
    </row>
    <row r="942" ht="15.75" customHeight="1">
      <c r="D942" s="4"/>
      <c r="E942" s="7"/>
    </row>
    <row r="943" ht="15.75" customHeight="1">
      <c r="D943" s="4"/>
      <c r="E943" s="7"/>
    </row>
    <row r="944" ht="15.75" customHeight="1">
      <c r="D944" s="4"/>
      <c r="E944" s="7"/>
    </row>
    <row r="945" ht="15.75" customHeight="1">
      <c r="D945" s="4"/>
      <c r="E945" s="7"/>
    </row>
    <row r="946" ht="15.75" customHeight="1">
      <c r="D946" s="4"/>
      <c r="E946" s="7"/>
    </row>
    <row r="947" ht="15.75" customHeight="1">
      <c r="D947" s="4"/>
      <c r="E947" s="7"/>
    </row>
    <row r="948" ht="15.75" customHeight="1">
      <c r="D948" s="4"/>
      <c r="E948" s="7"/>
    </row>
    <row r="949" ht="15.75" customHeight="1">
      <c r="D949" s="4"/>
      <c r="E949" s="7"/>
    </row>
    <row r="950" ht="15.75" customHeight="1">
      <c r="D950" s="4"/>
      <c r="E950" s="7"/>
    </row>
    <row r="951" ht="15.75" customHeight="1">
      <c r="D951" s="4"/>
      <c r="E951" s="7"/>
    </row>
    <row r="952" ht="15.75" customHeight="1">
      <c r="D952" s="4"/>
      <c r="E952" s="7"/>
    </row>
    <row r="953" ht="15.75" customHeight="1">
      <c r="D953" s="4"/>
      <c r="E953" s="7"/>
    </row>
    <row r="954" ht="15.75" customHeight="1">
      <c r="D954" s="4"/>
      <c r="E954" s="7"/>
    </row>
    <row r="955" ht="15.75" customHeight="1">
      <c r="D955" s="4"/>
      <c r="E955" s="7"/>
    </row>
    <row r="956" ht="15.75" customHeight="1">
      <c r="D956" s="4"/>
      <c r="E956" s="7"/>
    </row>
    <row r="957" ht="15.75" customHeight="1">
      <c r="D957" s="4"/>
      <c r="E957" s="7"/>
    </row>
    <row r="958" ht="15.75" customHeight="1">
      <c r="D958" s="4"/>
      <c r="E958" s="7"/>
    </row>
    <row r="959" ht="15.75" customHeight="1">
      <c r="D959" s="4"/>
      <c r="E959" s="7"/>
    </row>
    <row r="960" ht="15.75" customHeight="1">
      <c r="D960" s="4"/>
      <c r="E960" s="7"/>
    </row>
    <row r="961" ht="15.75" customHeight="1">
      <c r="D961" s="4"/>
      <c r="E961" s="7"/>
    </row>
    <row r="962" ht="15.75" customHeight="1">
      <c r="D962" s="4"/>
      <c r="E962" s="7"/>
    </row>
    <row r="963" ht="15.75" customHeight="1">
      <c r="D963" s="4"/>
      <c r="E963" s="7"/>
    </row>
    <row r="964" ht="15.75" customHeight="1">
      <c r="D964" s="4"/>
      <c r="E964" s="7"/>
    </row>
    <row r="965" ht="15.75" customHeight="1">
      <c r="D965" s="4"/>
      <c r="E965" s="7"/>
    </row>
    <row r="966" ht="15.75" customHeight="1">
      <c r="D966" s="4"/>
      <c r="E966" s="7"/>
    </row>
    <row r="967" ht="15.75" customHeight="1">
      <c r="D967" s="4"/>
      <c r="E967" s="7"/>
    </row>
    <row r="968" ht="15.75" customHeight="1">
      <c r="D968" s="4"/>
      <c r="E968" s="7"/>
    </row>
    <row r="969" ht="15.75" customHeight="1">
      <c r="D969" s="4"/>
      <c r="E969" s="7"/>
    </row>
    <row r="970" ht="15.75" customHeight="1">
      <c r="D970" s="4"/>
      <c r="E970" s="7"/>
    </row>
    <row r="971" ht="15.75" customHeight="1">
      <c r="D971" s="4"/>
      <c r="E971" s="7"/>
    </row>
    <row r="972" ht="15.75" customHeight="1">
      <c r="D972" s="4"/>
      <c r="E972" s="7"/>
    </row>
    <row r="973" ht="15.75" customHeight="1">
      <c r="D973" s="4"/>
      <c r="E973" s="7"/>
    </row>
    <row r="974" ht="15.75" customHeight="1">
      <c r="D974" s="4"/>
      <c r="E974" s="7"/>
    </row>
    <row r="975" ht="15.75" customHeight="1">
      <c r="D975" s="4"/>
      <c r="E975" s="7"/>
    </row>
    <row r="976" ht="15.75" customHeight="1">
      <c r="D976" s="4"/>
      <c r="E976" s="7"/>
    </row>
    <row r="977" ht="15.75" customHeight="1">
      <c r="D977" s="4"/>
      <c r="E977" s="7"/>
    </row>
    <row r="978" ht="15.75" customHeight="1">
      <c r="D978" s="4"/>
      <c r="E978" s="7"/>
    </row>
    <row r="979" ht="15.75" customHeight="1">
      <c r="D979" s="4"/>
      <c r="E979" s="7"/>
    </row>
    <row r="980" ht="15.75" customHeight="1">
      <c r="D980" s="4"/>
      <c r="E980" s="7"/>
    </row>
    <row r="981" ht="15.75" customHeight="1">
      <c r="D981" s="4"/>
      <c r="E981" s="7"/>
    </row>
    <row r="982" ht="15.75" customHeight="1">
      <c r="D982" s="4"/>
      <c r="E982" s="7"/>
    </row>
    <row r="983" ht="15.75" customHeight="1">
      <c r="D983" s="4"/>
      <c r="E983" s="7"/>
    </row>
    <row r="984" ht="15.75" customHeight="1">
      <c r="D984" s="4"/>
      <c r="E984" s="7"/>
    </row>
    <row r="985" ht="15.75" customHeight="1">
      <c r="D985" s="4"/>
      <c r="E985" s="7"/>
    </row>
    <row r="986" ht="15.75" customHeight="1">
      <c r="D986" s="4"/>
      <c r="E986" s="7"/>
    </row>
    <row r="987" ht="15.75" customHeight="1">
      <c r="D987" s="4"/>
      <c r="E987" s="7"/>
    </row>
    <row r="988" ht="15.75" customHeight="1">
      <c r="D988" s="4"/>
      <c r="E988" s="7"/>
    </row>
    <row r="989" ht="15.75" customHeight="1">
      <c r="D989" s="4"/>
      <c r="E989" s="7"/>
    </row>
    <row r="990" ht="15.75" customHeight="1">
      <c r="D990" s="4"/>
      <c r="E990" s="7"/>
    </row>
    <row r="991" ht="15.75" customHeight="1">
      <c r="D991" s="4"/>
      <c r="E991" s="7"/>
    </row>
    <row r="992" ht="15.75" customHeight="1">
      <c r="D992" s="4"/>
      <c r="E992" s="7"/>
    </row>
    <row r="993" ht="15.75" customHeight="1">
      <c r="D993" s="4"/>
      <c r="E993" s="7"/>
    </row>
    <row r="994" ht="15.75" customHeight="1">
      <c r="D994" s="4"/>
      <c r="E994" s="7"/>
    </row>
    <row r="995" ht="15.75" customHeight="1">
      <c r="D995" s="4"/>
      <c r="E995" s="7"/>
    </row>
    <row r="996" ht="15.75" customHeight="1">
      <c r="D996" s="4"/>
      <c r="E996" s="7"/>
    </row>
    <row r="997" ht="15.75" customHeight="1">
      <c r="D997" s="4"/>
      <c r="E997" s="7"/>
    </row>
    <row r="998" ht="15.75" customHeight="1">
      <c r="D998" s="4"/>
      <c r="E998" s="7"/>
    </row>
    <row r="999" ht="15.75" customHeight="1">
      <c r="D999" s="4"/>
      <c r="E999" s="7"/>
    </row>
    <row r="1000" ht="15.75" customHeight="1">
      <c r="D1000" s="4"/>
      <c r="E1000" s="7"/>
    </row>
  </sheetData>
  <dataValidations>
    <dataValidation type="list" allowBlank="1" showErrorMessage="1" sqref="D15">
      <formula1>"Low,Medium,Complex"</formula1>
    </dataValidation>
    <dataValidation type="list" allowBlank="1" showErrorMessage="1" sqref="D20">
      <formula1>"EX-W,DAP,DDP,FOB"</formula1>
    </dataValidation>
    <dataValidation type="list" allowBlank="1" showErrorMessage="1" sqref="E6:E107">
      <formula1>#REF!</formula1>
    </dataValidation>
    <dataValidation type="list" allowBlank="1" showErrorMessage="1" sqref="D18">
      <formula1>"No Packing,Reusable,Non reusable"</formula1>
    </dataValidation>
    <dataValidation type="list" allowBlank="1" showErrorMessage="1" sqref="D21">
      <formula1>"30 Days,45 Days,60 Days,75 Days,90 Days,105 Days,120 Days"</formula1>
    </dataValidation>
    <dataValidation type="list" allowBlank="1" showErrorMessage="1" sqref="D17">
      <formula1>"Make,Buy"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54.29"/>
    <col customWidth="1" min="4" max="4" width="36.71"/>
    <col customWidth="1" min="5" max="5" width="28.71"/>
    <col customWidth="1" min="6" max="6" width="90.0"/>
    <col customWidth="1" min="7" max="7" width="55.0"/>
    <col customWidth="1" min="8" max="8" width="104.43"/>
    <col customWidth="1" min="9" max="9" width="8.86"/>
    <col customWidth="1" min="10" max="26" width="8.71"/>
  </cols>
  <sheetData>
    <row r="1">
      <c r="A1" s="1"/>
      <c r="B1" s="2"/>
      <c r="C1" s="3" t="s">
        <v>1</v>
      </c>
      <c r="D1" s="4"/>
      <c r="E1" s="48"/>
    </row>
    <row r="2">
      <c r="B2" s="5"/>
      <c r="C2" s="3" t="s">
        <v>2</v>
      </c>
      <c r="D2" s="4"/>
      <c r="E2" s="7"/>
    </row>
    <row r="3">
      <c r="B3" s="6"/>
      <c r="C3" s="3" t="s">
        <v>3</v>
      </c>
      <c r="D3" s="4"/>
      <c r="E3" s="7"/>
    </row>
    <row r="4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9" t="s">
        <v>4</v>
      </c>
      <c r="C5" s="9" t="s">
        <v>5</v>
      </c>
      <c r="D5" s="10" t="s">
        <v>6</v>
      </c>
      <c r="E5" s="9"/>
      <c r="F5" s="9" t="s">
        <v>8</v>
      </c>
      <c r="G5" s="49" t="s">
        <v>164</v>
      </c>
    </row>
    <row r="6">
      <c r="B6" s="11" t="s">
        <v>10</v>
      </c>
      <c r="C6" s="12" t="s">
        <v>11</v>
      </c>
      <c r="D6" s="13"/>
      <c r="E6" s="12"/>
      <c r="F6" s="14" t="s">
        <v>12</v>
      </c>
    </row>
    <row r="7" ht="18.75" customHeight="1">
      <c r="B7" s="15"/>
      <c r="C7" s="12" t="s">
        <v>13</v>
      </c>
      <c r="D7" s="13"/>
      <c r="E7" s="12"/>
      <c r="F7" s="14" t="s">
        <v>12</v>
      </c>
    </row>
    <row r="8" ht="18.75" customHeight="1">
      <c r="B8" s="15"/>
      <c r="C8" s="12" t="s">
        <v>14</v>
      </c>
      <c r="D8" s="16">
        <v>120000.0</v>
      </c>
      <c r="E8" s="12"/>
      <c r="F8" s="14" t="s">
        <v>12</v>
      </c>
      <c r="K8" s="17"/>
    </row>
    <row r="9" ht="18.75" customHeight="1">
      <c r="B9" s="15"/>
      <c r="C9" s="12" t="s">
        <v>15</v>
      </c>
      <c r="D9" s="13" t="s">
        <v>16</v>
      </c>
      <c r="E9" s="12"/>
      <c r="F9" s="14" t="s">
        <v>12</v>
      </c>
    </row>
    <row r="10" ht="18.75" customHeight="1">
      <c r="B10" s="15"/>
      <c r="C10" s="12" t="s">
        <v>17</v>
      </c>
      <c r="D10" s="13" t="s">
        <v>165</v>
      </c>
      <c r="E10" s="12"/>
      <c r="F10" s="14" t="s">
        <v>19</v>
      </c>
    </row>
    <row r="11" ht="18.75" customHeight="1">
      <c r="B11" s="15"/>
      <c r="C11" s="12" t="s">
        <v>20</v>
      </c>
      <c r="D11" s="13"/>
      <c r="E11" s="12"/>
      <c r="F11" s="14" t="s">
        <v>21</v>
      </c>
    </row>
    <row r="12" ht="18.75" customHeight="1">
      <c r="B12" s="15"/>
      <c r="C12" s="12" t="s">
        <v>22</v>
      </c>
      <c r="D12" s="13" t="s">
        <v>23</v>
      </c>
      <c r="E12" s="12"/>
      <c r="F12" s="14" t="s">
        <v>21</v>
      </c>
    </row>
    <row r="13" ht="18.75" customHeight="1">
      <c r="B13" s="15"/>
      <c r="C13" s="12" t="s">
        <v>24</v>
      </c>
      <c r="D13" s="13" t="s">
        <v>23</v>
      </c>
      <c r="E13" s="12"/>
      <c r="F13" s="14" t="s">
        <v>21</v>
      </c>
    </row>
    <row r="14" ht="18.75" customHeight="1">
      <c r="B14" s="15"/>
      <c r="C14" s="12" t="s">
        <v>25</v>
      </c>
      <c r="D14" s="13">
        <v>1.0</v>
      </c>
      <c r="E14" s="12"/>
      <c r="F14" s="14" t="s">
        <v>12</v>
      </c>
    </row>
    <row r="15" ht="18.75" customHeight="1">
      <c r="B15" s="15"/>
      <c r="C15" s="12" t="s">
        <v>26</v>
      </c>
      <c r="D15" s="13" t="s">
        <v>27</v>
      </c>
      <c r="E15" s="12"/>
      <c r="F15" s="14" t="s">
        <v>28</v>
      </c>
    </row>
    <row r="16" ht="18.75" customHeight="1">
      <c r="B16" s="15"/>
      <c r="C16" s="12" t="s">
        <v>29</v>
      </c>
      <c r="D16" s="16">
        <f>+D8/12</f>
        <v>10000</v>
      </c>
      <c r="E16" s="12"/>
      <c r="F16" s="14" t="s">
        <v>30</v>
      </c>
    </row>
    <row r="17" ht="18.75" customHeight="1">
      <c r="B17" s="15"/>
      <c r="C17" s="12" t="s">
        <v>31</v>
      </c>
      <c r="D17" s="13" t="s">
        <v>32</v>
      </c>
      <c r="E17" s="12"/>
      <c r="F17" s="14" t="s">
        <v>33</v>
      </c>
    </row>
    <row r="18" ht="18.75" customHeight="1">
      <c r="B18" s="15"/>
      <c r="C18" s="12" t="s">
        <v>34</v>
      </c>
      <c r="D18" s="13" t="s">
        <v>35</v>
      </c>
      <c r="E18" s="12"/>
      <c r="F18" s="14" t="s">
        <v>36</v>
      </c>
    </row>
    <row r="19" ht="18.75" customHeight="1">
      <c r="B19" s="15"/>
      <c r="C19" s="12" t="s">
        <v>37</v>
      </c>
      <c r="D19" s="13" t="s">
        <v>38</v>
      </c>
      <c r="E19" s="12"/>
      <c r="F19" s="14" t="s">
        <v>12</v>
      </c>
    </row>
    <row r="20" ht="18.75" customHeight="1">
      <c r="B20" s="15"/>
      <c r="C20" s="12" t="s">
        <v>39</v>
      </c>
      <c r="D20" s="13" t="s">
        <v>40</v>
      </c>
      <c r="E20" s="12"/>
      <c r="F20" s="14" t="s">
        <v>41</v>
      </c>
    </row>
    <row r="21" ht="18.75" customHeight="1">
      <c r="B21" s="15"/>
      <c r="C21" s="12" t="s">
        <v>42</v>
      </c>
      <c r="D21" s="13" t="s">
        <v>43</v>
      </c>
      <c r="E21" s="12"/>
      <c r="F21" s="14" t="s">
        <v>41</v>
      </c>
    </row>
    <row r="22" ht="15.75" customHeight="1">
      <c r="B22" s="18" t="s">
        <v>44</v>
      </c>
      <c r="C22" s="19" t="s">
        <v>45</v>
      </c>
      <c r="D22" s="20" t="s">
        <v>46</v>
      </c>
      <c r="E22" s="19"/>
      <c r="F22" s="14" t="s">
        <v>47</v>
      </c>
    </row>
    <row r="23" ht="15.75" customHeight="1">
      <c r="B23" s="21"/>
      <c r="C23" s="19" t="s">
        <v>48</v>
      </c>
      <c r="D23" s="20" t="s">
        <v>49</v>
      </c>
      <c r="E23" s="19"/>
      <c r="F23" s="14" t="s">
        <v>47</v>
      </c>
    </row>
    <row r="24" ht="15.75" customHeight="1">
      <c r="B24" s="21"/>
      <c r="C24" s="19" t="s">
        <v>50</v>
      </c>
      <c r="D24" s="20" t="s">
        <v>51</v>
      </c>
      <c r="E24" s="19"/>
      <c r="F24" s="14" t="s">
        <v>47</v>
      </c>
    </row>
    <row r="25" ht="15.75" customHeight="1">
      <c r="B25" s="21"/>
      <c r="C25" s="19" t="s">
        <v>52</v>
      </c>
      <c r="D25" s="22">
        <v>7.85</v>
      </c>
      <c r="E25" s="19"/>
      <c r="F25" s="14" t="s">
        <v>53</v>
      </c>
    </row>
    <row r="26" ht="15.75" customHeight="1">
      <c r="B26" s="21"/>
      <c r="C26" s="19" t="s">
        <v>54</v>
      </c>
      <c r="D26" s="22">
        <v>1.5</v>
      </c>
      <c r="E26" s="19"/>
      <c r="F26" s="14" t="s">
        <v>53</v>
      </c>
    </row>
    <row r="27" ht="15.75" customHeight="1">
      <c r="B27" s="21"/>
      <c r="C27" s="19" t="s">
        <v>55</v>
      </c>
      <c r="D27" s="22">
        <v>0.4</v>
      </c>
      <c r="E27" s="19"/>
      <c r="F27" s="14" t="s">
        <v>53</v>
      </c>
    </row>
    <row r="28" ht="15.75" customHeight="1">
      <c r="B28" s="21"/>
      <c r="C28" s="19" t="s">
        <v>56</v>
      </c>
      <c r="D28" s="20">
        <v>50.0</v>
      </c>
      <c r="E28" s="19"/>
      <c r="F28" s="14" t="s">
        <v>47</v>
      </c>
    </row>
    <row r="29" ht="15.75" customHeight="1">
      <c r="B29" s="21"/>
      <c r="C29" s="19" t="s">
        <v>57</v>
      </c>
      <c r="D29" s="20">
        <v>30.0</v>
      </c>
      <c r="E29" s="19"/>
      <c r="F29" s="14" t="s">
        <v>47</v>
      </c>
    </row>
    <row r="30" ht="15.75" customHeight="1">
      <c r="B30" s="21"/>
      <c r="C30" s="19" t="s">
        <v>58</v>
      </c>
      <c r="D30" s="20">
        <v>2.0</v>
      </c>
      <c r="E30" s="19"/>
      <c r="F30" s="14" t="s">
        <v>47</v>
      </c>
    </row>
    <row r="31" ht="15.75" customHeight="1">
      <c r="B31" s="21"/>
      <c r="C31" s="19" t="s">
        <v>59</v>
      </c>
      <c r="D31" s="20">
        <v>23.1</v>
      </c>
      <c r="E31" s="19"/>
      <c r="F31" s="14" t="s">
        <v>47</v>
      </c>
    </row>
    <row r="32" ht="15.75" customHeight="1">
      <c r="B32" s="21"/>
      <c r="C32" s="19" t="s">
        <v>60</v>
      </c>
      <c r="D32" s="23">
        <f>+D28*D29</f>
        <v>1500</v>
      </c>
      <c r="E32" s="19"/>
      <c r="F32" s="14" t="s">
        <v>47</v>
      </c>
    </row>
    <row r="33" ht="15.75" customHeight="1">
      <c r="B33" s="21"/>
      <c r="C33" s="19" t="s">
        <v>61</v>
      </c>
      <c r="D33" s="23">
        <f>+D28*D29*D30</f>
        <v>3000</v>
      </c>
      <c r="E33" s="19"/>
      <c r="F33" s="14" t="s">
        <v>62</v>
      </c>
    </row>
    <row r="34" ht="15.75" customHeight="1">
      <c r="B34" s="21"/>
      <c r="C34" s="2" t="s">
        <v>63</v>
      </c>
      <c r="D34" s="24">
        <f>0.01*D30*((D51/10)^(1/2))+10</f>
        <v>10.11865918</v>
      </c>
      <c r="E34" s="19"/>
      <c r="F34" s="14" t="s">
        <v>64</v>
      </c>
      <c r="G34" s="14" t="s">
        <v>166</v>
      </c>
    </row>
    <row r="35" ht="15.75" customHeight="1">
      <c r="B35" s="21"/>
      <c r="C35" s="2" t="s">
        <v>66</v>
      </c>
      <c r="D35" s="23">
        <f>+ROUNDDOWN((D36-D38)/(D28+D34),0)</f>
        <v>7</v>
      </c>
      <c r="E35" s="19"/>
      <c r="F35" s="14" t="s">
        <v>64</v>
      </c>
      <c r="G35" s="14" t="s">
        <v>167</v>
      </c>
    </row>
    <row r="36" ht="15.75" customHeight="1">
      <c r="B36" s="21"/>
      <c r="C36" s="19" t="s">
        <v>168</v>
      </c>
      <c r="D36" s="27">
        <v>500.0</v>
      </c>
      <c r="E36" s="19"/>
      <c r="F36" s="14" t="s">
        <v>68</v>
      </c>
      <c r="G36" s="7"/>
    </row>
    <row r="37" ht="15.75" customHeight="1">
      <c r="B37" s="21"/>
      <c r="C37" s="19" t="s">
        <v>169</v>
      </c>
      <c r="D37" s="27">
        <v>12000.0</v>
      </c>
      <c r="E37" s="19"/>
      <c r="F37" s="14" t="s">
        <v>68</v>
      </c>
      <c r="G37" s="7"/>
    </row>
    <row r="38" ht="15.75" customHeight="1">
      <c r="B38" s="21"/>
      <c r="C38" s="19" t="s">
        <v>170</v>
      </c>
      <c r="D38" s="22">
        <v>20.0</v>
      </c>
      <c r="E38" s="19"/>
      <c r="F38" s="14" t="s">
        <v>71</v>
      </c>
      <c r="G38" s="7"/>
    </row>
    <row r="39" ht="15.75" customHeight="1">
      <c r="B39" s="21"/>
      <c r="C39" s="19" t="s">
        <v>171</v>
      </c>
      <c r="D39" s="23">
        <f>((D36-D38)*(D37-D38))/((D28+D34)*(D29+D34))</f>
        <v>2384.198221</v>
      </c>
      <c r="E39" s="19"/>
      <c r="F39" s="14" t="s">
        <v>64</v>
      </c>
      <c r="G39" s="14" t="s">
        <v>172</v>
      </c>
    </row>
    <row r="40" ht="15.75" customHeight="1">
      <c r="B40" s="21"/>
      <c r="C40" s="19" t="s">
        <v>173</v>
      </c>
      <c r="D40" s="23">
        <f>+(D36*D37*D30*D25/1000000)*1000</f>
        <v>94200</v>
      </c>
      <c r="E40" s="19"/>
      <c r="F40" s="14" t="s">
        <v>64</v>
      </c>
      <c r="G40" s="14" t="s">
        <v>174</v>
      </c>
    </row>
    <row r="41" ht="15.75" customHeight="1">
      <c r="B41" s="21"/>
      <c r="C41" s="19" t="s">
        <v>76</v>
      </c>
      <c r="D41" s="28">
        <f>+D43-D31</f>
        <v>16.41013769</v>
      </c>
      <c r="E41" s="19"/>
      <c r="F41" s="14" t="s">
        <v>64</v>
      </c>
      <c r="G41" s="14" t="s">
        <v>77</v>
      </c>
    </row>
    <row r="42" ht="15.75" customHeight="1">
      <c r="B42" s="21"/>
      <c r="C42" s="19" t="s">
        <v>78</v>
      </c>
      <c r="D42" s="28">
        <f>D31</f>
        <v>23.1</v>
      </c>
      <c r="E42" s="19"/>
      <c r="F42" s="14" t="s">
        <v>47</v>
      </c>
      <c r="G42" s="7"/>
    </row>
    <row r="43" ht="15.75" customHeight="1">
      <c r="B43" s="21"/>
      <c r="C43" s="19" t="s">
        <v>79</v>
      </c>
      <c r="D43" s="28">
        <f>+D40/D39</f>
        <v>39.51013769</v>
      </c>
      <c r="E43" s="19"/>
      <c r="F43" s="14" t="s">
        <v>64</v>
      </c>
      <c r="G43" s="14" t="s">
        <v>80</v>
      </c>
    </row>
    <row r="44" ht="15.75" customHeight="1">
      <c r="B44" s="21"/>
      <c r="C44" s="19" t="s">
        <v>81</v>
      </c>
      <c r="D44" s="30">
        <f>D42/D43</f>
        <v>0.5846600734</v>
      </c>
      <c r="E44" s="19"/>
      <c r="F44" s="14" t="s">
        <v>64</v>
      </c>
      <c r="G44" s="14" t="s">
        <v>82</v>
      </c>
    </row>
    <row r="45" ht="15.75" customHeight="1">
      <c r="B45" s="21"/>
      <c r="C45" s="19" t="s">
        <v>83</v>
      </c>
      <c r="D45" s="30">
        <v>0.9</v>
      </c>
      <c r="E45" s="19"/>
      <c r="F45" s="14" t="s">
        <v>84</v>
      </c>
    </row>
    <row r="46" ht="15.75" customHeight="1">
      <c r="B46" s="21"/>
      <c r="C46" s="19" t="s">
        <v>85</v>
      </c>
      <c r="D46" s="28">
        <f>(D43/1000)*D26</f>
        <v>0.05926520653</v>
      </c>
      <c r="E46" s="19"/>
      <c r="F46" s="14" t="s">
        <v>64</v>
      </c>
      <c r="G46" s="14" t="s">
        <v>86</v>
      </c>
    </row>
    <row r="47" ht="15.75" customHeight="1">
      <c r="B47" s="21"/>
      <c r="C47" s="19" t="s">
        <v>87</v>
      </c>
      <c r="D47" s="28">
        <f>((D41/1000)*D45)*D27</f>
        <v>0.005907649568</v>
      </c>
      <c r="E47" s="19"/>
      <c r="F47" s="14" t="s">
        <v>64</v>
      </c>
      <c r="G47" s="14" t="s">
        <v>88</v>
      </c>
    </row>
    <row r="48" ht="15.75" customHeight="1">
      <c r="B48" s="21"/>
      <c r="C48" s="19" t="s">
        <v>89</v>
      </c>
      <c r="D48" s="31">
        <f>+D46-D47</f>
        <v>0.05335755697</v>
      </c>
      <c r="E48" s="19"/>
      <c r="F48" s="14" t="s">
        <v>64</v>
      </c>
      <c r="G48" s="14" t="s">
        <v>90</v>
      </c>
    </row>
    <row r="49" ht="15.75" customHeight="1">
      <c r="B49" s="18" t="s">
        <v>91</v>
      </c>
      <c r="C49" s="19" t="s">
        <v>92</v>
      </c>
      <c r="D49" s="20" t="s">
        <v>175</v>
      </c>
      <c r="E49" s="19"/>
      <c r="F49" s="32" t="s">
        <v>36</v>
      </c>
    </row>
    <row r="50" ht="15.75" customHeight="1">
      <c r="B50" s="21"/>
      <c r="C50" s="19" t="s">
        <v>94</v>
      </c>
      <c r="D50" s="20">
        <v>100.0</v>
      </c>
      <c r="E50" s="19"/>
      <c r="F50" s="14" t="s">
        <v>47</v>
      </c>
    </row>
    <row r="51" ht="15.75" customHeight="1">
      <c r="B51" s="21"/>
      <c r="C51" s="19" t="s">
        <v>95</v>
      </c>
      <c r="D51" s="20">
        <v>352.0</v>
      </c>
      <c r="E51" s="19"/>
      <c r="F51" s="14" t="s">
        <v>53</v>
      </c>
    </row>
    <row r="52" ht="15.75" customHeight="1">
      <c r="B52" s="21"/>
      <c r="C52" s="19" t="s">
        <v>96</v>
      </c>
      <c r="D52" s="33">
        <f>(D50*$D$30*D51*D35)/9810</f>
        <v>50.23445464</v>
      </c>
      <c r="E52" s="19"/>
      <c r="F52" s="14" t="s">
        <v>64</v>
      </c>
      <c r="G52" s="14" t="s">
        <v>176</v>
      </c>
    </row>
    <row r="53" ht="15.75" customHeight="1">
      <c r="B53" s="21"/>
      <c r="C53" s="34" t="s">
        <v>98</v>
      </c>
      <c r="D53" s="33">
        <f>D52*1.25</f>
        <v>62.7930683</v>
      </c>
      <c r="E53" s="19"/>
      <c r="F53" s="14" t="s">
        <v>64</v>
      </c>
      <c r="G53" s="14" t="s">
        <v>99</v>
      </c>
    </row>
    <row r="54" ht="15.75" customHeight="1">
      <c r="B54" s="21"/>
      <c r="C54" s="34" t="s">
        <v>100</v>
      </c>
      <c r="D54" s="50">
        <v>120.0</v>
      </c>
      <c r="E54" s="19"/>
      <c r="F54" s="14" t="s">
        <v>102</v>
      </c>
    </row>
    <row r="55" ht="15.75" customHeight="1">
      <c r="B55" s="21"/>
      <c r="C55" s="34" t="s">
        <v>103</v>
      </c>
      <c r="D55" s="20" t="s">
        <v>177</v>
      </c>
      <c r="E55" s="19"/>
      <c r="F55" s="14" t="s">
        <v>102</v>
      </c>
    </row>
    <row r="56" ht="15.75" customHeight="1">
      <c r="B56" s="21"/>
      <c r="C56" s="34" t="s">
        <v>105</v>
      </c>
      <c r="D56" s="20" t="s">
        <v>106</v>
      </c>
      <c r="E56" s="19"/>
      <c r="F56" s="14" t="s">
        <v>102</v>
      </c>
    </row>
    <row r="57" ht="15.75" customHeight="1">
      <c r="B57" s="21"/>
      <c r="C57" s="36" t="s">
        <v>107</v>
      </c>
      <c r="D57" s="35"/>
      <c r="E57" s="19"/>
      <c r="F57" s="14" t="s">
        <v>3</v>
      </c>
    </row>
    <row r="58" ht="15.75" customHeight="1">
      <c r="B58" s="21"/>
      <c r="C58" s="34" t="s">
        <v>108</v>
      </c>
      <c r="D58" s="38">
        <f>(1/(100*70%))*60</f>
        <v>0.8571428571</v>
      </c>
      <c r="E58" s="19"/>
      <c r="F58" s="14" t="s">
        <v>178</v>
      </c>
      <c r="G58" s="14" t="s">
        <v>110</v>
      </c>
    </row>
    <row r="59" ht="15.75" customHeight="1">
      <c r="B59" s="21"/>
      <c r="C59" s="34" t="s">
        <v>111</v>
      </c>
      <c r="D59" s="40">
        <f>((D61+D60)/$D$16)</f>
        <v>0.0145</v>
      </c>
      <c r="E59" s="19"/>
      <c r="F59" s="14" t="s">
        <v>64</v>
      </c>
      <c r="G59" s="14" t="s">
        <v>179</v>
      </c>
    </row>
    <row r="60" ht="15.75" customHeight="1">
      <c r="B60" s="21"/>
      <c r="C60" s="34" t="s">
        <v>180</v>
      </c>
      <c r="D60" s="47">
        <v>45.0</v>
      </c>
      <c r="E60" s="19"/>
      <c r="F60" s="14" t="s">
        <v>181</v>
      </c>
    </row>
    <row r="61" ht="15.75" customHeight="1">
      <c r="B61" s="21"/>
      <c r="C61" s="34" t="s">
        <v>182</v>
      </c>
      <c r="D61" s="47">
        <f>ROUNDUP(($D$16/$D$39),0)*(20)</f>
        <v>100</v>
      </c>
      <c r="E61" s="19"/>
      <c r="F61" s="14" t="s">
        <v>64</v>
      </c>
      <c r="G61" s="14" t="s">
        <v>114</v>
      </c>
    </row>
    <row r="62" ht="15.75" customHeight="1">
      <c r="B62" s="42" t="s">
        <v>118</v>
      </c>
      <c r="C62" s="39" t="s">
        <v>163</v>
      </c>
      <c r="D62" s="20">
        <v>1.0</v>
      </c>
      <c r="E62" s="19"/>
      <c r="F62" s="14" t="s">
        <v>102</v>
      </c>
    </row>
    <row r="63" ht="15.75" customHeight="1">
      <c r="B63" s="21"/>
      <c r="C63" s="34" t="s">
        <v>116</v>
      </c>
      <c r="D63" s="20">
        <v>1.0</v>
      </c>
      <c r="E63" s="19"/>
      <c r="F63" s="14" t="s">
        <v>117</v>
      </c>
    </row>
    <row r="64" ht="15.75" customHeight="1">
      <c r="B64" s="21"/>
      <c r="C64" s="39" t="s">
        <v>119</v>
      </c>
      <c r="D64" s="22">
        <v>30.0</v>
      </c>
      <c r="E64" s="19"/>
      <c r="F64" s="14" t="s">
        <v>120</v>
      </c>
      <c r="H64" s="7"/>
    </row>
    <row r="65" ht="15.75" customHeight="1">
      <c r="B65" s="21"/>
      <c r="C65" s="34" t="s">
        <v>121</v>
      </c>
      <c r="D65" s="22">
        <v>45.0</v>
      </c>
      <c r="E65" s="19"/>
      <c r="F65" s="14" t="s">
        <v>120</v>
      </c>
      <c r="H65" s="7"/>
    </row>
    <row r="66" ht="15.75" customHeight="1">
      <c r="B66" s="21"/>
      <c r="C66" s="34" t="s">
        <v>122</v>
      </c>
      <c r="D66" s="22">
        <v>50.0</v>
      </c>
      <c r="E66" s="19"/>
      <c r="F66" s="14"/>
      <c r="H66" s="7"/>
    </row>
    <row r="67" ht="15.75" customHeight="1">
      <c r="B67" s="21"/>
      <c r="C67" s="34" t="s">
        <v>123</v>
      </c>
      <c r="D67" s="43">
        <v>0.01</v>
      </c>
      <c r="E67" s="19"/>
      <c r="F67" s="14" t="s">
        <v>124</v>
      </c>
      <c r="H67" s="7"/>
    </row>
    <row r="68" ht="15.75" customHeight="1">
      <c r="B68" s="21"/>
      <c r="C68" s="19" t="s">
        <v>125</v>
      </c>
      <c r="D68" s="38">
        <v>0.5</v>
      </c>
      <c r="E68" s="19"/>
      <c r="F68" s="14" t="s">
        <v>126</v>
      </c>
      <c r="H68" s="7"/>
    </row>
    <row r="69" ht="15.75" customHeight="1">
      <c r="B69" s="21"/>
      <c r="C69" s="19" t="s">
        <v>127</v>
      </c>
      <c r="D69" s="44">
        <v>0.98</v>
      </c>
      <c r="E69" s="19"/>
      <c r="F69" s="14" t="s">
        <v>128</v>
      </c>
      <c r="H69" s="7"/>
    </row>
    <row r="70" ht="15.75" customHeight="1">
      <c r="B70" s="21"/>
      <c r="C70" s="34" t="s">
        <v>129</v>
      </c>
      <c r="D70" s="22">
        <v>15.0</v>
      </c>
      <c r="E70" s="19"/>
      <c r="F70" s="14" t="s">
        <v>102</v>
      </c>
    </row>
    <row r="71" ht="15.75" customHeight="1">
      <c r="B71" s="21"/>
      <c r="C71" s="34" t="s">
        <v>130</v>
      </c>
      <c r="D71" s="28">
        <f>(D70/3600)*($D$58/$D$35)</f>
        <v>0.0005102040816</v>
      </c>
      <c r="E71" s="19"/>
      <c r="F71" s="14" t="s">
        <v>64</v>
      </c>
      <c r="G71" s="14" t="s">
        <v>183</v>
      </c>
    </row>
    <row r="72" ht="15.75" customHeight="1">
      <c r="B72" s="21"/>
      <c r="C72" s="39" t="s">
        <v>132</v>
      </c>
      <c r="D72" s="28">
        <f>(((D64/60)*(D59*D62))+((D65/60)*(D59*D63)))+((D70/60)*D59)</f>
        <v>0.02175</v>
      </c>
      <c r="E72" s="19"/>
      <c r="F72" s="14" t="s">
        <v>64</v>
      </c>
      <c r="G72" s="14" t="s">
        <v>133</v>
      </c>
    </row>
    <row r="73" ht="15.75" customHeight="1">
      <c r="B73" s="21"/>
      <c r="C73" s="39" t="s">
        <v>134</v>
      </c>
      <c r="D73" s="28">
        <f>(((D64/3600)*(D58/D35)*D62))</f>
        <v>0.001020408163</v>
      </c>
      <c r="E73" s="19"/>
      <c r="F73" s="14" t="s">
        <v>64</v>
      </c>
      <c r="G73" s="14" t="s">
        <v>184</v>
      </c>
    </row>
    <row r="74" ht="15.75" customHeight="1">
      <c r="B74" s="21"/>
      <c r="C74" s="39" t="s">
        <v>136</v>
      </c>
      <c r="D74" s="28">
        <f>(((D66/60)*(D68))*(D67*$D$16))/$D$16</f>
        <v>0.004166666667</v>
      </c>
      <c r="E74" s="19"/>
      <c r="F74" s="14" t="s">
        <v>64</v>
      </c>
      <c r="G74" s="14" t="s">
        <v>185</v>
      </c>
    </row>
    <row r="75" ht="15.75" customHeight="1">
      <c r="B75" s="21"/>
      <c r="C75" s="34" t="s">
        <v>138</v>
      </c>
      <c r="D75" s="28">
        <f>+((1-D69)*(($D$48-(($D$42/1000)*$D$27))+SUM(D71:D74)))</f>
        <v>0.001431296718</v>
      </c>
      <c r="E75" s="19"/>
      <c r="F75" s="14" t="s">
        <v>64</v>
      </c>
      <c r="G75" s="14" t="s">
        <v>139</v>
      </c>
    </row>
    <row r="76" ht="15.75" customHeight="1">
      <c r="B76" s="21"/>
      <c r="C76" s="34" t="s">
        <v>140</v>
      </c>
      <c r="D76" s="31">
        <f>SUM(D71:D75)</f>
        <v>0.02887857563</v>
      </c>
      <c r="E76" s="19"/>
      <c r="F76" s="14" t="s">
        <v>64</v>
      </c>
      <c r="G76" s="14" t="s">
        <v>141</v>
      </c>
    </row>
    <row r="77" ht="15.75" customHeight="1">
      <c r="B77" s="18" t="s">
        <v>142</v>
      </c>
      <c r="C77" s="19" t="s">
        <v>92</v>
      </c>
      <c r="D77" s="20" t="s">
        <v>143</v>
      </c>
      <c r="E77" s="19"/>
      <c r="F77" s="32" t="s">
        <v>36</v>
      </c>
      <c r="H77" s="45"/>
    </row>
    <row r="78" ht="15.75" customHeight="1">
      <c r="B78" s="21"/>
      <c r="C78" s="19" t="s">
        <v>144</v>
      </c>
      <c r="D78" s="20">
        <v>440.0</v>
      </c>
      <c r="E78" s="19"/>
      <c r="F78" s="14" t="s">
        <v>53</v>
      </c>
    </row>
    <row r="79" ht="15.75" customHeight="1">
      <c r="B79" s="21"/>
      <c r="C79" s="19" t="s">
        <v>145</v>
      </c>
      <c r="D79" s="20">
        <v>2200.0</v>
      </c>
      <c r="E79" s="19"/>
      <c r="F79" s="14" t="s">
        <v>47</v>
      </c>
    </row>
    <row r="80" ht="15.75" customHeight="1">
      <c r="B80" s="21"/>
      <c r="C80" s="19" t="s">
        <v>146</v>
      </c>
      <c r="D80" s="20">
        <v>15.0</v>
      </c>
      <c r="E80" s="19"/>
      <c r="F80" s="14" t="s">
        <v>47</v>
      </c>
    </row>
    <row r="81" ht="15.75" customHeight="1">
      <c r="B81" s="21"/>
      <c r="C81" s="19" t="s">
        <v>147</v>
      </c>
      <c r="D81" s="20">
        <v>1.33</v>
      </c>
      <c r="E81" s="19"/>
      <c r="F81" s="14" t="s">
        <v>148</v>
      </c>
    </row>
    <row r="82" ht="15.75" customHeight="1">
      <c r="B82" s="21"/>
      <c r="C82" s="19" t="s">
        <v>96</v>
      </c>
      <c r="D82" s="33">
        <f>((($D$30^2)*D79*D78*D81)/D80)/9810</f>
        <v>34.99667006</v>
      </c>
      <c r="E82" s="19"/>
      <c r="F82" s="14" t="s">
        <v>149</v>
      </c>
      <c r="G82" s="14" t="s">
        <v>150</v>
      </c>
    </row>
    <row r="83" ht="15.75" customHeight="1">
      <c r="B83" s="21"/>
      <c r="C83" s="34" t="s">
        <v>151</v>
      </c>
      <c r="D83" s="33">
        <v>1.0</v>
      </c>
      <c r="E83" s="19"/>
      <c r="F83" s="14" t="s">
        <v>47</v>
      </c>
      <c r="G83" s="46"/>
    </row>
    <row r="84" ht="15.75" customHeight="1">
      <c r="B84" s="21"/>
      <c r="C84" s="34" t="s">
        <v>152</v>
      </c>
      <c r="D84" s="33">
        <f>D82*D83</f>
        <v>34.99667006</v>
      </c>
      <c r="E84" s="19"/>
      <c r="F84" s="14" t="s">
        <v>149</v>
      </c>
      <c r="G84" s="14" t="s">
        <v>153</v>
      </c>
    </row>
    <row r="85" ht="15.75" customHeight="1">
      <c r="B85" s="21"/>
      <c r="C85" s="34" t="s">
        <v>98</v>
      </c>
      <c r="D85" s="33">
        <f>D84*1.25</f>
        <v>43.74583758</v>
      </c>
      <c r="E85" s="19"/>
      <c r="F85" s="14" t="s">
        <v>149</v>
      </c>
      <c r="G85" s="14" t="s">
        <v>99</v>
      </c>
    </row>
    <row r="86" ht="15.75" customHeight="1">
      <c r="B86" s="21"/>
      <c r="C86" s="34" t="s">
        <v>100</v>
      </c>
      <c r="D86" s="35" t="s">
        <v>154</v>
      </c>
      <c r="E86" s="19"/>
      <c r="F86" s="14" t="s">
        <v>102</v>
      </c>
    </row>
    <row r="87" ht="15.75" customHeight="1">
      <c r="B87" s="21"/>
      <c r="C87" s="34" t="s">
        <v>103</v>
      </c>
      <c r="D87" s="20" t="s">
        <v>155</v>
      </c>
      <c r="E87" s="19"/>
      <c r="F87" s="14" t="s">
        <v>102</v>
      </c>
    </row>
    <row r="88" ht="15.75" customHeight="1">
      <c r="B88" s="21"/>
      <c r="C88" s="34" t="s">
        <v>105</v>
      </c>
      <c r="D88" s="20" t="s">
        <v>156</v>
      </c>
      <c r="E88" s="19"/>
      <c r="F88" s="14" t="s">
        <v>102</v>
      </c>
    </row>
    <row r="89" ht="15.75" customHeight="1">
      <c r="B89" s="21"/>
      <c r="C89" s="36" t="s">
        <v>107</v>
      </c>
      <c r="D89" s="35"/>
      <c r="E89" s="19"/>
      <c r="F89" s="14" t="s">
        <v>3</v>
      </c>
    </row>
    <row r="90" ht="15.75" customHeight="1">
      <c r="B90" s="21"/>
      <c r="C90" s="34" t="s">
        <v>108</v>
      </c>
      <c r="D90" s="38">
        <f>2+(D93*60)</f>
        <v>7</v>
      </c>
      <c r="E90" s="19"/>
      <c r="F90" s="14" t="s">
        <v>157</v>
      </c>
      <c r="G90" s="14"/>
    </row>
    <row r="91" ht="15.75" customHeight="1">
      <c r="B91" s="21"/>
      <c r="C91" s="39" t="s">
        <v>111</v>
      </c>
      <c r="D91" s="40">
        <f>(D92/$D$16)</f>
        <v>0.001</v>
      </c>
      <c r="E91" s="19"/>
      <c r="F91" s="14" t="s">
        <v>149</v>
      </c>
      <c r="G91" s="14" t="s">
        <v>158</v>
      </c>
    </row>
    <row r="92" ht="15.75" customHeight="1">
      <c r="B92" s="21"/>
      <c r="C92" s="19" t="s">
        <v>159</v>
      </c>
      <c r="D92" s="47">
        <v>10.0</v>
      </c>
      <c r="E92" s="19"/>
      <c r="F92" s="14" t="s">
        <v>160</v>
      </c>
    </row>
    <row r="93" ht="15.75" customHeight="1">
      <c r="B93" s="21"/>
      <c r="C93" s="34" t="s">
        <v>161</v>
      </c>
      <c r="D93" s="47">
        <f>(5/60)</f>
        <v>0.08333333333</v>
      </c>
      <c r="E93" s="19"/>
      <c r="F93" s="14" t="s">
        <v>162</v>
      </c>
    </row>
    <row r="94" ht="15.75" customHeight="1">
      <c r="B94" s="42" t="s">
        <v>118</v>
      </c>
      <c r="C94" s="39" t="s">
        <v>115</v>
      </c>
      <c r="D94" s="20">
        <v>1.0</v>
      </c>
      <c r="E94" s="19"/>
      <c r="F94" s="14" t="s">
        <v>102</v>
      </c>
    </row>
    <row r="95" ht="15.75" customHeight="1">
      <c r="B95" s="21"/>
      <c r="C95" s="34" t="s">
        <v>116</v>
      </c>
      <c r="D95" s="20">
        <v>0.0</v>
      </c>
      <c r="E95" s="19"/>
      <c r="F95" s="14" t="s">
        <v>117</v>
      </c>
    </row>
    <row r="96" ht="15.75" customHeight="1">
      <c r="B96" s="21"/>
      <c r="C96" s="39" t="s">
        <v>119</v>
      </c>
      <c r="D96" s="22">
        <v>30.0</v>
      </c>
      <c r="E96" s="19"/>
      <c r="F96" s="14" t="s">
        <v>120</v>
      </c>
    </row>
    <row r="97" ht="15.75" customHeight="1">
      <c r="B97" s="21"/>
      <c r="C97" s="34" t="s">
        <v>121</v>
      </c>
      <c r="D97" s="22">
        <v>45.0</v>
      </c>
      <c r="E97" s="19"/>
      <c r="F97" s="14" t="s">
        <v>120</v>
      </c>
    </row>
    <row r="98" ht="15.75" customHeight="1">
      <c r="B98" s="21"/>
      <c r="C98" s="34" t="s">
        <v>122</v>
      </c>
      <c r="D98" s="22">
        <v>50.0</v>
      </c>
      <c r="E98" s="19"/>
      <c r="F98" s="14"/>
    </row>
    <row r="99" ht="15.75" customHeight="1">
      <c r="B99" s="21"/>
      <c r="C99" s="34" t="s">
        <v>123</v>
      </c>
      <c r="D99" s="43">
        <v>0.01</v>
      </c>
      <c r="E99" s="19"/>
      <c r="F99" s="14" t="s">
        <v>124</v>
      </c>
    </row>
    <row r="100" ht="15.75" customHeight="1">
      <c r="B100" s="21"/>
      <c r="C100" s="19" t="s">
        <v>125</v>
      </c>
      <c r="D100" s="38">
        <v>0.5</v>
      </c>
      <c r="E100" s="19"/>
      <c r="F100" s="14" t="s">
        <v>126</v>
      </c>
    </row>
    <row r="101" ht="15.75" customHeight="1">
      <c r="B101" s="21"/>
      <c r="C101" s="19" t="s">
        <v>127</v>
      </c>
      <c r="D101" s="44">
        <v>0.98</v>
      </c>
      <c r="E101" s="19"/>
      <c r="F101" s="14" t="s">
        <v>128</v>
      </c>
    </row>
    <row r="102" ht="15.75" customHeight="1">
      <c r="B102" s="21"/>
      <c r="C102" s="34" t="s">
        <v>129</v>
      </c>
      <c r="D102" s="22">
        <v>15.0</v>
      </c>
      <c r="E102" s="19"/>
      <c r="F102" s="14" t="s">
        <v>102</v>
      </c>
    </row>
    <row r="103" ht="15.75" customHeight="1">
      <c r="B103" s="21"/>
      <c r="C103" s="34" t="s">
        <v>130</v>
      </c>
      <c r="D103" s="28">
        <f>(D102/3600)*D90</f>
        <v>0.02916666667</v>
      </c>
      <c r="E103" s="19"/>
      <c r="F103" s="14" t="s">
        <v>64</v>
      </c>
      <c r="G103" s="14" t="s">
        <v>131</v>
      </c>
    </row>
    <row r="104" ht="15.75" customHeight="1">
      <c r="B104" s="21"/>
      <c r="C104" s="39" t="s">
        <v>132</v>
      </c>
      <c r="D104" s="28">
        <f>(((D96/60)*(D91*D94))+((D97/60)*(D91*D95)))+((D102/60)*D91)</f>
        <v>0.00075</v>
      </c>
      <c r="E104" s="19"/>
      <c r="F104" s="14" t="s">
        <v>64</v>
      </c>
      <c r="G104" s="14" t="s">
        <v>133</v>
      </c>
    </row>
    <row r="105" ht="15.75" customHeight="1">
      <c r="B105" s="21"/>
      <c r="C105" s="34" t="s">
        <v>134</v>
      </c>
      <c r="D105" s="28">
        <f>(((D96/3060)*(D90*D94)))</f>
        <v>0.06862745098</v>
      </c>
      <c r="E105" s="19"/>
      <c r="F105" s="14" t="s">
        <v>64</v>
      </c>
      <c r="G105" s="14" t="s">
        <v>135</v>
      </c>
    </row>
    <row r="106" ht="15.75" customHeight="1">
      <c r="B106" s="21"/>
      <c r="C106" s="39" t="s">
        <v>136</v>
      </c>
      <c r="D106" s="28">
        <f>(((D98/60)*(D100))*(D99*$D$16))/$D$16</f>
        <v>0.004166666667</v>
      </c>
      <c r="E106" s="19"/>
      <c r="F106" s="14" t="s">
        <v>64</v>
      </c>
      <c r="G106" s="14" t="s">
        <v>137</v>
      </c>
    </row>
    <row r="107" ht="15.75" customHeight="1">
      <c r="B107" s="21"/>
      <c r="C107" s="34" t="s">
        <v>138</v>
      </c>
      <c r="D107" s="28">
        <f>+((1-D101)*(($D$48-(($D$42/1000)*$D$27))+SUM(D103:D106)))</f>
        <v>0.002936566826</v>
      </c>
      <c r="E107" s="19"/>
      <c r="F107" s="14" t="s">
        <v>64</v>
      </c>
      <c r="G107" s="14" t="s">
        <v>139</v>
      </c>
    </row>
    <row r="108" ht="15.75" customHeight="1">
      <c r="B108" s="1"/>
      <c r="C108" s="34" t="s">
        <v>140</v>
      </c>
      <c r="D108" s="31">
        <f>SUM(D103:D107)</f>
        <v>0.1056473511</v>
      </c>
      <c r="E108" s="19"/>
      <c r="F108" s="14" t="s">
        <v>64</v>
      </c>
      <c r="G108" s="14" t="s">
        <v>141</v>
      </c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autoFilter ref="$B$5:$E$76"/>
  <dataValidations>
    <dataValidation type="list" allowBlank="1" showErrorMessage="1" sqref="D15">
      <formula1>"Low,Medium,Complex"</formula1>
    </dataValidation>
    <dataValidation type="list" allowBlank="1" showErrorMessage="1" sqref="E71:E76">
      <formula1>$G$7:$G$9</formula1>
    </dataValidation>
    <dataValidation type="list" allowBlank="1" showErrorMessage="1" sqref="E54 E59:E70">
      <formula1>$G$13:$G$17</formula1>
    </dataValidation>
    <dataValidation type="list" allowBlank="1" showErrorMessage="1" sqref="D20">
      <formula1>"EX-W,DAP,DDP,FOB"</formula1>
    </dataValidation>
    <dataValidation type="list" allowBlank="1" showErrorMessage="1" sqref="E6:E24 E28:E53 E55:E58 E77:E108">
      <formula1>#REF!</formula1>
    </dataValidation>
    <dataValidation type="list" allowBlank="1" showErrorMessage="1" sqref="D18">
      <formula1>"No Packing,Reusable,Non reusable"</formula1>
    </dataValidation>
    <dataValidation type="list" allowBlank="1" showErrorMessage="1" sqref="E25:E27">
      <formula1>$G$7:$G$12</formula1>
    </dataValidation>
    <dataValidation type="list" allowBlank="1" showErrorMessage="1" sqref="D21">
      <formula1>"30 Days,45 Days,60 Days,75 Days,90 Days,105 Days,120 Days"</formula1>
    </dataValidation>
    <dataValidation type="list" allowBlank="1" showErrorMessage="1" sqref="D17">
      <formula1>"Make,Buy"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54.29"/>
    <col customWidth="1" min="4" max="4" width="36.71"/>
    <col customWidth="1" min="5" max="5" width="28.71"/>
    <col customWidth="1" min="6" max="6" width="66.86"/>
    <col customWidth="1" min="7" max="7" width="14.57"/>
    <col customWidth="1" min="8" max="8" width="48.71"/>
    <col customWidth="1" min="9" max="9" width="73.71"/>
    <col customWidth="1" min="10" max="10" width="66.86"/>
    <col customWidth="1" min="11" max="26" width="8.71"/>
  </cols>
  <sheetData>
    <row r="1">
      <c r="A1" s="1"/>
      <c r="B1" s="2"/>
      <c r="C1" s="3" t="s">
        <v>1</v>
      </c>
      <c r="D1" s="4"/>
      <c r="E1" s="48"/>
      <c r="F1" s="48"/>
      <c r="G1" s="48"/>
    </row>
    <row r="2">
      <c r="B2" s="5"/>
      <c r="C2" s="3" t="s">
        <v>2</v>
      </c>
      <c r="D2" s="4"/>
      <c r="E2" s="7"/>
      <c r="F2" s="7"/>
      <c r="G2" s="7"/>
    </row>
    <row r="3">
      <c r="B3" s="6"/>
      <c r="C3" s="3" t="s">
        <v>3</v>
      </c>
      <c r="D3" s="4"/>
      <c r="E3" s="7"/>
      <c r="F3" s="7"/>
      <c r="G3" s="7"/>
    </row>
    <row r="4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9" t="s">
        <v>4</v>
      </c>
      <c r="C5" s="9" t="s">
        <v>5</v>
      </c>
      <c r="D5" s="10" t="s">
        <v>6</v>
      </c>
      <c r="E5" s="9" t="s">
        <v>7</v>
      </c>
      <c r="F5" s="9" t="s">
        <v>8</v>
      </c>
      <c r="G5" s="49" t="s">
        <v>164</v>
      </c>
      <c r="H5" s="51" t="s">
        <v>164</v>
      </c>
      <c r="I5" s="52"/>
      <c r="J5" s="53"/>
    </row>
    <row r="6">
      <c r="B6" s="11" t="s">
        <v>10</v>
      </c>
      <c r="C6" s="12" t="s">
        <v>11</v>
      </c>
      <c r="D6" s="13"/>
      <c r="E6" s="12"/>
      <c r="F6" s="14" t="s">
        <v>12</v>
      </c>
    </row>
    <row r="7" ht="18.75" customHeight="1">
      <c r="B7" s="15"/>
      <c r="C7" s="12" t="s">
        <v>13</v>
      </c>
      <c r="D7" s="13"/>
      <c r="E7" s="12"/>
      <c r="F7" s="14" t="s">
        <v>12</v>
      </c>
    </row>
    <row r="8" ht="18.75" customHeight="1">
      <c r="B8" s="15"/>
      <c r="C8" s="12" t="s">
        <v>14</v>
      </c>
      <c r="D8" s="16">
        <v>120000.0</v>
      </c>
      <c r="E8" s="12"/>
      <c r="F8" s="14" t="s">
        <v>12</v>
      </c>
    </row>
    <row r="9" ht="18.75" customHeight="1">
      <c r="B9" s="15"/>
      <c r="C9" s="12" t="s">
        <v>15</v>
      </c>
      <c r="D9" s="13" t="s">
        <v>16</v>
      </c>
      <c r="E9" s="12"/>
      <c r="F9" s="14" t="s">
        <v>12</v>
      </c>
    </row>
    <row r="10" ht="18.75" customHeight="1">
      <c r="B10" s="15"/>
      <c r="C10" s="12" t="s">
        <v>17</v>
      </c>
      <c r="D10" s="13" t="s">
        <v>165</v>
      </c>
      <c r="E10" s="12"/>
      <c r="F10" s="14" t="s">
        <v>19</v>
      </c>
    </row>
    <row r="11" ht="18.75" customHeight="1">
      <c r="B11" s="15"/>
      <c r="C11" s="12" t="s">
        <v>20</v>
      </c>
      <c r="D11" s="13"/>
      <c r="E11" s="12"/>
      <c r="F11" s="14" t="s">
        <v>21</v>
      </c>
    </row>
    <row r="12" ht="18.75" customHeight="1">
      <c r="B12" s="15"/>
      <c r="C12" s="12" t="s">
        <v>22</v>
      </c>
      <c r="D12" s="13" t="s">
        <v>23</v>
      </c>
      <c r="E12" s="12"/>
      <c r="F12" s="14" t="s">
        <v>21</v>
      </c>
    </row>
    <row r="13" ht="18.75" customHeight="1">
      <c r="B13" s="15"/>
      <c r="C13" s="12" t="s">
        <v>24</v>
      </c>
      <c r="D13" s="13" t="s">
        <v>23</v>
      </c>
      <c r="E13" s="12"/>
      <c r="F13" s="14" t="s">
        <v>21</v>
      </c>
    </row>
    <row r="14" ht="18.75" customHeight="1">
      <c r="B14" s="15"/>
      <c r="C14" s="12" t="s">
        <v>25</v>
      </c>
      <c r="D14" s="13">
        <v>1.0</v>
      </c>
      <c r="E14" s="12"/>
      <c r="F14" s="14" t="s">
        <v>12</v>
      </c>
    </row>
    <row r="15" ht="18.75" customHeight="1">
      <c r="B15" s="15"/>
      <c r="C15" s="12" t="s">
        <v>26</v>
      </c>
      <c r="D15" s="13" t="s">
        <v>27</v>
      </c>
      <c r="E15" s="12"/>
      <c r="F15" s="14" t="s">
        <v>28</v>
      </c>
    </row>
    <row r="16" ht="18.75" customHeight="1">
      <c r="B16" s="15"/>
      <c r="C16" s="12" t="s">
        <v>29</v>
      </c>
      <c r="D16" s="16">
        <f>+D8/12</f>
        <v>10000</v>
      </c>
      <c r="E16" s="12"/>
      <c r="F16" s="14" t="s">
        <v>30</v>
      </c>
    </row>
    <row r="17" ht="18.75" customHeight="1">
      <c r="B17" s="15"/>
      <c r="C17" s="12" t="s">
        <v>31</v>
      </c>
      <c r="D17" s="13" t="s">
        <v>32</v>
      </c>
      <c r="E17" s="12"/>
      <c r="F17" s="14" t="s">
        <v>33</v>
      </c>
    </row>
    <row r="18" ht="18.75" customHeight="1">
      <c r="B18" s="15"/>
      <c r="C18" s="12" t="s">
        <v>34</v>
      </c>
      <c r="D18" s="13" t="s">
        <v>35</v>
      </c>
      <c r="E18" s="12"/>
      <c r="F18" s="14" t="s">
        <v>36</v>
      </c>
    </row>
    <row r="19" ht="18.75" customHeight="1">
      <c r="B19" s="15"/>
      <c r="C19" s="12" t="s">
        <v>37</v>
      </c>
      <c r="D19" s="13" t="s">
        <v>38</v>
      </c>
      <c r="E19" s="12"/>
      <c r="F19" s="14" t="s">
        <v>12</v>
      </c>
    </row>
    <row r="20" ht="18.75" customHeight="1">
      <c r="B20" s="15"/>
      <c r="C20" s="12" t="s">
        <v>39</v>
      </c>
      <c r="D20" s="13" t="s">
        <v>40</v>
      </c>
      <c r="E20" s="12"/>
      <c r="F20" s="14" t="s">
        <v>41</v>
      </c>
    </row>
    <row r="21" ht="18.75" customHeight="1">
      <c r="B21" s="15"/>
      <c r="C21" s="12" t="s">
        <v>42</v>
      </c>
      <c r="D21" s="13" t="s">
        <v>43</v>
      </c>
      <c r="E21" s="12"/>
      <c r="F21" s="14" t="s">
        <v>41</v>
      </c>
    </row>
    <row r="22" ht="15.75" customHeight="1">
      <c r="B22" s="18" t="s">
        <v>44</v>
      </c>
      <c r="C22" s="19" t="s">
        <v>45</v>
      </c>
      <c r="D22" s="20" t="s">
        <v>46</v>
      </c>
      <c r="E22" s="19"/>
      <c r="F22" s="14" t="s">
        <v>47</v>
      </c>
    </row>
    <row r="23" ht="15.75" customHeight="1">
      <c r="B23" s="21"/>
      <c r="C23" s="19" t="s">
        <v>48</v>
      </c>
      <c r="D23" s="20" t="s">
        <v>49</v>
      </c>
      <c r="E23" s="19"/>
      <c r="F23" s="14" t="s">
        <v>47</v>
      </c>
    </row>
    <row r="24" ht="15.75" customHeight="1">
      <c r="B24" s="21"/>
      <c r="C24" s="19" t="s">
        <v>50</v>
      </c>
      <c r="D24" s="20" t="s">
        <v>51</v>
      </c>
      <c r="E24" s="19"/>
      <c r="F24" s="14" t="s">
        <v>47</v>
      </c>
    </row>
    <row r="25" ht="15.75" customHeight="1">
      <c r="B25" s="21"/>
      <c r="C25" s="19" t="s">
        <v>52</v>
      </c>
      <c r="D25" s="22">
        <v>7.85</v>
      </c>
      <c r="E25" s="19"/>
      <c r="F25" s="14" t="s">
        <v>53</v>
      </c>
    </row>
    <row r="26" ht="15.75" customHeight="1">
      <c r="B26" s="21"/>
      <c r="C26" s="19" t="s">
        <v>54</v>
      </c>
      <c r="D26" s="22">
        <v>1.5</v>
      </c>
      <c r="E26" s="19"/>
      <c r="F26" s="14" t="s">
        <v>53</v>
      </c>
    </row>
    <row r="27" ht="15.75" customHeight="1">
      <c r="B27" s="21"/>
      <c r="C27" s="19" t="s">
        <v>55</v>
      </c>
      <c r="D27" s="22">
        <v>0.4</v>
      </c>
      <c r="E27" s="19"/>
      <c r="F27" s="14" t="s">
        <v>53</v>
      </c>
    </row>
    <row r="28" ht="15.75" customHeight="1">
      <c r="B28" s="21"/>
      <c r="C28" s="19" t="s">
        <v>56</v>
      </c>
      <c r="D28" s="20">
        <v>250.0</v>
      </c>
      <c r="E28" s="19"/>
      <c r="F28" s="14" t="s">
        <v>47</v>
      </c>
    </row>
    <row r="29" ht="15.75" customHeight="1">
      <c r="B29" s="21"/>
      <c r="C29" s="19" t="s">
        <v>57</v>
      </c>
      <c r="D29" s="20">
        <v>250.0</v>
      </c>
      <c r="E29" s="19"/>
      <c r="F29" s="14" t="s">
        <v>47</v>
      </c>
    </row>
    <row r="30" ht="15.75" customHeight="1">
      <c r="B30" s="21"/>
      <c r="C30" s="19" t="s">
        <v>58</v>
      </c>
      <c r="D30" s="20">
        <v>3.0</v>
      </c>
      <c r="E30" s="19"/>
      <c r="F30" s="14" t="s">
        <v>47</v>
      </c>
    </row>
    <row r="31" ht="15.75" customHeight="1">
      <c r="B31" s="21"/>
      <c r="C31" s="19" t="s">
        <v>59</v>
      </c>
      <c r="D31" s="20">
        <v>1471.9</v>
      </c>
      <c r="E31" s="19"/>
      <c r="F31" s="14" t="s">
        <v>47</v>
      </c>
    </row>
    <row r="32" ht="15.75" customHeight="1">
      <c r="B32" s="21"/>
      <c r="C32" s="19" t="s">
        <v>60</v>
      </c>
      <c r="D32" s="23">
        <f>+D28*D29</f>
        <v>62500</v>
      </c>
      <c r="E32" s="19"/>
      <c r="F32" s="14" t="s">
        <v>47</v>
      </c>
    </row>
    <row r="33" ht="15.75" customHeight="1">
      <c r="B33" s="21"/>
      <c r="C33" s="19" t="s">
        <v>61</v>
      </c>
      <c r="D33" s="23">
        <f>+D28*D29*D30</f>
        <v>187500</v>
      </c>
      <c r="E33" s="19"/>
      <c r="F33" s="14" t="s">
        <v>62</v>
      </c>
    </row>
    <row r="34" ht="76.5" customHeight="1">
      <c r="B34" s="21"/>
      <c r="C34" s="2" t="s">
        <v>186</v>
      </c>
      <c r="D34" s="24">
        <f>0.01*D30*((352/10)^(1/2))</f>
        <v>0.1779887637</v>
      </c>
      <c r="E34" s="19"/>
      <c r="F34" s="14" t="s">
        <v>64</v>
      </c>
      <c r="G34" s="14" t="s">
        <v>166</v>
      </c>
    </row>
    <row r="35" ht="15.75" customHeight="1">
      <c r="B35" s="21"/>
      <c r="C35" s="2" t="s">
        <v>66</v>
      </c>
      <c r="D35" s="23">
        <f>+ROUNDDOWN((D36-D38)/(D28+D34),0)</f>
        <v>1</v>
      </c>
      <c r="E35" s="19"/>
      <c r="F35" s="14" t="s">
        <v>64</v>
      </c>
      <c r="G35" s="14" t="s">
        <v>167</v>
      </c>
    </row>
    <row r="36" ht="15.75" customHeight="1">
      <c r="B36" s="21"/>
      <c r="C36" s="19" t="s">
        <v>187</v>
      </c>
      <c r="D36" s="27">
        <v>300.0</v>
      </c>
      <c r="E36" s="19"/>
      <c r="F36" s="14" t="s">
        <v>68</v>
      </c>
      <c r="G36" s="7"/>
    </row>
    <row r="37" ht="15.75" customHeight="1">
      <c r="B37" s="21"/>
      <c r="C37" s="19" t="s">
        <v>188</v>
      </c>
      <c r="D37" s="27">
        <v>300.0</v>
      </c>
      <c r="E37" s="19"/>
      <c r="F37" s="14" t="s">
        <v>68</v>
      </c>
      <c r="G37" s="7"/>
    </row>
    <row r="38" ht="15.75" customHeight="1">
      <c r="B38" s="21"/>
      <c r="C38" s="19" t="s">
        <v>170</v>
      </c>
      <c r="D38" s="22">
        <v>5.0</v>
      </c>
      <c r="E38" s="19"/>
      <c r="F38" s="14" t="s">
        <v>71</v>
      </c>
      <c r="G38" s="7"/>
    </row>
    <row r="39" ht="15.75" customHeight="1">
      <c r="B39" s="21"/>
      <c r="C39" s="19" t="s">
        <v>171</v>
      </c>
      <c r="D39" s="23">
        <f>((D36-D38)*(D37-D38))/((D28+D34)*(D29+D34))</f>
        <v>1.390419463</v>
      </c>
      <c r="E39" s="19"/>
      <c r="F39" s="14" t="s">
        <v>64</v>
      </c>
      <c r="G39" s="14" t="s">
        <v>172</v>
      </c>
    </row>
    <row r="40" ht="15.75" customHeight="1">
      <c r="B40" s="21"/>
      <c r="C40" s="19" t="s">
        <v>189</v>
      </c>
      <c r="D40" s="28">
        <f>+(D36*D37*D30*D25/1000000)*1000</f>
        <v>2119.5</v>
      </c>
      <c r="E40" s="19"/>
      <c r="F40" s="14" t="s">
        <v>64</v>
      </c>
      <c r="G40" s="14" t="s">
        <v>174</v>
      </c>
    </row>
    <row r="41" ht="15.75" customHeight="1">
      <c r="B41" s="21"/>
      <c r="C41" s="19" t="s">
        <v>76</v>
      </c>
      <c r="D41" s="28">
        <f>+D43-D31</f>
        <v>52.46013488</v>
      </c>
      <c r="E41" s="19"/>
      <c r="F41" s="14" t="s">
        <v>64</v>
      </c>
      <c r="G41" s="14" t="s">
        <v>77</v>
      </c>
    </row>
    <row r="42" ht="15.75" customHeight="1">
      <c r="B42" s="21"/>
      <c r="C42" s="19" t="s">
        <v>78</v>
      </c>
      <c r="D42" s="28">
        <f>D31</f>
        <v>1471.9</v>
      </c>
      <c r="E42" s="19"/>
      <c r="F42" s="14" t="s">
        <v>47</v>
      </c>
      <c r="G42" s="7"/>
    </row>
    <row r="43" ht="15.75" customHeight="1">
      <c r="B43" s="21"/>
      <c r="C43" s="19" t="s">
        <v>79</v>
      </c>
      <c r="D43" s="28">
        <f>+D40/D39</f>
        <v>1524.360135</v>
      </c>
      <c r="E43" s="19"/>
      <c r="F43" s="14" t="s">
        <v>64</v>
      </c>
      <c r="G43" s="14" t="s">
        <v>80</v>
      </c>
    </row>
    <row r="44" ht="15.75" customHeight="1">
      <c r="B44" s="21"/>
      <c r="C44" s="19" t="s">
        <v>81</v>
      </c>
      <c r="D44" s="30">
        <f>D42/D43</f>
        <v>0.9655854718</v>
      </c>
      <c r="E44" s="19"/>
      <c r="F44" s="14" t="s">
        <v>64</v>
      </c>
      <c r="G44" s="14" t="s">
        <v>82</v>
      </c>
    </row>
    <row r="45" ht="15.75" customHeight="1">
      <c r="B45" s="21"/>
      <c r="C45" s="19" t="s">
        <v>190</v>
      </c>
      <c r="D45" s="30">
        <v>0.9</v>
      </c>
      <c r="E45" s="19"/>
      <c r="F45" s="14" t="s">
        <v>84</v>
      </c>
      <c r="H45" s="48"/>
      <c r="I45" s="54"/>
      <c r="J45" s="7"/>
    </row>
    <row r="46" ht="15.75" customHeight="1">
      <c r="B46" s="21"/>
      <c r="C46" s="19" t="s">
        <v>85</v>
      </c>
      <c r="D46" s="28">
        <f>+(D43/1000)*D26</f>
        <v>2.286540202</v>
      </c>
      <c r="E46" s="19"/>
      <c r="F46" s="14" t="s">
        <v>64</v>
      </c>
      <c r="G46" s="14" t="s">
        <v>86</v>
      </c>
      <c r="H46" s="7"/>
      <c r="I46" s="7"/>
      <c r="J46" s="7"/>
    </row>
    <row r="47" ht="15.75" customHeight="1">
      <c r="B47" s="21"/>
      <c r="C47" s="19" t="s">
        <v>87</v>
      </c>
      <c r="D47" s="28">
        <f>((D41/1000)*D45)*D27</f>
        <v>0.01888564856</v>
      </c>
      <c r="E47" s="19"/>
      <c r="F47" s="14" t="s">
        <v>64</v>
      </c>
      <c r="G47" s="14" t="s">
        <v>88</v>
      </c>
      <c r="H47" s="7"/>
      <c r="I47" s="7"/>
      <c r="J47" s="7"/>
    </row>
    <row r="48" ht="15.75" customHeight="1">
      <c r="B48" s="21"/>
      <c r="C48" s="19" t="s">
        <v>89</v>
      </c>
      <c r="D48" s="31">
        <f>+D46-D47</f>
        <v>2.267654554</v>
      </c>
      <c r="E48" s="19"/>
      <c r="F48" s="14" t="s">
        <v>64</v>
      </c>
      <c r="G48" s="14" t="s">
        <v>90</v>
      </c>
      <c r="H48" s="7"/>
      <c r="I48" s="7"/>
      <c r="J48" s="7"/>
    </row>
    <row r="49" ht="15.75" customHeight="1">
      <c r="B49" s="18" t="s">
        <v>91</v>
      </c>
      <c r="C49" s="19" t="s">
        <v>92</v>
      </c>
      <c r="D49" s="20" t="s">
        <v>175</v>
      </c>
      <c r="E49" s="19"/>
      <c r="F49" s="32" t="s">
        <v>36</v>
      </c>
    </row>
    <row r="50" ht="15.75" customHeight="1">
      <c r="B50" s="55"/>
      <c r="C50" s="34" t="s">
        <v>191</v>
      </c>
      <c r="D50" s="20">
        <v>250.0</v>
      </c>
      <c r="E50" s="19"/>
      <c r="F50" s="14" t="s">
        <v>47</v>
      </c>
      <c r="G50" s="3" t="s">
        <v>192</v>
      </c>
      <c r="H50" s="3" t="s">
        <v>193</v>
      </c>
    </row>
    <row r="51" ht="15.75" customHeight="1">
      <c r="B51" s="21"/>
      <c r="C51" s="34" t="s">
        <v>194</v>
      </c>
      <c r="D51" s="20">
        <f>3.14*250</f>
        <v>785</v>
      </c>
      <c r="E51" s="19"/>
      <c r="F51" s="14" t="s">
        <v>47</v>
      </c>
      <c r="G51" s="3" t="s">
        <v>195</v>
      </c>
      <c r="H51" s="3" t="s">
        <v>193</v>
      </c>
    </row>
    <row r="52" ht="15.75" customHeight="1">
      <c r="B52" s="55"/>
      <c r="C52" s="34" t="s">
        <v>196</v>
      </c>
      <c r="D52" s="20">
        <v>180.0</v>
      </c>
      <c r="E52" s="19"/>
      <c r="F52" s="14" t="s">
        <v>47</v>
      </c>
      <c r="G52" s="3" t="s">
        <v>197</v>
      </c>
      <c r="H52" s="3" t="s">
        <v>193</v>
      </c>
    </row>
    <row r="53" ht="15.75" customHeight="1">
      <c r="B53" s="21"/>
      <c r="C53" s="34" t="s">
        <v>198</v>
      </c>
      <c r="D53" s="33">
        <f>D51*95%</f>
        <v>745.75</v>
      </c>
      <c r="E53" s="19"/>
      <c r="F53" s="14" t="s">
        <v>47</v>
      </c>
      <c r="G53" s="3" t="s">
        <v>199</v>
      </c>
      <c r="H53" s="3" t="s">
        <v>200</v>
      </c>
    </row>
    <row r="54" ht="15.75" customHeight="1">
      <c r="B54" s="21"/>
      <c r="C54" s="34" t="s">
        <v>201</v>
      </c>
      <c r="D54" s="33">
        <f>D52/D50</f>
        <v>0.72</v>
      </c>
      <c r="E54" s="19"/>
      <c r="F54" s="14" t="s">
        <v>64</v>
      </c>
      <c r="G54" s="3" t="s">
        <v>202</v>
      </c>
      <c r="H54" s="3" t="s">
        <v>203</v>
      </c>
    </row>
    <row r="55" ht="15.75" customHeight="1">
      <c r="B55" s="21"/>
      <c r="C55" s="34" t="s">
        <v>204</v>
      </c>
      <c r="D55" s="20">
        <v>370.0</v>
      </c>
      <c r="E55" s="19"/>
      <c r="F55" s="14" t="s">
        <v>205</v>
      </c>
      <c r="G55" s="3" t="s">
        <v>206</v>
      </c>
      <c r="H55" s="3" t="s">
        <v>207</v>
      </c>
    </row>
    <row r="56" ht="15.75" customHeight="1">
      <c r="B56" s="21"/>
      <c r="C56" s="34" t="s">
        <v>208</v>
      </c>
      <c r="D56" s="33">
        <f>((D53*$D$30*D55)*((D51/D53)-0.7))/9810</f>
        <v>29.75558104</v>
      </c>
      <c r="E56" s="19"/>
      <c r="F56" s="14" t="s">
        <v>149</v>
      </c>
      <c r="G56" s="3" t="s">
        <v>209</v>
      </c>
      <c r="H56" s="3" t="s">
        <v>210</v>
      </c>
    </row>
    <row r="57" ht="15.75" customHeight="1">
      <c r="B57" s="21"/>
      <c r="C57" s="34" t="s">
        <v>211</v>
      </c>
      <c r="D57" s="33">
        <f>D56*(1/3)</f>
        <v>9.918527013</v>
      </c>
      <c r="E57" s="19"/>
      <c r="F57" s="14" t="s">
        <v>3</v>
      </c>
      <c r="G57" s="3" t="s">
        <v>212</v>
      </c>
      <c r="H57" s="3" t="s">
        <v>213</v>
      </c>
    </row>
    <row r="58" ht="15.75" customHeight="1">
      <c r="B58" s="21"/>
      <c r="C58" s="19" t="s">
        <v>96</v>
      </c>
      <c r="D58" s="33">
        <f>(D56+D57)*D35</f>
        <v>39.67410805</v>
      </c>
      <c r="E58" s="19"/>
      <c r="F58" s="14" t="s">
        <v>214</v>
      </c>
      <c r="G58" s="3" t="s">
        <v>215</v>
      </c>
      <c r="H58" s="3" t="s">
        <v>216</v>
      </c>
    </row>
    <row r="59" ht="15.75" customHeight="1">
      <c r="B59" s="21"/>
      <c r="C59" s="34" t="s">
        <v>98</v>
      </c>
      <c r="D59" s="33">
        <f>D58*1.25</f>
        <v>49.59263507</v>
      </c>
      <c r="E59" s="19"/>
      <c r="F59" s="14" t="s">
        <v>64</v>
      </c>
      <c r="G59" s="19" t="s">
        <v>217</v>
      </c>
      <c r="H59" s="19" t="s">
        <v>218</v>
      </c>
      <c r="I59" s="7"/>
    </row>
    <row r="60" ht="15.75" customHeight="1">
      <c r="B60" s="21"/>
      <c r="C60" s="34" t="s">
        <v>100</v>
      </c>
      <c r="D60" s="50" t="s">
        <v>219</v>
      </c>
      <c r="E60" s="19"/>
      <c r="F60" s="14" t="s">
        <v>102</v>
      </c>
    </row>
    <row r="61" ht="15.75" customHeight="1">
      <c r="B61" s="21"/>
      <c r="C61" s="34" t="s">
        <v>103</v>
      </c>
      <c r="D61" s="20" t="s">
        <v>220</v>
      </c>
      <c r="E61" s="19"/>
      <c r="F61" s="14" t="s">
        <v>102</v>
      </c>
    </row>
    <row r="62" ht="15.75" customHeight="1">
      <c r="B62" s="21"/>
      <c r="C62" s="34" t="s">
        <v>105</v>
      </c>
      <c r="D62" s="20" t="s">
        <v>156</v>
      </c>
      <c r="E62" s="19"/>
      <c r="F62" s="14" t="s">
        <v>102</v>
      </c>
    </row>
    <row r="63" ht="15.75" customHeight="1">
      <c r="B63" s="21"/>
      <c r="C63" s="36" t="s">
        <v>107</v>
      </c>
      <c r="D63" s="35"/>
      <c r="E63" s="19"/>
      <c r="F63" s="14" t="s">
        <v>3</v>
      </c>
    </row>
    <row r="64" ht="15.75" customHeight="1">
      <c r="B64" s="21"/>
      <c r="C64" s="34" t="s">
        <v>108</v>
      </c>
      <c r="D64" s="38">
        <f>(12)+(D67*60)</f>
        <v>22</v>
      </c>
      <c r="E64" s="19"/>
      <c r="F64" s="14" t="s">
        <v>149</v>
      </c>
      <c r="G64" s="3" t="s">
        <v>221</v>
      </c>
    </row>
    <row r="65" ht="15.75" customHeight="1">
      <c r="B65" s="21"/>
      <c r="C65" s="39" t="s">
        <v>111</v>
      </c>
      <c r="D65" s="40">
        <f>(D66/$D$16)</f>
        <v>0.0045</v>
      </c>
      <c r="E65" s="19"/>
      <c r="F65" s="46" t="s">
        <v>149</v>
      </c>
      <c r="G65" s="3" t="s">
        <v>222</v>
      </c>
    </row>
    <row r="66" ht="15.75" customHeight="1">
      <c r="B66" s="21"/>
      <c r="C66" s="34" t="s">
        <v>180</v>
      </c>
      <c r="D66" s="47">
        <v>45.0</v>
      </c>
      <c r="E66" s="19"/>
      <c r="F66" s="14" t="s">
        <v>181</v>
      </c>
    </row>
    <row r="67" ht="15.75" customHeight="1">
      <c r="B67" s="21"/>
      <c r="C67" s="34" t="s">
        <v>182</v>
      </c>
      <c r="D67" s="47">
        <f>(10/60)</f>
        <v>0.1666666667</v>
      </c>
      <c r="E67" s="19"/>
      <c r="F67" s="14" t="s">
        <v>162</v>
      </c>
    </row>
    <row r="68" ht="15.75" customHeight="1">
      <c r="B68" s="42" t="s">
        <v>118</v>
      </c>
      <c r="C68" s="39" t="s">
        <v>115</v>
      </c>
      <c r="D68" s="20">
        <v>1.0</v>
      </c>
      <c r="E68" s="19"/>
      <c r="F68" s="14" t="s">
        <v>102</v>
      </c>
    </row>
    <row r="69" ht="15.75" customHeight="1">
      <c r="B69" s="21"/>
      <c r="C69" s="34" t="s">
        <v>116</v>
      </c>
      <c r="D69" s="20">
        <v>1.0</v>
      </c>
      <c r="E69" s="19"/>
      <c r="F69" s="14" t="s">
        <v>117</v>
      </c>
    </row>
    <row r="70" ht="15.75" customHeight="1">
      <c r="B70" s="21"/>
      <c r="C70" s="39" t="s">
        <v>119</v>
      </c>
      <c r="D70" s="22">
        <v>30.0</v>
      </c>
      <c r="E70" s="19"/>
      <c r="F70" s="14" t="s">
        <v>120</v>
      </c>
    </row>
    <row r="71" ht="15.75" customHeight="1">
      <c r="B71" s="21"/>
      <c r="C71" s="34" t="s">
        <v>121</v>
      </c>
      <c r="D71" s="22">
        <v>45.0</v>
      </c>
      <c r="E71" s="19"/>
      <c r="F71" s="14" t="s">
        <v>120</v>
      </c>
    </row>
    <row r="72" ht="15.75" customHeight="1">
      <c r="B72" s="21"/>
      <c r="C72" s="34" t="s">
        <v>122</v>
      </c>
      <c r="D72" s="22">
        <v>50.0</v>
      </c>
      <c r="E72" s="19"/>
      <c r="F72" s="14"/>
    </row>
    <row r="73" ht="15.75" customHeight="1">
      <c r="B73" s="21"/>
      <c r="C73" s="34" t="s">
        <v>123</v>
      </c>
      <c r="D73" s="43">
        <v>0.01</v>
      </c>
      <c r="E73" s="19"/>
      <c r="F73" s="14" t="s">
        <v>124</v>
      </c>
    </row>
    <row r="74" ht="15.75" customHeight="1">
      <c r="B74" s="21"/>
      <c r="C74" s="19" t="s">
        <v>125</v>
      </c>
      <c r="D74" s="38">
        <v>0.5</v>
      </c>
      <c r="E74" s="19"/>
      <c r="F74" s="14" t="s">
        <v>126</v>
      </c>
    </row>
    <row r="75" ht="15.75" customHeight="1">
      <c r="B75" s="21"/>
      <c r="C75" s="19" t="s">
        <v>127</v>
      </c>
      <c r="D75" s="44">
        <v>0.98</v>
      </c>
      <c r="E75" s="19"/>
      <c r="F75" s="14" t="s">
        <v>128</v>
      </c>
    </row>
    <row r="76" ht="15.75" customHeight="1">
      <c r="B76" s="21"/>
      <c r="C76" s="34" t="s">
        <v>129</v>
      </c>
      <c r="D76" s="22">
        <v>15.0</v>
      </c>
      <c r="E76" s="19"/>
      <c r="F76" s="14" t="s">
        <v>102</v>
      </c>
    </row>
    <row r="77" ht="15.75" customHeight="1">
      <c r="B77" s="21"/>
      <c r="C77" s="34" t="s">
        <v>130</v>
      </c>
      <c r="D77" s="28">
        <f>(D76/3600)*(D64/$D$35)</f>
        <v>0.09166666667</v>
      </c>
      <c r="E77" s="19"/>
      <c r="F77" s="14" t="s">
        <v>64</v>
      </c>
      <c r="G77" s="14" t="s">
        <v>223</v>
      </c>
    </row>
    <row r="78" ht="15.75" customHeight="1">
      <c r="B78" s="21"/>
      <c r="C78" s="39" t="s">
        <v>132</v>
      </c>
      <c r="D78" s="28">
        <f>(((D70/60)*(D65*D68))+((D71/60)*(D65*D69)))+((D76/60)*D65)</f>
        <v>0.00675</v>
      </c>
      <c r="E78" s="19"/>
      <c r="F78" s="14" t="s">
        <v>64</v>
      </c>
      <c r="G78" s="14" t="s">
        <v>133</v>
      </c>
    </row>
    <row r="79" ht="15.75" customHeight="1">
      <c r="B79" s="21"/>
      <c r="C79" s="39" t="s">
        <v>134</v>
      </c>
      <c r="D79" s="28">
        <f>(((D70/3600)*(D64/D35)*D68))</f>
        <v>0.1833333333</v>
      </c>
      <c r="E79" s="19"/>
      <c r="F79" s="14" t="s">
        <v>64</v>
      </c>
      <c r="G79" s="14" t="s">
        <v>184</v>
      </c>
    </row>
    <row r="80" ht="15.75" customHeight="1">
      <c r="B80" s="21"/>
      <c r="C80" s="39" t="s">
        <v>136</v>
      </c>
      <c r="D80" s="28">
        <f>(((D72/60)*(D74))*(D73*$D$16))/$D$16</f>
        <v>0.004166666667</v>
      </c>
      <c r="E80" s="19"/>
      <c r="F80" s="14" t="s">
        <v>64</v>
      </c>
      <c r="G80" s="14" t="s">
        <v>137</v>
      </c>
    </row>
    <row r="81" ht="15.75" customHeight="1">
      <c r="B81" s="21"/>
      <c r="C81" s="34" t="s">
        <v>138</v>
      </c>
      <c r="D81" s="28">
        <f>+((1-D75)*(($D$48-(($D$42/1000)*$D$27))+SUM(D77:D80)))</f>
        <v>0.03929622441</v>
      </c>
      <c r="E81" s="19"/>
      <c r="F81" s="14" t="s">
        <v>64</v>
      </c>
      <c r="G81" s="14" t="s">
        <v>139</v>
      </c>
    </row>
    <row r="82" ht="15.75" customHeight="1">
      <c r="B82" s="21"/>
      <c r="C82" s="34" t="s">
        <v>140</v>
      </c>
      <c r="D82" s="31">
        <f>SUM(D77:D81)</f>
        <v>0.3252128911</v>
      </c>
      <c r="E82" s="19"/>
      <c r="F82" s="14" t="s">
        <v>64</v>
      </c>
      <c r="G82" s="14" t="s">
        <v>141</v>
      </c>
    </row>
    <row r="83" ht="15.75" customHeight="1">
      <c r="B83" s="18" t="s">
        <v>142</v>
      </c>
      <c r="C83" s="19" t="s">
        <v>92</v>
      </c>
      <c r="D83" s="20" t="s">
        <v>143</v>
      </c>
      <c r="E83" s="19"/>
      <c r="F83" s="32" t="s">
        <v>36</v>
      </c>
      <c r="H83" s="45"/>
    </row>
    <row r="84" ht="15.75" customHeight="1">
      <c r="B84" s="21"/>
      <c r="C84" s="19" t="s">
        <v>144</v>
      </c>
      <c r="D84" s="20">
        <v>440.0</v>
      </c>
      <c r="E84" s="19"/>
      <c r="F84" s="14" t="s">
        <v>53</v>
      </c>
    </row>
    <row r="85" ht="15.75" customHeight="1">
      <c r="B85" s="21"/>
      <c r="C85" s="19" t="s">
        <v>145</v>
      </c>
      <c r="D85" s="20">
        <v>2200.0</v>
      </c>
      <c r="E85" s="19"/>
      <c r="F85" s="14" t="s">
        <v>47</v>
      </c>
    </row>
    <row r="86" ht="15.75" customHeight="1">
      <c r="B86" s="21"/>
      <c r="C86" s="19" t="s">
        <v>146</v>
      </c>
      <c r="D86" s="20">
        <v>15.0</v>
      </c>
      <c r="E86" s="19"/>
      <c r="F86" s="14" t="s">
        <v>47</v>
      </c>
    </row>
    <row r="87" ht="15.75" customHeight="1">
      <c r="B87" s="21"/>
      <c r="C87" s="19" t="s">
        <v>147</v>
      </c>
      <c r="D87" s="20">
        <v>1.33</v>
      </c>
      <c r="E87" s="19"/>
      <c r="F87" s="14" t="s">
        <v>148</v>
      </c>
    </row>
    <row r="88" ht="15.75" customHeight="1">
      <c r="B88" s="21"/>
      <c r="C88" s="19" t="s">
        <v>96</v>
      </c>
      <c r="D88" s="33">
        <f>((($D$30^2)*D85*D84*D87)/D86)/9810</f>
        <v>78.74250765</v>
      </c>
      <c r="E88" s="19"/>
      <c r="F88" s="14" t="s">
        <v>149</v>
      </c>
      <c r="G88" s="14" t="s">
        <v>150</v>
      </c>
    </row>
    <row r="89" ht="15.75" customHeight="1">
      <c r="B89" s="21"/>
      <c r="C89" s="34" t="s">
        <v>151</v>
      </c>
      <c r="D89" s="33">
        <v>1.0</v>
      </c>
      <c r="E89" s="19"/>
      <c r="F89" s="14" t="s">
        <v>47</v>
      </c>
      <c r="G89" s="46"/>
    </row>
    <row r="90" ht="15.75" customHeight="1">
      <c r="B90" s="21"/>
      <c r="C90" s="34" t="s">
        <v>152</v>
      </c>
      <c r="D90" s="33">
        <f>D88*D89</f>
        <v>78.74250765</v>
      </c>
      <c r="E90" s="19"/>
      <c r="F90" s="14" t="s">
        <v>149</v>
      </c>
      <c r="G90" s="14" t="s">
        <v>153</v>
      </c>
    </row>
    <row r="91" ht="15.75" customHeight="1">
      <c r="B91" s="21"/>
      <c r="C91" s="34" t="s">
        <v>98</v>
      </c>
      <c r="D91" s="33">
        <f>D90*1.25</f>
        <v>98.42813456</v>
      </c>
      <c r="E91" s="19"/>
      <c r="F91" s="14" t="s">
        <v>149</v>
      </c>
      <c r="G91" s="14" t="s">
        <v>99</v>
      </c>
    </row>
    <row r="92" ht="15.75" customHeight="1">
      <c r="B92" s="21"/>
      <c r="C92" s="34" t="s">
        <v>100</v>
      </c>
      <c r="D92" s="35" t="s">
        <v>154</v>
      </c>
      <c r="E92" s="19"/>
      <c r="F92" s="14" t="s">
        <v>102</v>
      </c>
    </row>
    <row r="93" ht="15.75" customHeight="1">
      <c r="B93" s="21"/>
      <c r="C93" s="34" t="s">
        <v>103</v>
      </c>
      <c r="D93" s="20" t="s">
        <v>155</v>
      </c>
      <c r="E93" s="19"/>
      <c r="F93" s="14" t="s">
        <v>102</v>
      </c>
    </row>
    <row r="94" ht="15.75" customHeight="1">
      <c r="B94" s="21"/>
      <c r="C94" s="34" t="s">
        <v>105</v>
      </c>
      <c r="D94" s="20" t="s">
        <v>156</v>
      </c>
      <c r="E94" s="19"/>
      <c r="F94" s="14" t="s">
        <v>102</v>
      </c>
    </row>
    <row r="95" ht="15.75" customHeight="1">
      <c r="B95" s="21"/>
      <c r="C95" s="36" t="s">
        <v>107</v>
      </c>
      <c r="D95" s="35"/>
      <c r="E95" s="19"/>
      <c r="F95" s="14" t="s">
        <v>3</v>
      </c>
    </row>
    <row r="96" ht="15.75" customHeight="1">
      <c r="B96" s="21"/>
      <c r="C96" s="34" t="s">
        <v>108</v>
      </c>
      <c r="D96" s="38">
        <f>2+(D99*60)</f>
        <v>7</v>
      </c>
      <c r="E96" s="19"/>
      <c r="F96" s="14" t="s">
        <v>157</v>
      </c>
      <c r="G96" s="14"/>
    </row>
    <row r="97" ht="15.75" customHeight="1">
      <c r="B97" s="21"/>
      <c r="C97" s="39" t="s">
        <v>111</v>
      </c>
      <c r="D97" s="40">
        <f>(D98/$D$16)</f>
        <v>0.001</v>
      </c>
      <c r="E97" s="19"/>
      <c r="F97" s="14" t="s">
        <v>149</v>
      </c>
      <c r="G97" s="14" t="s">
        <v>158</v>
      </c>
    </row>
    <row r="98" ht="15.75" customHeight="1">
      <c r="B98" s="21"/>
      <c r="C98" s="19" t="s">
        <v>159</v>
      </c>
      <c r="D98" s="47">
        <v>10.0</v>
      </c>
      <c r="E98" s="19"/>
      <c r="F98" s="14" t="s">
        <v>160</v>
      </c>
    </row>
    <row r="99" ht="15.75" customHeight="1">
      <c r="B99" s="21"/>
      <c r="C99" s="34" t="s">
        <v>161</v>
      </c>
      <c r="D99" s="47">
        <f>(5/60)</f>
        <v>0.08333333333</v>
      </c>
      <c r="E99" s="19"/>
      <c r="F99" s="14" t="s">
        <v>162</v>
      </c>
    </row>
    <row r="100" ht="15.75" customHeight="1">
      <c r="B100" s="42" t="s">
        <v>118</v>
      </c>
      <c r="C100" s="39" t="s">
        <v>163</v>
      </c>
      <c r="D100" s="20">
        <v>1.0</v>
      </c>
      <c r="E100" s="19"/>
      <c r="F100" s="14" t="s">
        <v>102</v>
      </c>
    </row>
    <row r="101" ht="15.75" customHeight="1">
      <c r="B101" s="21"/>
      <c r="C101" s="34" t="s">
        <v>116</v>
      </c>
      <c r="D101" s="20">
        <v>0.0</v>
      </c>
      <c r="E101" s="19"/>
      <c r="F101" s="14" t="s">
        <v>117</v>
      </c>
    </row>
    <row r="102" ht="15.75" customHeight="1">
      <c r="B102" s="21"/>
      <c r="C102" s="39" t="s">
        <v>119</v>
      </c>
      <c r="D102" s="22">
        <v>30.0</v>
      </c>
      <c r="E102" s="19"/>
      <c r="F102" s="14" t="s">
        <v>120</v>
      </c>
    </row>
    <row r="103" ht="15.75" customHeight="1">
      <c r="B103" s="21"/>
      <c r="C103" s="34" t="s">
        <v>121</v>
      </c>
      <c r="D103" s="22">
        <v>45.0</v>
      </c>
      <c r="E103" s="19"/>
      <c r="F103" s="14" t="s">
        <v>120</v>
      </c>
    </row>
    <row r="104" ht="15.75" customHeight="1">
      <c r="B104" s="21"/>
      <c r="C104" s="34" t="s">
        <v>122</v>
      </c>
      <c r="D104" s="22">
        <v>50.0</v>
      </c>
      <c r="E104" s="19"/>
      <c r="F104" s="14"/>
    </row>
    <row r="105" ht="15.75" customHeight="1">
      <c r="B105" s="21"/>
      <c r="C105" s="34" t="s">
        <v>123</v>
      </c>
      <c r="D105" s="43">
        <v>0.01</v>
      </c>
      <c r="E105" s="19"/>
      <c r="F105" s="14" t="s">
        <v>124</v>
      </c>
    </row>
    <row r="106" ht="15.75" customHeight="1">
      <c r="B106" s="21"/>
      <c r="C106" s="19" t="s">
        <v>125</v>
      </c>
      <c r="D106" s="38">
        <v>0.5</v>
      </c>
      <c r="E106" s="19"/>
      <c r="F106" s="14" t="s">
        <v>126</v>
      </c>
    </row>
    <row r="107" ht="15.75" customHeight="1">
      <c r="B107" s="21"/>
      <c r="C107" s="19" t="s">
        <v>127</v>
      </c>
      <c r="D107" s="44">
        <v>0.98</v>
      </c>
      <c r="E107" s="19"/>
      <c r="F107" s="14" t="s">
        <v>128</v>
      </c>
    </row>
    <row r="108" ht="15.75" customHeight="1">
      <c r="B108" s="21"/>
      <c r="C108" s="34" t="s">
        <v>129</v>
      </c>
      <c r="D108" s="22">
        <v>15.0</v>
      </c>
      <c r="E108" s="19"/>
      <c r="F108" s="14" t="s">
        <v>102</v>
      </c>
    </row>
    <row r="109" ht="15.75" customHeight="1">
      <c r="B109" s="21"/>
      <c r="C109" s="34" t="s">
        <v>130</v>
      </c>
      <c r="D109" s="28">
        <f>(D108/3600)*D96</f>
        <v>0.02916666667</v>
      </c>
      <c r="E109" s="19"/>
      <c r="F109" s="14" t="s">
        <v>64</v>
      </c>
      <c r="G109" s="14" t="s">
        <v>131</v>
      </c>
    </row>
    <row r="110" ht="15.75" customHeight="1">
      <c r="B110" s="21"/>
      <c r="C110" s="39" t="s">
        <v>132</v>
      </c>
      <c r="D110" s="28">
        <f>(((D102/60)*(D97*D100))+((D103/60)*(D97*D101)))+((D108/60)*D97)</f>
        <v>0.00075</v>
      </c>
      <c r="E110" s="19"/>
      <c r="F110" s="14" t="s">
        <v>64</v>
      </c>
      <c r="G110" s="14" t="s">
        <v>133</v>
      </c>
    </row>
    <row r="111" ht="15.75" customHeight="1">
      <c r="B111" s="21"/>
      <c r="C111" s="34" t="s">
        <v>134</v>
      </c>
      <c r="D111" s="28">
        <f>(((D102/3060)*(D96*D100)))</f>
        <v>0.06862745098</v>
      </c>
      <c r="E111" s="19"/>
      <c r="F111" s="14" t="s">
        <v>64</v>
      </c>
      <c r="G111" s="14" t="s">
        <v>135</v>
      </c>
    </row>
    <row r="112" ht="15.75" customHeight="1">
      <c r="B112" s="21"/>
      <c r="C112" s="39" t="s">
        <v>136</v>
      </c>
      <c r="D112" s="28">
        <f>(((D104/60)*(D106))*(D105*$D$16))/$D$16</f>
        <v>0.004166666667</v>
      </c>
      <c r="E112" s="19"/>
      <c r="F112" s="14" t="s">
        <v>64</v>
      </c>
      <c r="G112" s="14" t="s">
        <v>137</v>
      </c>
    </row>
    <row r="113" ht="15.75" customHeight="1">
      <c r="B113" s="21"/>
      <c r="C113" s="34" t="s">
        <v>138</v>
      </c>
      <c r="D113" s="28">
        <f>+((1-D107)*(($D$48-(($D$42/1000)*$D$27))+SUM(D109:D112)))</f>
        <v>0.03563210676</v>
      </c>
      <c r="E113" s="19"/>
      <c r="F113" s="14" t="s">
        <v>64</v>
      </c>
      <c r="G113" s="14" t="s">
        <v>139</v>
      </c>
    </row>
    <row r="114" ht="15.75" customHeight="1">
      <c r="B114" s="1"/>
      <c r="C114" s="34" t="s">
        <v>140</v>
      </c>
      <c r="D114" s="31">
        <f>SUM(D109:D113)</f>
        <v>0.1383428911</v>
      </c>
      <c r="E114" s="19"/>
      <c r="F114" s="14" t="s">
        <v>64</v>
      </c>
      <c r="G114" s="14" t="s">
        <v>141</v>
      </c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autoFilter ref="$B$5:$E$82"/>
  <mergeCells count="1">
    <mergeCell ref="H5:J5"/>
  </mergeCells>
  <dataValidations>
    <dataValidation type="list" allowBlank="1" showErrorMessage="1" sqref="D15">
      <formula1>"Low,Medium,Complex"</formula1>
    </dataValidation>
    <dataValidation type="list" allowBlank="1" showErrorMessage="1" sqref="D20">
      <formula1>"EX-W,DAP,DDP,FOB"</formula1>
    </dataValidation>
    <dataValidation type="list" allowBlank="1" showErrorMessage="1" sqref="E6:E24 E28:E67 E83:E114">
      <formula1>#REF!</formula1>
    </dataValidation>
    <dataValidation type="list" allowBlank="1" showErrorMessage="1" sqref="D18">
      <formula1>"No Packing,Reusable,Non reusable"</formula1>
    </dataValidation>
    <dataValidation type="list" allowBlank="1" showErrorMessage="1" sqref="E77:E82">
      <formula1>$H$7:$H$9</formula1>
    </dataValidation>
    <dataValidation type="list" allowBlank="1" showErrorMessage="1" sqref="D21">
      <formula1>"30 Days,45 Days,60 Days,75 Days,90 Days,105 Days,120 Days"</formula1>
    </dataValidation>
    <dataValidation type="list" allowBlank="1" showErrorMessage="1" sqref="D17">
      <formula1>"Make,Buy"</formula1>
    </dataValidation>
    <dataValidation type="list" allowBlank="1" showErrorMessage="1" sqref="E68:E76">
      <formula1>$H$13:$H$17</formula1>
    </dataValidation>
    <dataValidation type="list" allowBlank="1" showErrorMessage="1" sqref="E25:E27">
      <formula1>$H$7:$H$12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49.43"/>
    <col customWidth="1" min="4" max="4" width="36.71"/>
    <col customWidth="1" min="5" max="5" width="28.71"/>
    <col customWidth="1" min="6" max="6" width="90.0"/>
    <col customWidth="1" min="7" max="7" width="55.0"/>
    <col customWidth="1" min="8" max="8" width="22.86"/>
    <col customWidth="1" min="9" max="9" width="73.71"/>
    <col customWidth="1" min="10" max="10" width="9.29"/>
    <col customWidth="1" min="11" max="26" width="8.71"/>
  </cols>
  <sheetData>
    <row r="1" ht="13.5" customHeight="1">
      <c r="B1" s="56"/>
      <c r="C1" s="3" t="s">
        <v>1</v>
      </c>
      <c r="D1" s="4"/>
      <c r="E1" s="48"/>
    </row>
    <row r="2">
      <c r="B2" s="5"/>
      <c r="C2" s="3" t="s">
        <v>2</v>
      </c>
      <c r="D2" s="4"/>
      <c r="E2" s="7"/>
    </row>
    <row r="3">
      <c r="B3" s="6"/>
      <c r="C3" s="3" t="s">
        <v>3</v>
      </c>
      <c r="D3" s="4"/>
      <c r="E3" s="7"/>
    </row>
    <row r="4">
      <c r="D4" s="4"/>
      <c r="E4" s="7"/>
      <c r="F4" s="7"/>
      <c r="G4" s="7"/>
    </row>
    <row r="5">
      <c r="B5" s="9" t="s">
        <v>4</v>
      </c>
      <c r="C5" s="9" t="s">
        <v>5</v>
      </c>
      <c r="D5" s="10" t="s">
        <v>6</v>
      </c>
      <c r="E5" s="9" t="s">
        <v>7</v>
      </c>
      <c r="F5" s="9" t="s">
        <v>8</v>
      </c>
      <c r="G5" s="9" t="s">
        <v>9</v>
      </c>
      <c r="H5" s="51" t="s">
        <v>164</v>
      </c>
      <c r="I5" s="52"/>
      <c r="J5" s="53"/>
    </row>
    <row r="6">
      <c r="B6" s="11" t="s">
        <v>10</v>
      </c>
      <c r="C6" s="12" t="s">
        <v>11</v>
      </c>
      <c r="D6" s="13"/>
      <c r="E6" s="12"/>
      <c r="F6" s="14" t="s">
        <v>12</v>
      </c>
    </row>
    <row r="7" ht="18.75" customHeight="1">
      <c r="B7" s="15"/>
      <c r="C7" s="12" t="s">
        <v>13</v>
      </c>
      <c r="D7" s="13"/>
      <c r="E7" s="12"/>
      <c r="F7" s="14" t="s">
        <v>12</v>
      </c>
    </row>
    <row r="8" ht="18.75" customHeight="1">
      <c r="B8" s="15"/>
      <c r="C8" s="12" t="s">
        <v>14</v>
      </c>
      <c r="D8" s="16">
        <v>12000.0</v>
      </c>
      <c r="E8" s="12"/>
      <c r="F8" s="14" t="s">
        <v>12</v>
      </c>
    </row>
    <row r="9" ht="18.75" customHeight="1">
      <c r="B9" s="15"/>
      <c r="C9" s="12" t="s">
        <v>15</v>
      </c>
      <c r="D9" s="13" t="s">
        <v>16</v>
      </c>
      <c r="E9" s="12"/>
      <c r="F9" s="14" t="s">
        <v>12</v>
      </c>
    </row>
    <row r="10" ht="18.75" customHeight="1">
      <c r="B10" s="15"/>
      <c r="C10" s="12" t="s">
        <v>17</v>
      </c>
      <c r="D10" s="13" t="s">
        <v>165</v>
      </c>
      <c r="E10" s="12"/>
      <c r="F10" s="14" t="s">
        <v>19</v>
      </c>
    </row>
    <row r="11" ht="18.75" customHeight="1">
      <c r="B11" s="15"/>
      <c r="C11" s="12" t="s">
        <v>20</v>
      </c>
      <c r="D11" s="13"/>
      <c r="E11" s="12"/>
      <c r="F11" s="14" t="s">
        <v>21</v>
      </c>
    </row>
    <row r="12" ht="18.75" customHeight="1">
      <c r="B12" s="15"/>
      <c r="C12" s="12" t="s">
        <v>22</v>
      </c>
      <c r="D12" s="13" t="s">
        <v>23</v>
      </c>
      <c r="E12" s="12"/>
      <c r="F12" s="14" t="s">
        <v>21</v>
      </c>
    </row>
    <row r="13" ht="18.75" customHeight="1">
      <c r="B13" s="15"/>
      <c r="C13" s="12" t="s">
        <v>24</v>
      </c>
      <c r="D13" s="13" t="s">
        <v>23</v>
      </c>
      <c r="E13" s="12"/>
      <c r="F13" s="14" t="s">
        <v>21</v>
      </c>
    </row>
    <row r="14" ht="18.75" customHeight="1">
      <c r="B14" s="15"/>
      <c r="C14" s="12" t="s">
        <v>25</v>
      </c>
      <c r="D14" s="13">
        <v>1.0</v>
      </c>
      <c r="E14" s="12"/>
      <c r="F14" s="14" t="s">
        <v>12</v>
      </c>
    </row>
    <row r="15" ht="18.75" customHeight="1">
      <c r="B15" s="15"/>
      <c r="C15" s="12" t="s">
        <v>26</v>
      </c>
      <c r="D15" s="13" t="s">
        <v>27</v>
      </c>
      <c r="E15" s="12"/>
      <c r="F15" s="14" t="s">
        <v>28</v>
      </c>
    </row>
    <row r="16" ht="18.75" customHeight="1">
      <c r="B16" s="15"/>
      <c r="C16" s="12" t="s">
        <v>29</v>
      </c>
      <c r="D16" s="16">
        <f>+D8/12</f>
        <v>1000</v>
      </c>
      <c r="E16" s="12"/>
      <c r="F16" s="14" t="s">
        <v>30</v>
      </c>
    </row>
    <row r="17" ht="18.75" customHeight="1">
      <c r="B17" s="15"/>
      <c r="C17" s="12" t="s">
        <v>31</v>
      </c>
      <c r="D17" s="13" t="s">
        <v>32</v>
      </c>
      <c r="E17" s="12"/>
      <c r="F17" s="14" t="s">
        <v>33</v>
      </c>
    </row>
    <row r="18" ht="18.75" customHeight="1">
      <c r="B18" s="15"/>
      <c r="C18" s="12" t="s">
        <v>34</v>
      </c>
      <c r="D18" s="13" t="s">
        <v>35</v>
      </c>
      <c r="E18" s="12"/>
      <c r="F18" s="14" t="s">
        <v>36</v>
      </c>
    </row>
    <row r="19" ht="18.75" customHeight="1">
      <c r="B19" s="15"/>
      <c r="C19" s="12" t="s">
        <v>37</v>
      </c>
      <c r="D19" s="13" t="s">
        <v>38</v>
      </c>
      <c r="E19" s="12"/>
      <c r="F19" s="14" t="s">
        <v>12</v>
      </c>
    </row>
    <row r="20" ht="18.75" customHeight="1">
      <c r="B20" s="15"/>
      <c r="C20" s="12" t="s">
        <v>39</v>
      </c>
      <c r="D20" s="13" t="s">
        <v>40</v>
      </c>
      <c r="E20" s="12"/>
      <c r="F20" s="14" t="s">
        <v>41</v>
      </c>
    </row>
    <row r="21" ht="18.75" customHeight="1">
      <c r="B21" s="15"/>
      <c r="C21" s="12" t="s">
        <v>42</v>
      </c>
      <c r="D21" s="13" t="s">
        <v>43</v>
      </c>
      <c r="E21" s="12"/>
      <c r="F21" s="14" t="s">
        <v>41</v>
      </c>
    </row>
    <row r="22" ht="15.75" customHeight="1">
      <c r="B22" s="18" t="s">
        <v>44</v>
      </c>
      <c r="C22" s="19" t="s">
        <v>45</v>
      </c>
      <c r="D22" s="20" t="s">
        <v>46</v>
      </c>
      <c r="E22" s="19"/>
      <c r="F22" s="14" t="s">
        <v>47</v>
      </c>
    </row>
    <row r="23" ht="15.75" customHeight="1">
      <c r="B23" s="21"/>
      <c r="C23" s="19" t="s">
        <v>48</v>
      </c>
      <c r="D23" s="20" t="s">
        <v>49</v>
      </c>
      <c r="E23" s="19"/>
      <c r="F23" s="14" t="s">
        <v>47</v>
      </c>
    </row>
    <row r="24" ht="15.75" customHeight="1">
      <c r="B24" s="21"/>
      <c r="C24" s="19" t="s">
        <v>50</v>
      </c>
      <c r="D24" s="20" t="s">
        <v>51</v>
      </c>
      <c r="E24" s="19"/>
      <c r="F24" s="14" t="s">
        <v>47</v>
      </c>
    </row>
    <row r="25" ht="15.75" customHeight="1">
      <c r="B25" s="21"/>
      <c r="C25" s="19" t="s">
        <v>52</v>
      </c>
      <c r="D25" s="22">
        <v>7.85</v>
      </c>
      <c r="E25" s="19"/>
      <c r="F25" s="14" t="s">
        <v>53</v>
      </c>
    </row>
    <row r="26" ht="15.75" customHeight="1">
      <c r="B26" s="21"/>
      <c r="C26" s="19" t="s">
        <v>54</v>
      </c>
      <c r="D26" s="22">
        <v>1.5</v>
      </c>
      <c r="E26" s="19"/>
      <c r="F26" s="14" t="s">
        <v>53</v>
      </c>
    </row>
    <row r="27" ht="15.75" customHeight="1">
      <c r="B27" s="21"/>
      <c r="C27" s="19" t="s">
        <v>55</v>
      </c>
      <c r="D27" s="22">
        <v>0.4</v>
      </c>
      <c r="E27" s="19"/>
      <c r="F27" s="14" t="s">
        <v>53</v>
      </c>
    </row>
    <row r="28" ht="15.75" customHeight="1">
      <c r="B28" s="21"/>
      <c r="C28" s="19" t="s">
        <v>56</v>
      </c>
      <c r="D28" s="20">
        <v>50.0</v>
      </c>
      <c r="E28" s="19"/>
      <c r="F28" s="14" t="s">
        <v>47</v>
      </c>
    </row>
    <row r="29" ht="15.75" customHeight="1">
      <c r="B29" s="21"/>
      <c r="C29" s="19" t="s">
        <v>57</v>
      </c>
      <c r="D29" s="20">
        <v>30.0</v>
      </c>
      <c r="E29" s="19"/>
      <c r="F29" s="14" t="s">
        <v>47</v>
      </c>
    </row>
    <row r="30" ht="15.75" customHeight="1">
      <c r="B30" s="21"/>
      <c r="C30" s="19" t="s">
        <v>58</v>
      </c>
      <c r="D30" s="20">
        <v>2.0</v>
      </c>
      <c r="E30" s="19"/>
      <c r="F30" s="14" t="s">
        <v>47</v>
      </c>
    </row>
    <row r="31" ht="15.75" customHeight="1">
      <c r="B31" s="21"/>
      <c r="C31" s="19" t="s">
        <v>59</v>
      </c>
      <c r="D31" s="20">
        <v>23.1</v>
      </c>
      <c r="E31" s="19"/>
      <c r="F31" s="14" t="s">
        <v>47</v>
      </c>
    </row>
    <row r="32" ht="15.75" customHeight="1">
      <c r="B32" s="21"/>
      <c r="C32" s="19" t="s">
        <v>60</v>
      </c>
      <c r="D32" s="23">
        <f>+D28*D29</f>
        <v>1500</v>
      </c>
      <c r="E32" s="19"/>
      <c r="F32" s="14" t="s">
        <v>47</v>
      </c>
    </row>
    <row r="33" ht="15.75" customHeight="1">
      <c r="B33" s="21"/>
      <c r="C33" s="19" t="s">
        <v>61</v>
      </c>
      <c r="D33" s="23">
        <f>+D28*D29*D30</f>
        <v>3000</v>
      </c>
      <c r="E33" s="19"/>
      <c r="F33" s="14" t="s">
        <v>62</v>
      </c>
    </row>
    <row r="34" ht="15.75" customHeight="1">
      <c r="B34" s="21"/>
      <c r="C34" s="19" t="s">
        <v>224</v>
      </c>
      <c r="D34" s="24">
        <v>1.0</v>
      </c>
      <c r="E34" s="19"/>
      <c r="F34" s="14" t="s">
        <v>225</v>
      </c>
    </row>
    <row r="35" ht="15.75" customHeight="1">
      <c r="B35" s="21"/>
      <c r="C35" s="25" t="s">
        <v>66</v>
      </c>
      <c r="D35" s="23"/>
      <c r="E35" s="19"/>
      <c r="F35" s="14" t="s">
        <v>3</v>
      </c>
    </row>
    <row r="36" ht="15.75" customHeight="1">
      <c r="B36" s="21"/>
      <c r="C36" s="19" t="s">
        <v>67</v>
      </c>
      <c r="D36" s="27">
        <v>1250.0</v>
      </c>
      <c r="E36" s="19"/>
      <c r="F36" s="14" t="s">
        <v>68</v>
      </c>
      <c r="G36" s="7"/>
    </row>
    <row r="37" ht="15.75" customHeight="1">
      <c r="B37" s="21"/>
      <c r="C37" s="19" t="s">
        <v>69</v>
      </c>
      <c r="D37" s="27">
        <v>2500.0</v>
      </c>
      <c r="E37" s="19"/>
      <c r="F37" s="14" t="s">
        <v>68</v>
      </c>
      <c r="G37" s="7"/>
    </row>
    <row r="38" ht="15.75" customHeight="1">
      <c r="B38" s="21"/>
      <c r="C38" s="19" t="s">
        <v>70</v>
      </c>
      <c r="D38" s="22">
        <v>2.0</v>
      </c>
      <c r="E38" s="19"/>
      <c r="F38" s="14" t="s">
        <v>71</v>
      </c>
      <c r="G38" s="7"/>
    </row>
    <row r="39" ht="15.75" customHeight="1">
      <c r="B39" s="21"/>
      <c r="C39" s="19" t="s">
        <v>72</v>
      </c>
      <c r="D39" s="23">
        <f>((D36-D38)*(D37-D38))/((D28+D34)*(D29+D34))</f>
        <v>1971.855787</v>
      </c>
      <c r="E39" s="19"/>
      <c r="F39" s="14" t="s">
        <v>64</v>
      </c>
      <c r="G39" s="14" t="s">
        <v>73</v>
      </c>
      <c r="H39" s="3"/>
    </row>
    <row r="40" ht="15.75" customHeight="1">
      <c r="B40" s="21"/>
      <c r="C40" s="19" t="s">
        <v>74</v>
      </c>
      <c r="D40" s="23">
        <f>+(D36*D37*D30*D25/1000000)*1000</f>
        <v>49062.5</v>
      </c>
      <c r="E40" s="19"/>
      <c r="F40" s="14" t="s">
        <v>64</v>
      </c>
      <c r="G40" s="14" t="s">
        <v>75</v>
      </c>
    </row>
    <row r="41" ht="15.75" customHeight="1">
      <c r="B41" s="21"/>
      <c r="C41" s="19" t="s">
        <v>76</v>
      </c>
      <c r="D41" s="28">
        <f>+D43-D31</f>
        <v>1.781383472</v>
      </c>
      <c r="E41" s="19"/>
      <c r="F41" s="14" t="s">
        <v>64</v>
      </c>
      <c r="G41" s="14" t="s">
        <v>77</v>
      </c>
    </row>
    <row r="42" ht="15.75" customHeight="1">
      <c r="B42" s="21"/>
      <c r="C42" s="19" t="s">
        <v>78</v>
      </c>
      <c r="D42" s="28">
        <f>D31</f>
        <v>23.1</v>
      </c>
      <c r="E42" s="19"/>
      <c r="F42" s="14" t="s">
        <v>47</v>
      </c>
      <c r="G42" s="7"/>
    </row>
    <row r="43" ht="15.75" customHeight="1">
      <c r="B43" s="21"/>
      <c r="C43" s="19" t="s">
        <v>79</v>
      </c>
      <c r="D43" s="28">
        <f>+D40/D39</f>
        <v>24.88138347</v>
      </c>
      <c r="E43" s="19"/>
      <c r="F43" s="14" t="s">
        <v>64</v>
      </c>
      <c r="G43" s="14" t="s">
        <v>80</v>
      </c>
    </row>
    <row r="44" ht="15.75" customHeight="1">
      <c r="B44" s="21"/>
      <c r="C44" s="19" t="s">
        <v>81</v>
      </c>
      <c r="D44" s="30">
        <f>D42/D43</f>
        <v>0.9284049669</v>
      </c>
      <c r="E44" s="19"/>
      <c r="F44" s="14" t="s">
        <v>64</v>
      </c>
      <c r="G44" s="14" t="s">
        <v>82</v>
      </c>
      <c r="H44" s="19"/>
    </row>
    <row r="45" ht="15.75" customHeight="1">
      <c r="B45" s="21"/>
      <c r="C45" s="19" t="s">
        <v>190</v>
      </c>
      <c r="D45" s="30">
        <v>0.9</v>
      </c>
      <c r="E45" s="19"/>
      <c r="F45" s="14" t="s">
        <v>84</v>
      </c>
      <c r="H45" s="48"/>
    </row>
    <row r="46" ht="15.75" customHeight="1">
      <c r="B46" s="21"/>
      <c r="C46" s="19" t="s">
        <v>85</v>
      </c>
      <c r="D46" s="28">
        <f>(D43/1000)*D26</f>
        <v>0.03732207521</v>
      </c>
      <c r="E46" s="19"/>
      <c r="F46" s="14" t="s">
        <v>64</v>
      </c>
      <c r="G46" s="14" t="s">
        <v>86</v>
      </c>
    </row>
    <row r="47" ht="15.75" customHeight="1">
      <c r="B47" s="21"/>
      <c r="C47" s="19" t="s">
        <v>87</v>
      </c>
      <c r="D47" s="28">
        <f>((D41/1000)*D45)*D27</f>
        <v>0.00064129805</v>
      </c>
      <c r="E47" s="19"/>
      <c r="F47" s="14" t="s">
        <v>64</v>
      </c>
      <c r="G47" s="14" t="s">
        <v>88</v>
      </c>
    </row>
    <row r="48" ht="15.75" customHeight="1">
      <c r="B48" s="21"/>
      <c r="C48" s="19" t="s">
        <v>89</v>
      </c>
      <c r="D48" s="31">
        <f>+D46-D47</f>
        <v>0.03668077716</v>
      </c>
      <c r="E48" s="19"/>
      <c r="F48" s="14" t="s">
        <v>64</v>
      </c>
      <c r="G48" s="14" t="s">
        <v>90</v>
      </c>
    </row>
    <row r="49" ht="15.75" customHeight="1">
      <c r="B49" s="18" t="s">
        <v>91</v>
      </c>
      <c r="C49" s="19" t="s">
        <v>92</v>
      </c>
      <c r="D49" s="20" t="s">
        <v>226</v>
      </c>
      <c r="E49" s="19"/>
      <c r="F49" s="32" t="s">
        <v>36</v>
      </c>
    </row>
    <row r="50" ht="15.75" customHeight="1">
      <c r="B50" s="21"/>
      <c r="C50" s="34" t="s">
        <v>227</v>
      </c>
      <c r="D50" s="20">
        <v>178.84</v>
      </c>
      <c r="E50" s="19"/>
      <c r="F50" s="14" t="s">
        <v>47</v>
      </c>
      <c r="G50" s="3" t="s">
        <v>192</v>
      </c>
      <c r="H50" s="3" t="s">
        <v>228</v>
      </c>
    </row>
    <row r="51" ht="15.75" customHeight="1">
      <c r="B51" s="21"/>
      <c r="C51" s="34" t="s">
        <v>229</v>
      </c>
      <c r="D51" s="20">
        <v>2.0</v>
      </c>
      <c r="E51" s="19"/>
      <c r="F51" s="14" t="s">
        <v>47</v>
      </c>
      <c r="G51" s="3" t="s">
        <v>230</v>
      </c>
      <c r="H51" s="3" t="s">
        <v>231</v>
      </c>
    </row>
    <row r="52" ht="15.75" customHeight="1">
      <c r="B52" s="21"/>
      <c r="C52" s="34" t="s">
        <v>232</v>
      </c>
      <c r="D52" s="20">
        <v>4.2</v>
      </c>
      <c r="E52" s="19"/>
      <c r="F52" s="14" t="s">
        <v>233</v>
      </c>
      <c r="G52" s="3" t="s">
        <v>234</v>
      </c>
      <c r="H52" s="3" t="s">
        <v>235</v>
      </c>
    </row>
    <row r="53" ht="15.75" customHeight="1">
      <c r="B53" s="21"/>
      <c r="C53" s="34" t="s">
        <v>236</v>
      </c>
      <c r="D53" s="33">
        <f>((D50/1000)/D52)</f>
        <v>0.04258095238</v>
      </c>
      <c r="E53" s="19"/>
      <c r="F53" s="14" t="s">
        <v>64</v>
      </c>
      <c r="G53" s="3" t="s">
        <v>237</v>
      </c>
      <c r="H53" s="3" t="s">
        <v>238</v>
      </c>
    </row>
    <row r="54" ht="15.75" customHeight="1">
      <c r="B54" s="21"/>
      <c r="C54" s="34" t="s">
        <v>239</v>
      </c>
      <c r="D54" s="20">
        <f>0.02*D51</f>
        <v>0.04</v>
      </c>
      <c r="E54" s="19"/>
      <c r="F54" s="14" t="s">
        <v>64</v>
      </c>
      <c r="G54" s="3" t="s">
        <v>240</v>
      </c>
      <c r="H54" s="3" t="s">
        <v>241</v>
      </c>
    </row>
    <row r="55" ht="15.75" customHeight="1">
      <c r="B55" s="21"/>
      <c r="C55" s="34" t="s">
        <v>242</v>
      </c>
      <c r="D55" s="33">
        <f>(D53+D54)*60</f>
        <v>4.954857143</v>
      </c>
      <c r="E55" s="19"/>
      <c r="F55" s="14" t="s">
        <v>64</v>
      </c>
      <c r="G55" s="3" t="s">
        <v>243</v>
      </c>
      <c r="H55" s="3" t="s">
        <v>244</v>
      </c>
    </row>
    <row r="56" ht="15.75" customHeight="1">
      <c r="B56" s="21"/>
      <c r="C56" s="34" t="s">
        <v>245</v>
      </c>
      <c r="D56" s="35" t="s">
        <v>246</v>
      </c>
      <c r="E56" s="19"/>
      <c r="F56" s="14" t="s">
        <v>102</v>
      </c>
    </row>
    <row r="57" ht="15.75" customHeight="1">
      <c r="B57" s="21"/>
      <c r="C57" s="34" t="s">
        <v>103</v>
      </c>
      <c r="D57" s="20" t="s">
        <v>247</v>
      </c>
      <c r="E57" s="19"/>
      <c r="F57" s="14" t="s">
        <v>102</v>
      </c>
    </row>
    <row r="58" ht="15.75" customHeight="1">
      <c r="B58" s="21"/>
      <c r="C58" s="34" t="s">
        <v>105</v>
      </c>
      <c r="D58" s="20" t="s">
        <v>106</v>
      </c>
      <c r="E58" s="19"/>
      <c r="F58" s="14" t="s">
        <v>102</v>
      </c>
    </row>
    <row r="59" ht="15.75" customHeight="1">
      <c r="B59" s="21"/>
      <c r="C59" s="39" t="s">
        <v>111</v>
      </c>
      <c r="D59" s="40">
        <f>(D60/$D$16)</f>
        <v>0.01</v>
      </c>
      <c r="E59" s="19"/>
      <c r="F59" s="14" t="s">
        <v>149</v>
      </c>
      <c r="G59" s="14" t="s">
        <v>112</v>
      </c>
    </row>
    <row r="60" ht="15.75" customHeight="1">
      <c r="B60" s="21"/>
      <c r="C60" s="34" t="s">
        <v>248</v>
      </c>
      <c r="D60" s="47">
        <f>ROUNDUP(($D$16/$D$39),0)*(10)</f>
        <v>10</v>
      </c>
      <c r="E60" s="19"/>
      <c r="F60" s="14" t="s">
        <v>64</v>
      </c>
      <c r="G60" s="14" t="s">
        <v>114</v>
      </c>
    </row>
    <row r="61" ht="15.75" customHeight="1">
      <c r="B61" s="21"/>
      <c r="C61" s="36" t="s">
        <v>107</v>
      </c>
      <c r="D61" s="35"/>
      <c r="E61" s="19"/>
      <c r="F61" s="14" t="s">
        <v>3</v>
      </c>
    </row>
    <row r="62" ht="15.75" customHeight="1">
      <c r="B62" s="21"/>
      <c r="C62" s="36" t="s">
        <v>249</v>
      </c>
      <c r="D62" s="33"/>
      <c r="E62" s="19"/>
      <c r="F62" s="14" t="s">
        <v>3</v>
      </c>
    </row>
    <row r="63" ht="15.75" customHeight="1">
      <c r="B63" s="21"/>
      <c r="C63" s="39" t="s">
        <v>115</v>
      </c>
      <c r="D63" s="20">
        <v>0.5</v>
      </c>
      <c r="E63" s="19"/>
      <c r="F63" s="14" t="s">
        <v>102</v>
      </c>
    </row>
    <row r="64" ht="15.75" customHeight="1">
      <c r="B64" s="21"/>
      <c r="C64" s="34" t="s">
        <v>116</v>
      </c>
      <c r="D64" s="20">
        <v>0.0</v>
      </c>
      <c r="E64" s="19"/>
      <c r="F64" s="14" t="s">
        <v>117</v>
      </c>
    </row>
    <row r="65" ht="15.75" customHeight="1">
      <c r="B65" s="42" t="s">
        <v>118</v>
      </c>
      <c r="C65" s="39" t="s">
        <v>119</v>
      </c>
      <c r="D65" s="22">
        <v>30.0</v>
      </c>
      <c r="E65" s="19"/>
      <c r="F65" s="14" t="s">
        <v>120</v>
      </c>
    </row>
    <row r="66" ht="15.75" customHeight="1">
      <c r="B66" s="21"/>
      <c r="C66" s="34" t="s">
        <v>121</v>
      </c>
      <c r="D66" s="22">
        <v>45.0</v>
      </c>
      <c r="E66" s="19"/>
      <c r="F66" s="14" t="s">
        <v>120</v>
      </c>
    </row>
    <row r="67" ht="15.75" customHeight="1">
      <c r="B67" s="21"/>
      <c r="C67" s="34" t="s">
        <v>122</v>
      </c>
      <c r="D67" s="22">
        <v>50.0</v>
      </c>
      <c r="E67" s="19"/>
      <c r="F67" s="14"/>
    </row>
    <row r="68" ht="15.75" customHeight="1">
      <c r="B68" s="21"/>
      <c r="C68" s="34" t="s">
        <v>123</v>
      </c>
      <c r="D68" s="43">
        <v>0.01</v>
      </c>
      <c r="E68" s="19"/>
      <c r="F68" s="14" t="s">
        <v>124</v>
      </c>
    </row>
    <row r="69" ht="15.75" customHeight="1">
      <c r="B69" s="21"/>
      <c r="C69" s="34" t="s">
        <v>125</v>
      </c>
      <c r="D69" s="38">
        <v>0.5</v>
      </c>
      <c r="E69" s="19"/>
      <c r="F69" s="14" t="s">
        <v>126</v>
      </c>
    </row>
    <row r="70" ht="15.75" customHeight="1">
      <c r="B70" s="21"/>
      <c r="C70" s="34" t="s">
        <v>250</v>
      </c>
      <c r="D70" s="43">
        <v>0.98</v>
      </c>
      <c r="E70" s="19"/>
      <c r="F70" s="14" t="s">
        <v>128</v>
      </c>
    </row>
    <row r="71" ht="15.75" customHeight="1">
      <c r="B71" s="21"/>
      <c r="C71" s="34" t="s">
        <v>129</v>
      </c>
      <c r="D71" s="22">
        <v>30.0</v>
      </c>
      <c r="E71" s="19"/>
      <c r="F71" s="14" t="s">
        <v>102</v>
      </c>
    </row>
    <row r="72" ht="15.75" customHeight="1">
      <c r="B72" s="21"/>
      <c r="C72" s="34" t="s">
        <v>130</v>
      </c>
      <c r="D72" s="28">
        <f>(D71/3600)*D55</f>
        <v>0.04129047619</v>
      </c>
      <c r="E72" s="19"/>
      <c r="F72" s="14" t="s">
        <v>64</v>
      </c>
      <c r="G72" s="14" t="s">
        <v>131</v>
      </c>
      <c r="I72" s="3" t="s">
        <v>251</v>
      </c>
    </row>
    <row r="73" ht="15.75" customHeight="1">
      <c r="B73" s="21"/>
      <c r="C73" s="39" t="s">
        <v>132</v>
      </c>
      <c r="D73" s="28">
        <f>(((D65/60)*(D59*D63))+((D66/60)*(D59*D64)))+((D71/60)*D59)</f>
        <v>0.0075</v>
      </c>
      <c r="E73" s="19"/>
      <c r="F73" s="14" t="s">
        <v>64</v>
      </c>
      <c r="G73" s="14" t="s">
        <v>133</v>
      </c>
      <c r="I73" s="3" t="s">
        <v>251</v>
      </c>
    </row>
    <row r="74" ht="15.75" customHeight="1">
      <c r="B74" s="21"/>
      <c r="C74" s="34" t="s">
        <v>134</v>
      </c>
      <c r="D74" s="28">
        <f>(D65/3600)*(D55*D63)</f>
        <v>0.0206452381</v>
      </c>
      <c r="E74" s="19"/>
      <c r="F74" s="14" t="s">
        <v>64</v>
      </c>
      <c r="G74" s="14" t="s">
        <v>135</v>
      </c>
      <c r="I74" s="3" t="s">
        <v>251</v>
      </c>
    </row>
    <row r="75" ht="15.75" customHeight="1">
      <c r="B75" s="21"/>
      <c r="C75" s="39" t="s">
        <v>136</v>
      </c>
      <c r="D75" s="28">
        <f>(((D67/60)*(D69))*(D68*$D$16))/$D$16</f>
        <v>0.004166666667</v>
      </c>
      <c r="E75" s="19"/>
      <c r="F75" s="14" t="s">
        <v>64</v>
      </c>
      <c r="G75" s="14" t="s">
        <v>137</v>
      </c>
      <c r="I75" s="3" t="s">
        <v>251</v>
      </c>
      <c r="J75" s="57"/>
    </row>
    <row r="76" ht="15.75" customHeight="1">
      <c r="B76" s="21"/>
      <c r="C76" s="34" t="s">
        <v>252</v>
      </c>
      <c r="D76" s="28">
        <f>+((1-D70)*(($D$48-(($D$42/1000)*$D$27))+SUM(D72:D75)))</f>
        <v>0.002020863162</v>
      </c>
      <c r="E76" s="19"/>
      <c r="F76" s="14" t="s">
        <v>64</v>
      </c>
      <c r="G76" s="14" t="s">
        <v>139</v>
      </c>
      <c r="I76" s="3" t="s">
        <v>251</v>
      </c>
    </row>
    <row r="77" ht="15.75" customHeight="1">
      <c r="B77" s="1"/>
      <c r="C77" s="34" t="s">
        <v>140</v>
      </c>
      <c r="D77" s="31">
        <f>SUM(D72:D76)</f>
        <v>0.07562324411</v>
      </c>
      <c r="E77" s="19"/>
      <c r="F77" s="14" t="s">
        <v>64</v>
      </c>
      <c r="G77" s="14" t="s">
        <v>141</v>
      </c>
    </row>
    <row r="78" ht="15.75" customHeight="1">
      <c r="B78" s="18" t="s">
        <v>142</v>
      </c>
      <c r="C78" s="19" t="s">
        <v>92</v>
      </c>
      <c r="D78" s="20" t="s">
        <v>143</v>
      </c>
      <c r="E78" s="19"/>
      <c r="F78" s="32" t="s">
        <v>36</v>
      </c>
      <c r="H78" s="58"/>
      <c r="I78" s="59"/>
      <c r="J78" s="7"/>
      <c r="K78" s="45"/>
    </row>
    <row r="79" ht="15.75" customHeight="1">
      <c r="B79" s="21"/>
      <c r="C79" s="19" t="s">
        <v>144</v>
      </c>
      <c r="D79" s="20">
        <v>440.0</v>
      </c>
      <c r="E79" s="19"/>
      <c r="F79" s="14" t="s">
        <v>53</v>
      </c>
      <c r="H79" s="19" t="s">
        <v>253</v>
      </c>
      <c r="I79" s="19" t="s">
        <v>207</v>
      </c>
      <c r="J79" s="7"/>
    </row>
    <row r="80" ht="15.75" customHeight="1">
      <c r="B80" s="21"/>
      <c r="C80" s="19" t="s">
        <v>145</v>
      </c>
      <c r="D80" s="20">
        <v>2200.0</v>
      </c>
      <c r="E80" s="19"/>
      <c r="F80" s="14" t="s">
        <v>47</v>
      </c>
      <c r="H80" s="19" t="s">
        <v>254</v>
      </c>
      <c r="I80" s="19" t="s">
        <v>255</v>
      </c>
      <c r="J80" s="7"/>
    </row>
    <row r="81" ht="15.75" customHeight="1">
      <c r="B81" s="21"/>
      <c r="C81" s="19" t="s">
        <v>146</v>
      </c>
      <c r="D81" s="20">
        <v>15.0</v>
      </c>
      <c r="E81" s="19"/>
      <c r="F81" s="14" t="s">
        <v>47</v>
      </c>
      <c r="H81" s="19" t="s">
        <v>192</v>
      </c>
      <c r="I81" s="19" t="s">
        <v>256</v>
      </c>
      <c r="J81" s="7"/>
    </row>
    <row r="82" ht="15.75" customHeight="1">
      <c r="B82" s="21"/>
      <c r="C82" s="19" t="s">
        <v>147</v>
      </c>
      <c r="D82" s="20">
        <v>1.33</v>
      </c>
      <c r="E82" s="19"/>
      <c r="F82" s="14" t="s">
        <v>148</v>
      </c>
      <c r="H82" s="19" t="s">
        <v>257</v>
      </c>
      <c r="I82" s="19" t="s">
        <v>258</v>
      </c>
      <c r="J82" s="7"/>
    </row>
    <row r="83" ht="15.75" customHeight="1">
      <c r="B83" s="21"/>
      <c r="C83" s="19" t="s">
        <v>96</v>
      </c>
      <c r="D83" s="33">
        <f>((($D$30^2)*D80*D79*D82)/D81)/9810</f>
        <v>34.99667006</v>
      </c>
      <c r="E83" s="19"/>
      <c r="F83" s="14" t="s">
        <v>149</v>
      </c>
      <c r="G83" s="14" t="s">
        <v>150</v>
      </c>
      <c r="H83" s="19" t="s">
        <v>259</v>
      </c>
      <c r="I83" s="19" t="s">
        <v>260</v>
      </c>
      <c r="J83" s="7"/>
    </row>
    <row r="84" ht="15.75" customHeight="1">
      <c r="B84" s="21"/>
      <c r="C84" s="34" t="s">
        <v>151</v>
      </c>
      <c r="D84" s="33">
        <v>1.0</v>
      </c>
      <c r="E84" s="19"/>
      <c r="F84" s="14" t="s">
        <v>47</v>
      </c>
      <c r="G84" s="46"/>
      <c r="H84" s="48"/>
      <c r="I84" s="48"/>
      <c r="J84" s="48"/>
    </row>
    <row r="85" ht="15.75" customHeight="1">
      <c r="B85" s="21"/>
      <c r="C85" s="34" t="s">
        <v>152</v>
      </c>
      <c r="D85" s="33">
        <f>D83*D84</f>
        <v>34.99667006</v>
      </c>
      <c r="E85" s="19"/>
      <c r="F85" s="14" t="s">
        <v>149</v>
      </c>
      <c r="G85" s="14" t="s">
        <v>153</v>
      </c>
      <c r="H85" s="48"/>
      <c r="I85" s="48"/>
      <c r="J85" s="48"/>
    </row>
    <row r="86" ht="15.75" customHeight="1">
      <c r="B86" s="21"/>
      <c r="C86" s="34" t="s">
        <v>98</v>
      </c>
      <c r="D86" s="33">
        <f>D85*1.25</f>
        <v>43.74583758</v>
      </c>
      <c r="E86" s="19"/>
      <c r="F86" s="14" t="s">
        <v>149</v>
      </c>
      <c r="G86" s="14" t="s">
        <v>99</v>
      </c>
      <c r="H86" s="19" t="s">
        <v>217</v>
      </c>
      <c r="I86" s="19" t="s">
        <v>218</v>
      </c>
      <c r="J86" s="7"/>
    </row>
    <row r="87" ht="15.75" customHeight="1">
      <c r="B87" s="21"/>
      <c r="C87" s="34" t="s">
        <v>100</v>
      </c>
      <c r="D87" s="35" t="s">
        <v>154</v>
      </c>
      <c r="E87" s="19"/>
      <c r="F87" s="14" t="s">
        <v>102</v>
      </c>
      <c r="H87" s="7"/>
      <c r="I87" s="7"/>
      <c r="J87" s="7"/>
    </row>
    <row r="88" ht="15.75" customHeight="1">
      <c r="B88" s="21"/>
      <c r="C88" s="34" t="s">
        <v>103</v>
      </c>
      <c r="D88" s="20" t="s">
        <v>155</v>
      </c>
      <c r="E88" s="19"/>
      <c r="F88" s="14" t="s">
        <v>102</v>
      </c>
      <c r="H88" s="7"/>
      <c r="I88" s="7"/>
      <c r="J88" s="7"/>
    </row>
    <row r="89" ht="15.75" customHeight="1">
      <c r="B89" s="21"/>
      <c r="C89" s="34" t="s">
        <v>105</v>
      </c>
      <c r="D89" s="20" t="s">
        <v>156</v>
      </c>
      <c r="E89" s="19"/>
      <c r="F89" s="14" t="s">
        <v>102</v>
      </c>
      <c r="H89" s="7"/>
      <c r="I89" s="7"/>
      <c r="J89" s="7"/>
    </row>
    <row r="90" ht="15.75" customHeight="1">
      <c r="B90" s="21"/>
      <c r="C90" s="36" t="s">
        <v>107</v>
      </c>
      <c r="D90" s="35"/>
      <c r="E90" s="19"/>
      <c r="F90" s="14" t="s">
        <v>3</v>
      </c>
      <c r="H90" s="7"/>
      <c r="I90" s="19" t="s">
        <v>261</v>
      </c>
      <c r="J90" s="7"/>
    </row>
    <row r="91" ht="15.75" customHeight="1">
      <c r="B91" s="21"/>
      <c r="C91" s="34" t="s">
        <v>108</v>
      </c>
      <c r="D91" s="38">
        <f>2+(D94*60)</f>
        <v>7</v>
      </c>
      <c r="E91" s="19"/>
      <c r="F91" s="14" t="s">
        <v>157</v>
      </c>
      <c r="G91" s="14"/>
      <c r="H91" s="7"/>
      <c r="I91" s="19" t="s">
        <v>262</v>
      </c>
      <c r="J91" s="7"/>
    </row>
    <row r="92" ht="15.75" customHeight="1">
      <c r="B92" s="21"/>
      <c r="C92" s="39" t="s">
        <v>111</v>
      </c>
      <c r="D92" s="40">
        <f>(D93/$D$16)</f>
        <v>0.01</v>
      </c>
      <c r="E92" s="19"/>
      <c r="F92" s="14" t="s">
        <v>149</v>
      </c>
      <c r="G92" s="14" t="s">
        <v>158</v>
      </c>
      <c r="H92" s="7"/>
      <c r="I92" s="19" t="s">
        <v>251</v>
      </c>
      <c r="J92" s="7"/>
    </row>
    <row r="93" ht="15.75" customHeight="1">
      <c r="B93" s="21"/>
      <c r="C93" s="19" t="s">
        <v>159</v>
      </c>
      <c r="D93" s="47">
        <v>10.0</v>
      </c>
      <c r="E93" s="19"/>
      <c r="F93" s="14" t="s">
        <v>160</v>
      </c>
      <c r="H93" s="7"/>
      <c r="I93" s="7"/>
      <c r="J93" s="7"/>
    </row>
    <row r="94" ht="15.75" customHeight="1">
      <c r="B94" s="21"/>
      <c r="C94" s="34" t="s">
        <v>161</v>
      </c>
      <c r="D94" s="47">
        <f>(5/60)</f>
        <v>0.08333333333</v>
      </c>
      <c r="E94" s="19"/>
      <c r="F94" s="14" t="s">
        <v>162</v>
      </c>
      <c r="H94" s="7"/>
      <c r="I94" s="7"/>
      <c r="J94" s="7"/>
    </row>
    <row r="95" ht="15.75" customHeight="1">
      <c r="B95" s="42" t="s">
        <v>118</v>
      </c>
      <c r="C95" s="39" t="s">
        <v>163</v>
      </c>
      <c r="D95" s="20">
        <v>1.0</v>
      </c>
      <c r="E95" s="19"/>
      <c r="F95" s="14" t="s">
        <v>102</v>
      </c>
      <c r="H95" s="7"/>
      <c r="I95" s="7"/>
      <c r="J95" s="7"/>
    </row>
    <row r="96" ht="15.75" customHeight="1">
      <c r="B96" s="21"/>
      <c r="C96" s="34" t="s">
        <v>116</v>
      </c>
      <c r="D96" s="20">
        <v>0.0</v>
      </c>
      <c r="E96" s="19"/>
      <c r="F96" s="14" t="s">
        <v>117</v>
      </c>
      <c r="H96" s="7"/>
      <c r="I96" s="7"/>
      <c r="J96" s="7"/>
    </row>
    <row r="97" ht="15.75" customHeight="1">
      <c r="B97" s="21"/>
      <c r="C97" s="39" t="s">
        <v>119</v>
      </c>
      <c r="D97" s="22">
        <v>30.0</v>
      </c>
      <c r="E97" s="19"/>
      <c r="F97" s="14" t="s">
        <v>120</v>
      </c>
      <c r="H97" s="7"/>
      <c r="I97" s="7"/>
      <c r="J97" s="7"/>
    </row>
    <row r="98" ht="15.75" customHeight="1">
      <c r="B98" s="21"/>
      <c r="C98" s="34" t="s">
        <v>121</v>
      </c>
      <c r="D98" s="22">
        <v>45.0</v>
      </c>
      <c r="E98" s="19"/>
      <c r="F98" s="14" t="s">
        <v>120</v>
      </c>
      <c r="H98" s="7"/>
      <c r="I98" s="48"/>
      <c r="J98" s="7"/>
    </row>
    <row r="99" ht="15.75" customHeight="1">
      <c r="B99" s="21"/>
      <c r="C99" s="34" t="s">
        <v>122</v>
      </c>
      <c r="D99" s="22">
        <v>50.0</v>
      </c>
      <c r="E99" s="19"/>
      <c r="F99" s="14"/>
      <c r="H99" s="7"/>
      <c r="I99" s="48"/>
      <c r="J99" s="7"/>
    </row>
    <row r="100" ht="15.75" customHeight="1">
      <c r="B100" s="21"/>
      <c r="C100" s="34" t="s">
        <v>123</v>
      </c>
      <c r="D100" s="43">
        <v>0.01</v>
      </c>
      <c r="E100" s="19"/>
      <c r="F100" s="14" t="s">
        <v>124</v>
      </c>
      <c r="H100" s="7"/>
      <c r="I100" s="48"/>
      <c r="J100" s="7"/>
    </row>
    <row r="101" ht="15.75" customHeight="1">
      <c r="B101" s="21"/>
      <c r="C101" s="19" t="s">
        <v>125</v>
      </c>
      <c r="D101" s="38">
        <v>0.5</v>
      </c>
      <c r="E101" s="19"/>
      <c r="F101" s="14" t="s">
        <v>126</v>
      </c>
      <c r="H101" s="7"/>
      <c r="I101" s="7"/>
      <c r="J101" s="7"/>
    </row>
    <row r="102" ht="15.75" customHeight="1">
      <c r="B102" s="21"/>
      <c r="C102" s="19" t="s">
        <v>127</v>
      </c>
      <c r="D102" s="44">
        <v>0.98</v>
      </c>
      <c r="E102" s="19"/>
      <c r="F102" s="14" t="s">
        <v>128</v>
      </c>
      <c r="H102" s="7"/>
      <c r="I102" s="7"/>
      <c r="J102" s="7"/>
    </row>
    <row r="103" ht="15.75" customHeight="1">
      <c r="B103" s="21"/>
      <c r="C103" s="34" t="s">
        <v>129</v>
      </c>
      <c r="D103" s="22">
        <v>15.0</v>
      </c>
      <c r="E103" s="19"/>
      <c r="F103" s="14" t="s">
        <v>102</v>
      </c>
      <c r="H103" s="7"/>
      <c r="I103" s="7"/>
      <c r="J103" s="7"/>
    </row>
    <row r="104" ht="15.75" customHeight="1">
      <c r="B104" s="21"/>
      <c r="C104" s="34" t="s">
        <v>130</v>
      </c>
      <c r="D104" s="28">
        <f>(D103/3600)*D91</f>
        <v>0.02916666667</v>
      </c>
      <c r="E104" s="19"/>
      <c r="F104" s="14" t="s">
        <v>64</v>
      </c>
      <c r="G104" s="14" t="s">
        <v>131</v>
      </c>
      <c r="H104" s="7"/>
      <c r="I104" s="19" t="s">
        <v>251</v>
      </c>
      <c r="J104" s="7"/>
    </row>
    <row r="105" ht="15.75" customHeight="1">
      <c r="B105" s="21"/>
      <c r="C105" s="39" t="s">
        <v>132</v>
      </c>
      <c r="D105" s="28">
        <f>(((D97/60)*(D92*D95))+((D98/60)*(D92*D96)))+((D103/60)*D92)</f>
        <v>0.0075</v>
      </c>
      <c r="E105" s="19"/>
      <c r="F105" s="14" t="s">
        <v>64</v>
      </c>
      <c r="G105" s="14" t="s">
        <v>133</v>
      </c>
      <c r="H105" s="7"/>
      <c r="I105" s="19" t="s">
        <v>251</v>
      </c>
      <c r="J105" s="7"/>
    </row>
    <row r="106" ht="15.75" customHeight="1">
      <c r="B106" s="21"/>
      <c r="C106" s="34" t="s">
        <v>134</v>
      </c>
      <c r="D106" s="28">
        <f>(((D97/3060)*(D91*D95)))</f>
        <v>0.06862745098</v>
      </c>
      <c r="E106" s="19"/>
      <c r="F106" s="14" t="s">
        <v>64</v>
      </c>
      <c r="G106" s="14" t="s">
        <v>135</v>
      </c>
      <c r="H106" s="7"/>
      <c r="I106" s="19" t="s">
        <v>251</v>
      </c>
      <c r="J106" s="7"/>
    </row>
    <row r="107" ht="15.75" customHeight="1">
      <c r="B107" s="21"/>
      <c r="C107" s="39" t="s">
        <v>136</v>
      </c>
      <c r="D107" s="28">
        <f>(((D99/60)*(D101))*(D100*$D$16))/$D$16</f>
        <v>0.004166666667</v>
      </c>
      <c r="E107" s="19"/>
      <c r="F107" s="14" t="s">
        <v>64</v>
      </c>
      <c r="G107" s="14" t="s">
        <v>137</v>
      </c>
      <c r="H107" s="60"/>
      <c r="I107" s="19" t="s">
        <v>251</v>
      </c>
      <c r="J107" s="7"/>
    </row>
    <row r="108" ht="15.75" customHeight="1">
      <c r="B108" s="21"/>
      <c r="C108" s="34" t="s">
        <v>138</v>
      </c>
      <c r="D108" s="28">
        <f>+((1-D102)*(($D$48-(($D$42/1000)*$D$27))+SUM(D104:D107)))</f>
        <v>0.002738031229</v>
      </c>
      <c r="E108" s="19"/>
      <c r="F108" s="14" t="s">
        <v>64</v>
      </c>
      <c r="G108" s="14" t="s">
        <v>139</v>
      </c>
      <c r="H108" s="61"/>
      <c r="I108" s="19" t="s">
        <v>251</v>
      </c>
      <c r="J108" s="7"/>
    </row>
    <row r="109" ht="15.75" customHeight="1">
      <c r="B109" s="1"/>
      <c r="C109" s="34" t="s">
        <v>140</v>
      </c>
      <c r="D109" s="31">
        <f>SUM(D104:D108)</f>
        <v>0.1121988155</v>
      </c>
      <c r="E109" s="19"/>
      <c r="F109" s="14" t="s">
        <v>64</v>
      </c>
      <c r="G109" s="14" t="s">
        <v>141</v>
      </c>
      <c r="H109" s="61"/>
      <c r="I109" s="7"/>
      <c r="J109" s="7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autoFilter ref="$B$5:$E$77"/>
  <mergeCells count="1">
    <mergeCell ref="H5:J5"/>
  </mergeCells>
  <dataValidations>
    <dataValidation type="list" allowBlank="1" showErrorMessage="1" sqref="D15">
      <formula1>"Low,Medium,Complex"</formula1>
    </dataValidation>
    <dataValidation type="list" allowBlank="1" showErrorMessage="1" sqref="D20">
      <formula1>"EX-W,DAP,DDP,FOB"</formula1>
    </dataValidation>
    <dataValidation type="list" allowBlank="1" showErrorMessage="1" sqref="E6:E24 E28:E55 E57:E58 E61:E62 E78:E109">
      <formula1>#REF!</formula1>
    </dataValidation>
    <dataValidation type="list" allowBlank="1" showErrorMessage="1" sqref="D18">
      <formula1>"No Packing,Reusable,Non reusable"</formula1>
    </dataValidation>
    <dataValidation type="list" allowBlank="1" showErrorMessage="1" sqref="E72:E77">
      <formula1>$H$7:$H$9</formula1>
    </dataValidation>
    <dataValidation type="list" allowBlank="1" showErrorMessage="1" sqref="D21">
      <formula1>"30 Days,45 Days,60 Days,75 Days,90 Days,105 Days,120 Days"</formula1>
    </dataValidation>
    <dataValidation type="list" allowBlank="1" showErrorMessage="1" sqref="D17">
      <formula1>"Make,Buy"</formula1>
    </dataValidation>
    <dataValidation type="list" allowBlank="1" showErrorMessage="1" sqref="E56 E59:E60 E63:E71">
      <formula1>$H$13:$H$17</formula1>
    </dataValidation>
    <dataValidation type="list" allowBlank="1" showErrorMessage="1" sqref="E25:E27">
      <formula1>$H$7:$H$12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62" t="s">
        <v>263</v>
      </c>
      <c r="C2" s="52"/>
      <c r="D2" s="52"/>
      <c r="E2" s="53"/>
    </row>
    <row r="4">
      <c r="B4" s="63"/>
      <c r="C4" s="64" t="s">
        <v>264</v>
      </c>
      <c r="D4" s="52"/>
      <c r="E4" s="53"/>
      <c r="G4" s="65" t="s">
        <v>265</v>
      </c>
    </row>
    <row r="5">
      <c r="B5" s="66" t="s">
        <v>266</v>
      </c>
      <c r="C5" s="63" t="s">
        <v>267</v>
      </c>
      <c r="D5" s="63" t="s">
        <v>268</v>
      </c>
      <c r="E5" s="63" t="s">
        <v>269</v>
      </c>
      <c r="G5" s="67" t="s">
        <v>270</v>
      </c>
    </row>
    <row r="6">
      <c r="B6" s="68">
        <v>10.0</v>
      </c>
      <c r="C6" s="69">
        <v>0.8</v>
      </c>
      <c r="D6" s="69">
        <f t="shared" ref="D6:D22" si="1">C6*80%</f>
        <v>0.64</v>
      </c>
      <c r="E6" s="69">
        <f t="shared" ref="E6:E22" si="2">C6*70%</f>
        <v>0.56</v>
      </c>
      <c r="G6" s="70" t="s">
        <v>271</v>
      </c>
    </row>
    <row r="7">
      <c r="B7" s="68">
        <v>20.0</v>
      </c>
      <c r="C7" s="69">
        <f t="shared" ref="C7:C22" si="3">C6-1%</f>
        <v>0.79</v>
      </c>
      <c r="D7" s="69">
        <f t="shared" si="1"/>
        <v>0.632</v>
      </c>
      <c r="E7" s="69">
        <f t="shared" si="2"/>
        <v>0.553</v>
      </c>
    </row>
    <row r="8">
      <c r="B8" s="68">
        <v>30.0</v>
      </c>
      <c r="C8" s="69">
        <f t="shared" si="3"/>
        <v>0.78</v>
      </c>
      <c r="D8" s="69">
        <f t="shared" si="1"/>
        <v>0.624</v>
      </c>
      <c r="E8" s="69">
        <f t="shared" si="2"/>
        <v>0.546</v>
      </c>
    </row>
    <row r="9">
      <c r="B9" s="68">
        <v>50.0</v>
      </c>
      <c r="C9" s="69">
        <f t="shared" si="3"/>
        <v>0.77</v>
      </c>
      <c r="D9" s="69">
        <f t="shared" si="1"/>
        <v>0.616</v>
      </c>
      <c r="E9" s="69">
        <f t="shared" si="2"/>
        <v>0.539</v>
      </c>
    </row>
    <row r="10">
      <c r="B10" s="68">
        <v>80.0</v>
      </c>
      <c r="C10" s="69">
        <f t="shared" si="3"/>
        <v>0.76</v>
      </c>
      <c r="D10" s="69">
        <f t="shared" si="1"/>
        <v>0.608</v>
      </c>
      <c r="E10" s="69">
        <f t="shared" si="2"/>
        <v>0.532</v>
      </c>
    </row>
    <row r="11">
      <c r="B11" s="68">
        <v>100.0</v>
      </c>
      <c r="C11" s="69">
        <f t="shared" si="3"/>
        <v>0.75</v>
      </c>
      <c r="D11" s="69">
        <f t="shared" si="1"/>
        <v>0.6</v>
      </c>
      <c r="E11" s="69">
        <f t="shared" si="2"/>
        <v>0.525</v>
      </c>
    </row>
    <row r="12">
      <c r="B12" s="68">
        <v>150.0</v>
      </c>
      <c r="C12" s="69">
        <f t="shared" si="3"/>
        <v>0.74</v>
      </c>
      <c r="D12" s="69">
        <f t="shared" si="1"/>
        <v>0.592</v>
      </c>
      <c r="E12" s="69">
        <f t="shared" si="2"/>
        <v>0.518</v>
      </c>
    </row>
    <row r="13">
      <c r="B13" s="68">
        <v>200.0</v>
      </c>
      <c r="C13" s="69">
        <f t="shared" si="3"/>
        <v>0.73</v>
      </c>
      <c r="D13" s="69">
        <f t="shared" si="1"/>
        <v>0.584</v>
      </c>
      <c r="E13" s="69">
        <f t="shared" si="2"/>
        <v>0.511</v>
      </c>
    </row>
    <row r="14">
      <c r="B14" s="68">
        <v>250.0</v>
      </c>
      <c r="C14" s="69">
        <f t="shared" si="3"/>
        <v>0.72</v>
      </c>
      <c r="D14" s="69">
        <f t="shared" si="1"/>
        <v>0.576</v>
      </c>
      <c r="E14" s="69">
        <f t="shared" si="2"/>
        <v>0.504</v>
      </c>
    </row>
    <row r="15">
      <c r="B15" s="68">
        <v>300.0</v>
      </c>
      <c r="C15" s="69">
        <f t="shared" si="3"/>
        <v>0.71</v>
      </c>
      <c r="D15" s="69">
        <f t="shared" si="1"/>
        <v>0.568</v>
      </c>
      <c r="E15" s="69">
        <f t="shared" si="2"/>
        <v>0.497</v>
      </c>
    </row>
    <row r="16">
      <c r="B16" s="68">
        <v>350.0</v>
      </c>
      <c r="C16" s="69">
        <f t="shared" si="3"/>
        <v>0.7</v>
      </c>
      <c r="D16" s="69">
        <f t="shared" si="1"/>
        <v>0.56</v>
      </c>
      <c r="E16" s="69">
        <f t="shared" si="2"/>
        <v>0.49</v>
      </c>
    </row>
    <row r="17">
      <c r="B17" s="68">
        <v>400.0</v>
      </c>
      <c r="C17" s="69">
        <f t="shared" si="3"/>
        <v>0.69</v>
      </c>
      <c r="D17" s="69">
        <f t="shared" si="1"/>
        <v>0.552</v>
      </c>
      <c r="E17" s="69">
        <f t="shared" si="2"/>
        <v>0.483</v>
      </c>
    </row>
    <row r="18">
      <c r="B18" s="68">
        <v>500.0</v>
      </c>
      <c r="C18" s="69">
        <f t="shared" si="3"/>
        <v>0.68</v>
      </c>
      <c r="D18" s="69">
        <f t="shared" si="1"/>
        <v>0.544</v>
      </c>
      <c r="E18" s="69">
        <f t="shared" si="2"/>
        <v>0.476</v>
      </c>
    </row>
    <row r="19">
      <c r="B19" s="68">
        <v>800.0</v>
      </c>
      <c r="C19" s="69">
        <f t="shared" si="3"/>
        <v>0.67</v>
      </c>
      <c r="D19" s="69">
        <f t="shared" si="1"/>
        <v>0.536</v>
      </c>
      <c r="E19" s="69">
        <f t="shared" si="2"/>
        <v>0.469</v>
      </c>
    </row>
    <row r="20">
      <c r="B20" s="68">
        <v>1000.0</v>
      </c>
      <c r="C20" s="69">
        <f t="shared" si="3"/>
        <v>0.66</v>
      </c>
      <c r="D20" s="69">
        <f t="shared" si="1"/>
        <v>0.528</v>
      </c>
      <c r="E20" s="69">
        <f t="shared" si="2"/>
        <v>0.462</v>
      </c>
    </row>
    <row r="21" ht="15.75" customHeight="1">
      <c r="B21" s="68">
        <v>1500.0</v>
      </c>
      <c r="C21" s="69">
        <f t="shared" si="3"/>
        <v>0.65</v>
      </c>
      <c r="D21" s="69">
        <f t="shared" si="1"/>
        <v>0.52</v>
      </c>
      <c r="E21" s="69">
        <f t="shared" si="2"/>
        <v>0.455</v>
      </c>
    </row>
    <row r="22" ht="15.75" customHeight="1">
      <c r="B22" s="68">
        <v>2000.0</v>
      </c>
      <c r="C22" s="69">
        <f t="shared" si="3"/>
        <v>0.64</v>
      </c>
      <c r="D22" s="69">
        <f t="shared" si="1"/>
        <v>0.512</v>
      </c>
      <c r="E22" s="69">
        <f t="shared" si="2"/>
        <v>0.448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C4:E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71"/>
    <col customWidth="1" min="4" max="4" width="18.57"/>
    <col customWidth="1" min="5" max="26" width="8.71"/>
  </cols>
  <sheetData>
    <row r="1">
      <c r="B1" s="71" t="s">
        <v>272</v>
      </c>
      <c r="C1" s="72"/>
      <c r="D1" s="72"/>
      <c r="E1" s="73"/>
    </row>
    <row r="2">
      <c r="B2" s="74" t="s">
        <v>273</v>
      </c>
      <c r="C2" s="75" t="s">
        <v>274</v>
      </c>
      <c r="D2" s="76" t="s">
        <v>275</v>
      </c>
      <c r="E2" s="77"/>
    </row>
    <row r="3">
      <c r="B3" s="78">
        <v>1.0</v>
      </c>
      <c r="C3" s="79">
        <v>2.5</v>
      </c>
      <c r="D3" s="80">
        <v>0.08333333333333333</v>
      </c>
      <c r="E3" s="81"/>
      <c r="F3" s="82"/>
    </row>
    <row r="4">
      <c r="B4" s="78">
        <v>2.0</v>
      </c>
      <c r="C4" s="79">
        <v>10.0</v>
      </c>
      <c r="D4" s="83">
        <v>0.16666666666666666</v>
      </c>
      <c r="E4" s="81"/>
      <c r="F4" s="82"/>
    </row>
    <row r="5">
      <c r="B5" s="78">
        <v>3.0</v>
      </c>
      <c r="C5" s="79">
        <v>20.0</v>
      </c>
      <c r="D5" s="83">
        <v>0.25</v>
      </c>
      <c r="E5" s="81"/>
      <c r="F5" s="82"/>
    </row>
    <row r="6">
      <c r="B6" s="78">
        <v>4.0</v>
      </c>
      <c r="C6" s="79">
        <v>30.0</v>
      </c>
      <c r="D6" s="83">
        <v>0.3333333333333333</v>
      </c>
      <c r="E6" s="81"/>
      <c r="F6" s="82"/>
    </row>
    <row r="7">
      <c r="B7" s="78">
        <v>5.0</v>
      </c>
      <c r="C7" s="79">
        <v>40.0</v>
      </c>
      <c r="D7" s="83">
        <v>0.5833333333333334</v>
      </c>
      <c r="E7" s="81"/>
      <c r="F7" s="82"/>
    </row>
    <row r="8">
      <c r="B8" s="78">
        <v>6.0</v>
      </c>
      <c r="C8" s="79">
        <v>65.0</v>
      </c>
      <c r="D8" s="83">
        <v>0.75</v>
      </c>
      <c r="E8" s="81"/>
      <c r="F8" s="82"/>
    </row>
    <row r="9">
      <c r="B9" s="78">
        <v>7.0</v>
      </c>
      <c r="C9" s="79">
        <v>95.0</v>
      </c>
      <c r="D9" s="83">
        <v>0.8333333333333334</v>
      </c>
      <c r="E9" s="81"/>
      <c r="F9" s="82"/>
    </row>
    <row r="10">
      <c r="B10" s="78">
        <v>8.0</v>
      </c>
      <c r="C10" s="79">
        <v>130.0</v>
      </c>
      <c r="D10" s="83">
        <v>0.9166666666666666</v>
      </c>
      <c r="E10" s="81"/>
      <c r="F10" s="82"/>
    </row>
    <row r="11">
      <c r="B11" s="78">
        <v>9.0</v>
      </c>
      <c r="C11" s="79">
        <v>165.0</v>
      </c>
      <c r="D11" s="83">
        <v>1.0</v>
      </c>
      <c r="E11" s="81"/>
      <c r="F11" s="82"/>
    </row>
    <row r="12">
      <c r="B12" s="78">
        <v>10.0</v>
      </c>
      <c r="C12" s="79">
        <v>200.0</v>
      </c>
      <c r="D12" s="83">
        <v>1.0833333333333333</v>
      </c>
      <c r="E12" s="81"/>
      <c r="F12" s="82"/>
    </row>
    <row r="13">
      <c r="B13" s="78">
        <v>11.0</v>
      </c>
      <c r="C13" s="79">
        <v>250.0</v>
      </c>
      <c r="D13" s="83">
        <v>1.25</v>
      </c>
      <c r="E13" s="81"/>
      <c r="F13" s="82"/>
    </row>
    <row r="14">
      <c r="B14" s="78">
        <v>12.0</v>
      </c>
      <c r="C14" s="79">
        <v>300.0</v>
      </c>
      <c r="D14" s="83">
        <v>1.3333333333333333</v>
      </c>
      <c r="E14" s="81"/>
      <c r="F14" s="82"/>
    </row>
    <row r="15">
      <c r="B15" s="78">
        <v>13.0</v>
      </c>
      <c r="C15" s="79">
        <v>350.0</v>
      </c>
      <c r="D15" s="83">
        <v>1.4166666666666667</v>
      </c>
      <c r="E15" s="81"/>
      <c r="F15" s="82"/>
    </row>
    <row r="16">
      <c r="B16" s="78">
        <v>14.0</v>
      </c>
      <c r="C16" s="79">
        <v>400.0</v>
      </c>
      <c r="D16" s="83">
        <v>1.5833333333333333</v>
      </c>
      <c r="E16" s="81"/>
      <c r="F16" s="82"/>
    </row>
    <row r="17">
      <c r="B17" s="78">
        <v>15.0</v>
      </c>
      <c r="C17" s="79">
        <v>450.0</v>
      </c>
      <c r="D17" s="83">
        <v>1.75</v>
      </c>
      <c r="E17" s="81"/>
      <c r="F17" s="82"/>
    </row>
    <row r="18">
      <c r="B18" s="78">
        <v>16.0</v>
      </c>
      <c r="C18" s="79">
        <v>500.0</v>
      </c>
      <c r="D18" s="83">
        <f>D17*1.5</f>
        <v>2.625</v>
      </c>
      <c r="E18" s="84"/>
      <c r="F18" s="82"/>
    </row>
    <row r="19">
      <c r="B19" s="78">
        <v>17.0</v>
      </c>
      <c r="C19" s="79">
        <v>750.0</v>
      </c>
      <c r="D19" s="83">
        <f>D18*1.2</f>
        <v>3.15</v>
      </c>
      <c r="E19" s="84"/>
      <c r="F19" s="82"/>
    </row>
    <row r="20">
      <c r="B20" s="78">
        <v>18.0</v>
      </c>
      <c r="C20" s="79">
        <v>1000.0</v>
      </c>
      <c r="D20" s="83">
        <v>20.0</v>
      </c>
      <c r="E20" s="84"/>
      <c r="F20" s="82"/>
    </row>
    <row r="21" ht="15.75" customHeight="1">
      <c r="B21" s="78">
        <v>19.0</v>
      </c>
      <c r="C21" s="79">
        <v>2000.0</v>
      </c>
      <c r="D21" s="83">
        <v>20.0</v>
      </c>
      <c r="E21" s="84"/>
      <c r="F21" s="82"/>
    </row>
    <row r="22" ht="15.75" customHeight="1">
      <c r="B22" s="78">
        <v>20.0</v>
      </c>
      <c r="C22" s="79">
        <v>3000.0</v>
      </c>
      <c r="D22" s="83">
        <v>20.0</v>
      </c>
      <c r="E22" s="84"/>
      <c r="F22" s="82"/>
    </row>
    <row r="23" ht="15.75" customHeight="1">
      <c r="B23" s="78">
        <v>21.0</v>
      </c>
      <c r="C23" s="79">
        <v>4000.0</v>
      </c>
      <c r="D23" s="83">
        <v>25.0</v>
      </c>
      <c r="E23" s="84"/>
      <c r="F23" s="82"/>
    </row>
    <row r="24" ht="15.75" customHeight="1">
      <c r="B24" s="85">
        <v>22.0</v>
      </c>
      <c r="C24" s="86">
        <v>5000.0</v>
      </c>
      <c r="D24" s="87">
        <v>25.0</v>
      </c>
      <c r="E24" s="88"/>
      <c r="F24" s="8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22.0"/>
    <col customWidth="1" min="4" max="4" width="13.14"/>
    <col customWidth="1" min="5" max="5" width="15.43"/>
    <col customWidth="1" min="6" max="6" width="22.43"/>
    <col customWidth="1" min="7" max="26" width="8.71"/>
  </cols>
  <sheetData>
    <row r="1">
      <c r="B1" s="89" t="s">
        <v>276</v>
      </c>
      <c r="E1" s="89" t="s">
        <v>277</v>
      </c>
    </row>
    <row r="3">
      <c r="B3" s="90" t="s">
        <v>266</v>
      </c>
      <c r="C3" s="90" t="s">
        <v>278</v>
      </c>
      <c r="E3" s="90" t="s">
        <v>279</v>
      </c>
      <c r="F3" s="90" t="s">
        <v>278</v>
      </c>
    </row>
    <row r="4">
      <c r="B4" s="91">
        <v>10.0</v>
      </c>
      <c r="C4" s="90">
        <v>30.0</v>
      </c>
      <c r="E4" s="90">
        <v>100.0</v>
      </c>
      <c r="F4" s="90">
        <v>10.0</v>
      </c>
    </row>
    <row r="5">
      <c r="B5" s="91">
        <v>20.0</v>
      </c>
      <c r="C5" s="90">
        <v>30.0</v>
      </c>
      <c r="E5" s="90">
        <v>200.0</v>
      </c>
      <c r="F5" s="90">
        <v>10.0</v>
      </c>
    </row>
    <row r="6">
      <c r="B6" s="91">
        <v>30.0</v>
      </c>
      <c r="C6" s="90">
        <v>30.0</v>
      </c>
      <c r="E6" s="90">
        <v>300.0</v>
      </c>
      <c r="F6" s="90">
        <v>15.0</v>
      </c>
    </row>
    <row r="7">
      <c r="B7" s="91">
        <v>50.0</v>
      </c>
      <c r="C7" s="90">
        <v>30.0</v>
      </c>
      <c r="E7" s="90">
        <v>400.0</v>
      </c>
      <c r="F7" s="90">
        <v>15.0</v>
      </c>
    </row>
    <row r="8">
      <c r="B8" s="91">
        <v>80.0</v>
      </c>
      <c r="C8" s="90">
        <v>30.0</v>
      </c>
      <c r="E8" s="90">
        <v>500.0</v>
      </c>
      <c r="F8" s="90">
        <v>15.0</v>
      </c>
    </row>
    <row r="9">
      <c r="B9" s="91">
        <v>100.0</v>
      </c>
      <c r="C9" s="90">
        <v>45.0</v>
      </c>
    </row>
    <row r="10">
      <c r="B10" s="91">
        <v>150.0</v>
      </c>
      <c r="C10" s="90">
        <v>45.0</v>
      </c>
    </row>
    <row r="11">
      <c r="B11" s="91">
        <v>200.0</v>
      </c>
      <c r="C11" s="90">
        <v>45.0</v>
      </c>
    </row>
    <row r="12">
      <c r="B12" s="91">
        <v>250.0</v>
      </c>
      <c r="C12" s="90">
        <v>45.0</v>
      </c>
    </row>
    <row r="13">
      <c r="B13" s="91">
        <v>300.0</v>
      </c>
      <c r="C13" s="90">
        <v>45.0</v>
      </c>
    </row>
    <row r="14">
      <c r="B14" s="91">
        <v>350.0</v>
      </c>
      <c r="C14" s="90">
        <v>45.0</v>
      </c>
    </row>
    <row r="15">
      <c r="B15" s="91">
        <v>400.0</v>
      </c>
      <c r="C15" s="90">
        <v>45.0</v>
      </c>
    </row>
    <row r="16">
      <c r="B16" s="91">
        <v>500.0</v>
      </c>
      <c r="C16" s="90">
        <v>45.0</v>
      </c>
    </row>
    <row r="17">
      <c r="B17" s="91">
        <v>800.0</v>
      </c>
      <c r="C17" s="90">
        <v>45.0</v>
      </c>
    </row>
    <row r="18">
      <c r="B18" s="91">
        <v>1000.0</v>
      </c>
      <c r="C18" s="90">
        <v>60.0</v>
      </c>
    </row>
    <row r="19">
      <c r="B19" s="91">
        <v>1500.0</v>
      </c>
      <c r="C19" s="90">
        <v>60.0</v>
      </c>
    </row>
    <row r="20">
      <c r="B20" s="91">
        <v>2000.0</v>
      </c>
      <c r="C20" s="90">
        <v>60.0</v>
      </c>
    </row>
    <row r="21" ht="15.75" customHeight="1">
      <c r="B21" s="91">
        <v>2500.0</v>
      </c>
      <c r="C21" s="90">
        <v>60.0</v>
      </c>
    </row>
    <row r="22" ht="15.75" customHeight="1">
      <c r="B22" s="91">
        <v>3000.0</v>
      </c>
      <c r="C22" s="90">
        <v>60.0</v>
      </c>
    </row>
    <row r="23" ht="15.75" customHeight="1">
      <c r="B23" s="91">
        <v>3500.0</v>
      </c>
      <c r="C23" s="90">
        <v>60.0</v>
      </c>
    </row>
    <row r="24" ht="15.75" customHeight="1">
      <c r="B24" s="91">
        <v>4000.0</v>
      </c>
      <c r="C24" s="90">
        <v>60.0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E1:F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8.71"/>
  </cols>
  <sheetData>
    <row r="2">
      <c r="B2" s="92"/>
      <c r="C2" s="93" t="s">
        <v>280</v>
      </c>
      <c r="D2" s="94"/>
      <c r="E2" s="94"/>
      <c r="F2" s="94"/>
      <c r="G2" s="95"/>
      <c r="H2" s="92"/>
      <c r="I2" s="92" t="s">
        <v>281</v>
      </c>
      <c r="J2" s="92"/>
      <c r="K2" s="92"/>
      <c r="L2" s="92"/>
      <c r="M2" s="92"/>
      <c r="N2" s="92"/>
      <c r="O2" s="92"/>
      <c r="P2" s="92"/>
      <c r="Q2" s="92"/>
      <c r="R2" s="92"/>
    </row>
    <row r="3">
      <c r="A3" s="96"/>
      <c r="B3" s="96" t="s">
        <v>266</v>
      </c>
      <c r="AZ3" s="97"/>
    </row>
    <row r="4" ht="15.0" customHeight="1">
      <c r="A4" s="98" t="s">
        <v>282</v>
      </c>
      <c r="B4" s="93" t="s">
        <v>283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5"/>
      <c r="S4" s="93" t="s">
        <v>284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5"/>
      <c r="AJ4" s="93" t="s">
        <v>285</v>
      </c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5"/>
    </row>
    <row r="5">
      <c r="A5" s="99"/>
      <c r="B5" s="100">
        <v>10.0</v>
      </c>
      <c r="C5" s="101">
        <v>20.0</v>
      </c>
      <c r="D5" s="101">
        <v>30.0</v>
      </c>
      <c r="E5" s="101">
        <v>50.0</v>
      </c>
      <c r="F5" s="101">
        <v>80.0</v>
      </c>
      <c r="G5" s="101">
        <v>100.0</v>
      </c>
      <c r="H5" s="101">
        <v>150.0</v>
      </c>
      <c r="I5" s="101">
        <v>200.0</v>
      </c>
      <c r="J5" s="101">
        <v>250.0</v>
      </c>
      <c r="K5" s="101">
        <v>300.0</v>
      </c>
      <c r="L5" s="101">
        <v>350.0</v>
      </c>
      <c r="M5" s="101">
        <v>400.0</v>
      </c>
      <c r="N5" s="101">
        <v>500.0</v>
      </c>
      <c r="O5" s="101">
        <v>800.0</v>
      </c>
      <c r="P5" s="101">
        <v>1000.0</v>
      </c>
      <c r="Q5" s="101">
        <v>1500.0</v>
      </c>
      <c r="R5" s="102">
        <v>2000.0</v>
      </c>
      <c r="S5" s="100">
        <v>10.0</v>
      </c>
      <c r="T5" s="101">
        <v>20.0</v>
      </c>
      <c r="U5" s="101">
        <v>30.0</v>
      </c>
      <c r="V5" s="101">
        <v>50.0</v>
      </c>
      <c r="W5" s="101">
        <v>80.0</v>
      </c>
      <c r="X5" s="101">
        <v>100.0</v>
      </c>
      <c r="Y5" s="101">
        <v>150.0</v>
      </c>
      <c r="Z5" s="101">
        <v>200.0</v>
      </c>
      <c r="AA5" s="101">
        <v>250.0</v>
      </c>
      <c r="AB5" s="101">
        <v>300.0</v>
      </c>
      <c r="AC5" s="101">
        <v>350.0</v>
      </c>
      <c r="AD5" s="101">
        <v>400.0</v>
      </c>
      <c r="AE5" s="101">
        <v>500.0</v>
      </c>
      <c r="AF5" s="101">
        <v>800.0</v>
      </c>
      <c r="AG5" s="101">
        <v>1000.0</v>
      </c>
      <c r="AH5" s="101">
        <v>1500.0</v>
      </c>
      <c r="AI5" s="102">
        <v>2000.0</v>
      </c>
      <c r="AJ5" s="100">
        <v>10.0</v>
      </c>
      <c r="AK5" s="101">
        <v>20.0</v>
      </c>
      <c r="AL5" s="101">
        <v>30.0</v>
      </c>
      <c r="AM5" s="101">
        <v>50.0</v>
      </c>
      <c r="AN5" s="101">
        <v>80.0</v>
      </c>
      <c r="AO5" s="101">
        <v>100.0</v>
      </c>
      <c r="AP5" s="101">
        <v>150.0</v>
      </c>
      <c r="AQ5" s="101">
        <v>200.0</v>
      </c>
      <c r="AR5" s="101">
        <v>250.0</v>
      </c>
      <c r="AS5" s="101">
        <v>300.0</v>
      </c>
      <c r="AT5" s="101">
        <v>350.0</v>
      </c>
      <c r="AU5" s="101">
        <v>400.0</v>
      </c>
      <c r="AV5" s="101">
        <v>500.0</v>
      </c>
      <c r="AW5" s="101">
        <v>800.0</v>
      </c>
      <c r="AX5" s="101">
        <v>1000.0</v>
      </c>
      <c r="AY5" s="101">
        <v>1500.0</v>
      </c>
      <c r="AZ5" s="102">
        <v>2000.0</v>
      </c>
    </row>
    <row r="6">
      <c r="A6" s="103">
        <v>1.0</v>
      </c>
      <c r="B6" s="104">
        <v>1.0</v>
      </c>
      <c r="C6" s="105">
        <v>1.0526315789473684</v>
      </c>
      <c r="D6" s="105">
        <v>1.0909090909090908</v>
      </c>
      <c r="E6" s="105">
        <v>1.1320754716981132</v>
      </c>
      <c r="F6" s="105">
        <v>1.1764705882352942</v>
      </c>
      <c r="G6" s="105">
        <v>1.2244897959183674</v>
      </c>
      <c r="H6" s="105">
        <v>1.2765957446808511</v>
      </c>
      <c r="I6" s="105">
        <v>1.3333333333333333</v>
      </c>
      <c r="J6" s="105">
        <v>1.3953488372093024</v>
      </c>
      <c r="K6" s="105">
        <v>1.4634146341463414</v>
      </c>
      <c r="L6" s="105">
        <v>1.5384615384615385</v>
      </c>
      <c r="M6" s="105">
        <v>1.5789473684210527</v>
      </c>
      <c r="N6" s="105">
        <v>1.6216216216216217</v>
      </c>
      <c r="O6" s="105">
        <v>1.6666666666666667</v>
      </c>
      <c r="P6" s="105">
        <v>1.7142857142857142</v>
      </c>
      <c r="Q6" s="105">
        <v>1.7647058823529411</v>
      </c>
      <c r="R6" s="106">
        <v>1.8181818181818181</v>
      </c>
      <c r="S6" s="104" t="str">
        <f>[1]Inter!B19</f>
        <v>#ERROR!</v>
      </c>
      <c r="T6" s="105" t="str">
        <f>[1]Inter!C19</f>
        <v>#ERROR!</v>
      </c>
      <c r="U6" s="105" t="str">
        <f>[1]Inter!D19</f>
        <v>#ERROR!</v>
      </c>
      <c r="V6" s="105" t="str">
        <f>[1]Inter!E19</f>
        <v>#ERROR!</v>
      </c>
      <c r="W6" s="105" t="str">
        <f>[1]Inter!F19</f>
        <v>#ERROR!</v>
      </c>
      <c r="X6" s="105" t="str">
        <f>[1]Inter!G19</f>
        <v>#ERROR!</v>
      </c>
      <c r="Y6" s="105" t="str">
        <f>[1]Inter!H19</f>
        <v>#ERROR!</v>
      </c>
      <c r="Z6" s="105" t="str">
        <f>[1]Inter!I19</f>
        <v>#ERROR!</v>
      </c>
      <c r="AA6" s="105" t="str">
        <f>[1]Inter!J19</f>
        <v>#ERROR!</v>
      </c>
      <c r="AB6" s="105" t="str">
        <f>[1]Inter!K19</f>
        <v>#ERROR!</v>
      </c>
      <c r="AC6" s="105" t="str">
        <f>[1]Inter!L19</f>
        <v>#ERROR!</v>
      </c>
      <c r="AD6" s="105" t="str">
        <f>[1]Inter!M19</f>
        <v>#ERROR!</v>
      </c>
      <c r="AE6" s="105" t="str">
        <f>[1]Inter!N19</f>
        <v>#ERROR!</v>
      </c>
      <c r="AF6" s="105" t="str">
        <f>[1]Inter!O19</f>
        <v>#ERROR!</v>
      </c>
      <c r="AG6" s="105" t="str">
        <f>[1]Inter!P19</f>
        <v>#ERROR!</v>
      </c>
      <c r="AH6" s="105" t="str">
        <f>[1]Inter!Q19</f>
        <v>#ERROR!</v>
      </c>
      <c r="AI6" s="106" t="str">
        <f>[1]Inter!R19</f>
        <v>#ERROR!</v>
      </c>
      <c r="AJ6" s="104">
        <v>1.785714285714286</v>
      </c>
      <c r="AK6" s="105">
        <v>2.0689655172413794</v>
      </c>
      <c r="AL6" s="105">
        <v>2.4</v>
      </c>
      <c r="AM6" s="105">
        <v>2.727272727272727</v>
      </c>
      <c r="AN6" s="105">
        <v>3.1578947368421053</v>
      </c>
      <c r="AO6" s="105">
        <v>3.5294117647058822</v>
      </c>
      <c r="AP6" s="105">
        <v>4.0</v>
      </c>
      <c r="AQ6" s="105">
        <v>4.615384615384615</v>
      </c>
      <c r="AR6" s="105">
        <v>5.0</v>
      </c>
      <c r="AS6" s="105">
        <v>5.454545454545454</v>
      </c>
      <c r="AT6" s="105">
        <v>6.0</v>
      </c>
      <c r="AU6" s="105">
        <v>6.666666666666667</v>
      </c>
      <c r="AV6" s="105">
        <v>7.5</v>
      </c>
      <c r="AW6" s="105">
        <v>8.571428571428571</v>
      </c>
      <c r="AX6" s="105">
        <v>10.0</v>
      </c>
      <c r="AY6" s="105">
        <v>10.0</v>
      </c>
      <c r="AZ6" s="106">
        <v>10.0</v>
      </c>
    </row>
    <row r="7">
      <c r="A7" s="103">
        <v>2.0</v>
      </c>
      <c r="B7" s="107">
        <v>1.1111111111111112</v>
      </c>
      <c r="C7" s="108">
        <v>1.1538461538461537</v>
      </c>
      <c r="D7" s="108">
        <v>1.2</v>
      </c>
      <c r="E7" s="108">
        <v>1.25</v>
      </c>
      <c r="F7" s="108">
        <v>1.3043478260869565</v>
      </c>
      <c r="G7" s="108">
        <v>1.3636363636363635</v>
      </c>
      <c r="H7" s="108">
        <v>1.4285714285714286</v>
      </c>
      <c r="I7" s="108">
        <v>1.5</v>
      </c>
      <c r="J7" s="108">
        <v>1.5789473684210527</v>
      </c>
      <c r="K7" s="108">
        <v>1.6216216216216217</v>
      </c>
      <c r="L7" s="108">
        <v>1.6666666666666667</v>
      </c>
      <c r="M7" s="108">
        <v>1.7142857142857142</v>
      </c>
      <c r="N7" s="108">
        <v>1.7647058823529411</v>
      </c>
      <c r="O7" s="108">
        <v>1.8181818181818181</v>
      </c>
      <c r="P7" s="108">
        <v>1.875</v>
      </c>
      <c r="Q7" s="108">
        <v>1.935483870967742</v>
      </c>
      <c r="R7" s="109">
        <v>2.0</v>
      </c>
      <c r="S7" s="107" t="str">
        <f>[1]Inter!B20</f>
        <v>#ERROR!</v>
      </c>
      <c r="T7" s="108" t="str">
        <f>[1]Inter!C20</f>
        <v>#ERROR!</v>
      </c>
      <c r="U7" s="108" t="str">
        <f>[1]Inter!D20</f>
        <v>#ERROR!</v>
      </c>
      <c r="V7" s="108" t="str">
        <f>[1]Inter!E20</f>
        <v>#ERROR!</v>
      </c>
      <c r="W7" s="108" t="str">
        <f>[1]Inter!F20</f>
        <v>#ERROR!</v>
      </c>
      <c r="X7" s="108" t="str">
        <f>[1]Inter!G20</f>
        <v>#ERROR!</v>
      </c>
      <c r="Y7" s="108" t="str">
        <f>[1]Inter!H20</f>
        <v>#ERROR!</v>
      </c>
      <c r="Z7" s="108" t="str">
        <f>[1]Inter!I20</f>
        <v>#ERROR!</v>
      </c>
      <c r="AA7" s="108" t="str">
        <f>[1]Inter!J20</f>
        <v>#ERROR!</v>
      </c>
      <c r="AB7" s="108" t="str">
        <f>[1]Inter!K20</f>
        <v>#ERROR!</v>
      </c>
      <c r="AC7" s="108" t="str">
        <f>[1]Inter!L20</f>
        <v>#ERROR!</v>
      </c>
      <c r="AD7" s="108" t="str">
        <f>[1]Inter!M20</f>
        <v>#ERROR!</v>
      </c>
      <c r="AE7" s="108" t="str">
        <f>[1]Inter!N20</f>
        <v>#ERROR!</v>
      </c>
      <c r="AF7" s="108" t="str">
        <f>[1]Inter!O20</f>
        <v>#ERROR!</v>
      </c>
      <c r="AG7" s="108" t="str">
        <f>[1]Inter!P20</f>
        <v>#ERROR!</v>
      </c>
      <c r="AH7" s="108" t="str">
        <f>[1]Inter!Q20</f>
        <v>#ERROR!</v>
      </c>
      <c r="AI7" s="109" t="str">
        <f>[1]Inter!R20</f>
        <v>#ERROR!</v>
      </c>
      <c r="AJ7" s="107">
        <v>2.2222222222222223</v>
      </c>
      <c r="AK7" s="108">
        <v>2.608695652173913</v>
      </c>
      <c r="AL7" s="108">
        <v>3.0</v>
      </c>
      <c r="AM7" s="108">
        <v>3.5294117647058822</v>
      </c>
      <c r="AN7" s="108">
        <v>4.0</v>
      </c>
      <c r="AO7" s="108">
        <v>4.615384615384615</v>
      </c>
      <c r="AP7" s="108">
        <v>5.0</v>
      </c>
      <c r="AQ7" s="108">
        <v>5.454545454545454</v>
      </c>
      <c r="AR7" s="108">
        <v>6.0</v>
      </c>
      <c r="AS7" s="108">
        <v>6.666666666666667</v>
      </c>
      <c r="AT7" s="108">
        <v>7.5</v>
      </c>
      <c r="AU7" s="108">
        <v>8.571428571428571</v>
      </c>
      <c r="AV7" s="108">
        <v>10.0</v>
      </c>
      <c r="AW7" s="108">
        <v>10.0</v>
      </c>
      <c r="AX7" s="108">
        <v>10.0</v>
      </c>
      <c r="AY7" s="108">
        <v>10.0</v>
      </c>
      <c r="AZ7" s="109">
        <v>10.0</v>
      </c>
    </row>
    <row r="8">
      <c r="A8" s="103">
        <v>3.0</v>
      </c>
      <c r="B8" s="107">
        <v>1.2244897959183674</v>
      </c>
      <c r="C8" s="108">
        <v>1.2765957446808511</v>
      </c>
      <c r="D8" s="108">
        <v>1.3333333333333333</v>
      </c>
      <c r="E8" s="108">
        <v>1.3953488372093024</v>
      </c>
      <c r="F8" s="108">
        <v>1.4634146341463414</v>
      </c>
      <c r="G8" s="108">
        <v>1.5384615384615385</v>
      </c>
      <c r="H8" s="108">
        <v>1.5789473684210527</v>
      </c>
      <c r="I8" s="108">
        <v>1.6216216216216217</v>
      </c>
      <c r="J8" s="108">
        <v>1.6666666666666667</v>
      </c>
      <c r="K8" s="108">
        <v>1.7142857142857142</v>
      </c>
      <c r="L8" s="108">
        <v>1.7647058823529411</v>
      </c>
      <c r="M8" s="108">
        <v>1.8181818181818181</v>
      </c>
      <c r="N8" s="108">
        <v>1.875</v>
      </c>
      <c r="O8" s="108">
        <v>1.935483870967742</v>
      </c>
      <c r="P8" s="108">
        <v>2.0</v>
      </c>
      <c r="Q8" s="108">
        <v>2.0689655172413794</v>
      </c>
      <c r="R8" s="109">
        <v>2.142857142857143</v>
      </c>
      <c r="S8" s="107" t="str">
        <f>[1]Inter!B21</f>
        <v>#ERROR!</v>
      </c>
      <c r="T8" s="108" t="str">
        <f>[1]Inter!C21</f>
        <v>#ERROR!</v>
      </c>
      <c r="U8" s="108" t="str">
        <f>[1]Inter!D21</f>
        <v>#ERROR!</v>
      </c>
      <c r="V8" s="108" t="str">
        <f>[1]Inter!E21</f>
        <v>#ERROR!</v>
      </c>
      <c r="W8" s="108" t="str">
        <f>[1]Inter!F21</f>
        <v>#ERROR!</v>
      </c>
      <c r="X8" s="108" t="str">
        <f>[1]Inter!G21</f>
        <v>#ERROR!</v>
      </c>
      <c r="Y8" s="108" t="str">
        <f>[1]Inter!H21</f>
        <v>#ERROR!</v>
      </c>
      <c r="Z8" s="108" t="str">
        <f>[1]Inter!I21</f>
        <v>#ERROR!</v>
      </c>
      <c r="AA8" s="108" t="str">
        <f>[1]Inter!J21</f>
        <v>#ERROR!</v>
      </c>
      <c r="AB8" s="108" t="str">
        <f>[1]Inter!K21</f>
        <v>#ERROR!</v>
      </c>
      <c r="AC8" s="108" t="str">
        <f>[1]Inter!L21</f>
        <v>#ERROR!</v>
      </c>
      <c r="AD8" s="108" t="str">
        <f>[1]Inter!M21</f>
        <v>#ERROR!</v>
      </c>
      <c r="AE8" s="108" t="str">
        <f>[1]Inter!N21</f>
        <v>#ERROR!</v>
      </c>
      <c r="AF8" s="108" t="str">
        <f>[1]Inter!O21</f>
        <v>#ERROR!</v>
      </c>
      <c r="AG8" s="108" t="str">
        <f>[1]Inter!P21</f>
        <v>#ERROR!</v>
      </c>
      <c r="AH8" s="108" t="str">
        <f>[1]Inter!Q21</f>
        <v>#ERROR!</v>
      </c>
      <c r="AI8" s="109" t="str">
        <f>[1]Inter!R21</f>
        <v>#ERROR!</v>
      </c>
      <c r="AJ8" s="107">
        <v>2.727272727272727</v>
      </c>
      <c r="AK8" s="108">
        <v>3.1578947368421053</v>
      </c>
      <c r="AL8" s="108">
        <v>3.5294117647058822</v>
      </c>
      <c r="AM8" s="108">
        <v>4.0</v>
      </c>
      <c r="AN8" s="108">
        <v>4.615384615384615</v>
      </c>
      <c r="AO8" s="108">
        <v>5.0</v>
      </c>
      <c r="AP8" s="108">
        <v>5.454545454545454</v>
      </c>
      <c r="AQ8" s="108">
        <v>6.0</v>
      </c>
      <c r="AR8" s="108">
        <v>6.666666666666667</v>
      </c>
      <c r="AS8" s="108">
        <v>7.5</v>
      </c>
      <c r="AT8" s="108">
        <v>8.571428571428571</v>
      </c>
      <c r="AU8" s="108">
        <v>10.0</v>
      </c>
      <c r="AV8" s="108">
        <v>10.0</v>
      </c>
      <c r="AW8" s="108">
        <v>10.0</v>
      </c>
      <c r="AX8" s="108">
        <v>10.0</v>
      </c>
      <c r="AY8" s="108">
        <v>10.0</v>
      </c>
      <c r="AZ8" s="109">
        <v>10.0</v>
      </c>
    </row>
    <row r="9">
      <c r="A9" s="103">
        <v>4.0</v>
      </c>
      <c r="B9" s="107">
        <v>1.3333333333333333</v>
      </c>
      <c r="C9" s="108">
        <v>1.3953488372093024</v>
      </c>
      <c r="D9" s="108">
        <v>1.4634146341463414</v>
      </c>
      <c r="E9" s="108">
        <v>1.5384615384615385</v>
      </c>
      <c r="F9" s="108">
        <v>1.5789473684210527</v>
      </c>
      <c r="G9" s="108">
        <v>1.6216216216216217</v>
      </c>
      <c r="H9" s="108">
        <v>1.6666666666666667</v>
      </c>
      <c r="I9" s="108">
        <v>1.7142857142857142</v>
      </c>
      <c r="J9" s="108">
        <v>1.7647058823529411</v>
      </c>
      <c r="K9" s="108">
        <v>1.8181818181818181</v>
      </c>
      <c r="L9" s="108">
        <v>1.875</v>
      </c>
      <c r="M9" s="108">
        <v>1.935483870967742</v>
      </c>
      <c r="N9" s="108">
        <v>2.0</v>
      </c>
      <c r="O9" s="108">
        <v>2.0689655172413794</v>
      </c>
      <c r="P9" s="108">
        <v>2.142857142857143</v>
      </c>
      <c r="Q9" s="108">
        <v>2.2222222222222223</v>
      </c>
      <c r="R9" s="109">
        <v>2.3076923076923075</v>
      </c>
      <c r="S9" s="107" t="str">
        <f>[1]Inter!B22</f>
        <v>#ERROR!</v>
      </c>
      <c r="T9" s="108" t="str">
        <f>[1]Inter!C22</f>
        <v>#ERROR!</v>
      </c>
      <c r="U9" s="108" t="str">
        <f>[1]Inter!D22</f>
        <v>#ERROR!</v>
      </c>
      <c r="V9" s="108" t="str">
        <f>[1]Inter!E22</f>
        <v>#ERROR!</v>
      </c>
      <c r="W9" s="108" t="str">
        <f>[1]Inter!F22</f>
        <v>#ERROR!</v>
      </c>
      <c r="X9" s="108" t="str">
        <f>[1]Inter!G22</f>
        <v>#ERROR!</v>
      </c>
      <c r="Y9" s="108" t="str">
        <f>[1]Inter!H22</f>
        <v>#ERROR!</v>
      </c>
      <c r="Z9" s="108" t="str">
        <f>[1]Inter!I22</f>
        <v>#ERROR!</v>
      </c>
      <c r="AA9" s="108" t="str">
        <f>[1]Inter!J22</f>
        <v>#ERROR!</v>
      </c>
      <c r="AB9" s="108" t="str">
        <f>[1]Inter!K22</f>
        <v>#ERROR!</v>
      </c>
      <c r="AC9" s="108" t="str">
        <f>[1]Inter!L22</f>
        <v>#ERROR!</v>
      </c>
      <c r="AD9" s="108" t="str">
        <f>[1]Inter!M22</f>
        <v>#ERROR!</v>
      </c>
      <c r="AE9" s="108" t="str">
        <f>[1]Inter!N22</f>
        <v>#ERROR!</v>
      </c>
      <c r="AF9" s="108" t="str">
        <f>[1]Inter!O22</f>
        <v>#ERROR!</v>
      </c>
      <c r="AG9" s="108" t="str">
        <f>[1]Inter!P22</f>
        <v>#ERROR!</v>
      </c>
      <c r="AH9" s="108" t="str">
        <f>[1]Inter!Q22</f>
        <v>#ERROR!</v>
      </c>
      <c r="AI9" s="109" t="str">
        <f>[1]Inter!R22</f>
        <v>#ERROR!</v>
      </c>
      <c r="AJ9" s="107">
        <v>3.3333333333333335</v>
      </c>
      <c r="AK9" s="108">
        <v>3.75</v>
      </c>
      <c r="AL9" s="108">
        <v>4.285714285714286</v>
      </c>
      <c r="AM9" s="108">
        <v>5.0</v>
      </c>
      <c r="AN9" s="108">
        <v>5.454545454545454</v>
      </c>
      <c r="AO9" s="108">
        <v>6.0</v>
      </c>
      <c r="AP9" s="108">
        <v>6.666666666666667</v>
      </c>
      <c r="AQ9" s="108">
        <v>7.5</v>
      </c>
      <c r="AR9" s="108">
        <v>8.571428571428571</v>
      </c>
      <c r="AS9" s="108">
        <v>10.0</v>
      </c>
      <c r="AT9" s="108">
        <v>10.0</v>
      </c>
      <c r="AU9" s="108">
        <v>10.0</v>
      </c>
      <c r="AV9" s="108">
        <v>10.0</v>
      </c>
      <c r="AW9" s="108">
        <v>10.0</v>
      </c>
      <c r="AX9" s="108">
        <v>10.0</v>
      </c>
      <c r="AY9" s="108">
        <v>10.0</v>
      </c>
      <c r="AZ9" s="109">
        <v>10.0</v>
      </c>
    </row>
    <row r="10">
      <c r="A10" s="103">
        <v>5.0</v>
      </c>
      <c r="B10" s="107">
        <v>1.4634146341463414</v>
      </c>
      <c r="C10" s="108">
        <v>1.5384615384615385</v>
      </c>
      <c r="D10" s="108">
        <v>1.5789473684210527</v>
      </c>
      <c r="E10" s="108">
        <v>1.6216216216216217</v>
      </c>
      <c r="F10" s="108">
        <v>1.6666666666666667</v>
      </c>
      <c r="G10" s="108">
        <v>1.7142857142857142</v>
      </c>
      <c r="H10" s="108">
        <v>1.7647058823529411</v>
      </c>
      <c r="I10" s="108">
        <v>1.8181818181818181</v>
      </c>
      <c r="J10" s="108">
        <v>1.875</v>
      </c>
      <c r="K10" s="108">
        <v>1.935483870967742</v>
      </c>
      <c r="L10" s="108">
        <v>2.0</v>
      </c>
      <c r="M10" s="108">
        <v>2.0689655172413794</v>
      </c>
      <c r="N10" s="108">
        <v>2.142857142857143</v>
      </c>
      <c r="O10" s="108">
        <v>2.2222222222222223</v>
      </c>
      <c r="P10" s="108">
        <v>2.3076923076923075</v>
      </c>
      <c r="Q10" s="108">
        <v>2.4</v>
      </c>
      <c r="R10" s="109">
        <v>2.5</v>
      </c>
      <c r="S10" s="107" t="str">
        <f>[1]Inter!B23</f>
        <v>#ERROR!</v>
      </c>
      <c r="T10" s="108" t="str">
        <f>[1]Inter!C23</f>
        <v>#ERROR!</v>
      </c>
      <c r="U10" s="108" t="str">
        <f>[1]Inter!D23</f>
        <v>#ERROR!</v>
      </c>
      <c r="V10" s="108" t="str">
        <f>[1]Inter!E23</f>
        <v>#ERROR!</v>
      </c>
      <c r="W10" s="108" t="str">
        <f>[1]Inter!F23</f>
        <v>#ERROR!</v>
      </c>
      <c r="X10" s="108" t="str">
        <f>[1]Inter!G23</f>
        <v>#ERROR!</v>
      </c>
      <c r="Y10" s="108" t="str">
        <f>[1]Inter!H23</f>
        <v>#ERROR!</v>
      </c>
      <c r="Z10" s="108" t="str">
        <f>[1]Inter!I23</f>
        <v>#ERROR!</v>
      </c>
      <c r="AA10" s="108" t="str">
        <f>[1]Inter!J23</f>
        <v>#ERROR!</v>
      </c>
      <c r="AB10" s="108" t="str">
        <f>[1]Inter!K23</f>
        <v>#ERROR!</v>
      </c>
      <c r="AC10" s="108" t="str">
        <f>[1]Inter!L23</f>
        <v>#ERROR!</v>
      </c>
      <c r="AD10" s="108" t="str">
        <f>[1]Inter!M23</f>
        <v>#ERROR!</v>
      </c>
      <c r="AE10" s="108" t="str">
        <f>[1]Inter!N23</f>
        <v>#ERROR!</v>
      </c>
      <c r="AF10" s="108" t="str">
        <f>[1]Inter!O23</f>
        <v>#ERROR!</v>
      </c>
      <c r="AG10" s="108" t="str">
        <f>[1]Inter!P23</f>
        <v>#ERROR!</v>
      </c>
      <c r="AH10" s="108" t="str">
        <f>[1]Inter!Q23</f>
        <v>#ERROR!</v>
      </c>
      <c r="AI10" s="109" t="str">
        <f>[1]Inter!R23</f>
        <v>#ERROR!</v>
      </c>
      <c r="AJ10" s="107">
        <v>4.0</v>
      </c>
      <c r="AK10" s="108">
        <v>4.615384615384615</v>
      </c>
      <c r="AL10" s="108">
        <v>5.0</v>
      </c>
      <c r="AM10" s="108">
        <v>5.454545454545454</v>
      </c>
      <c r="AN10" s="108">
        <v>6.0</v>
      </c>
      <c r="AO10" s="108">
        <v>6.666666666666667</v>
      </c>
      <c r="AP10" s="108">
        <v>7.5</v>
      </c>
      <c r="AQ10" s="108">
        <v>8.571428571428571</v>
      </c>
      <c r="AR10" s="108">
        <v>10.0</v>
      </c>
      <c r="AS10" s="108">
        <v>10.0</v>
      </c>
      <c r="AT10" s="108">
        <v>10.0</v>
      </c>
      <c r="AU10" s="108">
        <v>10.0</v>
      </c>
      <c r="AV10" s="108">
        <v>10.0</v>
      </c>
      <c r="AW10" s="108">
        <v>10.0</v>
      </c>
      <c r="AX10" s="108">
        <v>10.0</v>
      </c>
      <c r="AY10" s="108">
        <v>10.0</v>
      </c>
      <c r="AZ10" s="109">
        <v>10.0</v>
      </c>
    </row>
    <row r="11">
      <c r="A11" s="103">
        <v>6.0</v>
      </c>
      <c r="B11" s="107">
        <v>1.6216216216216217</v>
      </c>
      <c r="C11" s="108">
        <v>1.6666666666666667</v>
      </c>
      <c r="D11" s="108">
        <v>1.7142857142857142</v>
      </c>
      <c r="E11" s="108">
        <v>1.7647058823529411</v>
      </c>
      <c r="F11" s="108">
        <v>1.8181818181818181</v>
      </c>
      <c r="G11" s="108">
        <v>1.875</v>
      </c>
      <c r="H11" s="108">
        <v>1.935483870967742</v>
      </c>
      <c r="I11" s="108">
        <v>2.0</v>
      </c>
      <c r="J11" s="108">
        <v>2.0689655172413794</v>
      </c>
      <c r="K11" s="108">
        <v>2.142857142857143</v>
      </c>
      <c r="L11" s="108">
        <v>2.2222222222222223</v>
      </c>
      <c r="M11" s="108">
        <v>2.3076923076923075</v>
      </c>
      <c r="N11" s="108">
        <v>2.4</v>
      </c>
      <c r="O11" s="108">
        <v>2.5</v>
      </c>
      <c r="P11" s="108">
        <v>2.608695652173913</v>
      </c>
      <c r="Q11" s="108">
        <v>2.727272727272727</v>
      </c>
      <c r="R11" s="109">
        <v>2.857142857142857</v>
      </c>
      <c r="S11" s="107" t="str">
        <f>[1]Inter!B24</f>
        <v>#ERROR!</v>
      </c>
      <c r="T11" s="108" t="str">
        <f>[1]Inter!C24</f>
        <v>#ERROR!</v>
      </c>
      <c r="U11" s="108" t="str">
        <f>[1]Inter!D24</f>
        <v>#ERROR!</v>
      </c>
      <c r="V11" s="108" t="str">
        <f>[1]Inter!E24</f>
        <v>#ERROR!</v>
      </c>
      <c r="W11" s="108" t="str">
        <f>[1]Inter!F24</f>
        <v>#ERROR!</v>
      </c>
      <c r="X11" s="108" t="str">
        <f>[1]Inter!G24</f>
        <v>#ERROR!</v>
      </c>
      <c r="Y11" s="108" t="str">
        <f>[1]Inter!H24</f>
        <v>#ERROR!</v>
      </c>
      <c r="Z11" s="108" t="str">
        <f>[1]Inter!I24</f>
        <v>#ERROR!</v>
      </c>
      <c r="AA11" s="108" t="str">
        <f>[1]Inter!J24</f>
        <v>#ERROR!</v>
      </c>
      <c r="AB11" s="108" t="str">
        <f>[1]Inter!K24</f>
        <v>#ERROR!</v>
      </c>
      <c r="AC11" s="108" t="str">
        <f>[1]Inter!L24</f>
        <v>#ERROR!</v>
      </c>
      <c r="AD11" s="108" t="str">
        <f>[1]Inter!M24</f>
        <v>#ERROR!</v>
      </c>
      <c r="AE11" s="108" t="str">
        <f>[1]Inter!N24</f>
        <v>#ERROR!</v>
      </c>
      <c r="AF11" s="108" t="str">
        <f>[1]Inter!O24</f>
        <v>#ERROR!</v>
      </c>
      <c r="AG11" s="108" t="str">
        <f>[1]Inter!P24</f>
        <v>#ERROR!</v>
      </c>
      <c r="AH11" s="108" t="str">
        <f>[1]Inter!Q24</f>
        <v>#ERROR!</v>
      </c>
      <c r="AI11" s="109" t="str">
        <f>[1]Inter!R24</f>
        <v>#ERROR!</v>
      </c>
      <c r="AJ11" s="107">
        <v>5.0</v>
      </c>
      <c r="AK11" s="108">
        <v>5.454545454545454</v>
      </c>
      <c r="AL11" s="108">
        <v>6.0</v>
      </c>
      <c r="AM11" s="108">
        <v>6.666666666666667</v>
      </c>
      <c r="AN11" s="108">
        <v>7.5</v>
      </c>
      <c r="AO11" s="108">
        <v>8.571428571428571</v>
      </c>
      <c r="AP11" s="108">
        <v>10.0</v>
      </c>
      <c r="AQ11" s="108">
        <v>10.0</v>
      </c>
      <c r="AR11" s="108">
        <v>10.0</v>
      </c>
      <c r="AS11" s="108">
        <v>10.0</v>
      </c>
      <c r="AT11" s="108">
        <v>10.0</v>
      </c>
      <c r="AU11" s="108">
        <v>10.0</v>
      </c>
      <c r="AV11" s="108">
        <v>10.0</v>
      </c>
      <c r="AW11" s="108">
        <v>10.0</v>
      </c>
      <c r="AX11" s="108">
        <v>10.0</v>
      </c>
      <c r="AY11" s="108">
        <v>10.0</v>
      </c>
      <c r="AZ11" s="109">
        <v>10.0</v>
      </c>
    </row>
    <row r="12">
      <c r="A12" s="103">
        <v>8.0</v>
      </c>
      <c r="B12" s="107">
        <v>1.7647058823529411</v>
      </c>
      <c r="C12" s="108">
        <v>1.8181818181818181</v>
      </c>
      <c r="D12" s="108">
        <v>1.875</v>
      </c>
      <c r="E12" s="108">
        <v>1.935483870967742</v>
      </c>
      <c r="F12" s="108">
        <v>2.0</v>
      </c>
      <c r="G12" s="108">
        <v>2.0689655172413794</v>
      </c>
      <c r="H12" s="108">
        <v>2.142857142857143</v>
      </c>
      <c r="I12" s="108">
        <v>2.2222222222222223</v>
      </c>
      <c r="J12" s="108">
        <v>2.3076923076923075</v>
      </c>
      <c r="K12" s="108">
        <v>2.4</v>
      </c>
      <c r="L12" s="108">
        <v>2.5</v>
      </c>
      <c r="M12" s="108">
        <v>2.608695652173913</v>
      </c>
      <c r="N12" s="108">
        <v>2.727272727272727</v>
      </c>
      <c r="O12" s="108">
        <v>2.857142857142857</v>
      </c>
      <c r="P12" s="108">
        <v>3.0</v>
      </c>
      <c r="Q12" s="108">
        <v>3.1578947368421053</v>
      </c>
      <c r="R12" s="109">
        <v>3.1578947368421053</v>
      </c>
      <c r="S12" s="107" t="str">
        <f>[1]Inter!B25</f>
        <v>#ERROR!</v>
      </c>
      <c r="T12" s="108" t="str">
        <f>[1]Inter!C25</f>
        <v>#ERROR!</v>
      </c>
      <c r="U12" s="108" t="str">
        <f>[1]Inter!D25</f>
        <v>#ERROR!</v>
      </c>
      <c r="V12" s="108" t="str">
        <f>[1]Inter!E25</f>
        <v>#ERROR!</v>
      </c>
      <c r="W12" s="108" t="str">
        <f>[1]Inter!F25</f>
        <v>#ERROR!</v>
      </c>
      <c r="X12" s="108" t="str">
        <f>[1]Inter!G25</f>
        <v>#ERROR!</v>
      </c>
      <c r="Y12" s="108" t="str">
        <f>[1]Inter!H25</f>
        <v>#ERROR!</v>
      </c>
      <c r="Z12" s="108" t="str">
        <f>[1]Inter!I25</f>
        <v>#ERROR!</v>
      </c>
      <c r="AA12" s="108" t="str">
        <f>[1]Inter!J25</f>
        <v>#ERROR!</v>
      </c>
      <c r="AB12" s="108" t="str">
        <f>[1]Inter!K25</f>
        <v>#ERROR!</v>
      </c>
      <c r="AC12" s="108" t="str">
        <f>[1]Inter!L25</f>
        <v>#ERROR!</v>
      </c>
      <c r="AD12" s="108" t="str">
        <f>[1]Inter!M25</f>
        <v>#ERROR!</v>
      </c>
      <c r="AE12" s="108" t="str">
        <f>[1]Inter!N25</f>
        <v>#ERROR!</v>
      </c>
      <c r="AF12" s="108" t="str">
        <f>[1]Inter!O25</f>
        <v>#ERROR!</v>
      </c>
      <c r="AG12" s="108" t="str">
        <f>[1]Inter!P25</f>
        <v>#ERROR!</v>
      </c>
      <c r="AH12" s="108" t="str">
        <f>[1]Inter!Q25</f>
        <v>#ERROR!</v>
      </c>
      <c r="AI12" s="109" t="str">
        <f>[1]Inter!R25</f>
        <v>#ERROR!</v>
      </c>
      <c r="AJ12" s="107">
        <v>6.0</v>
      </c>
      <c r="AK12" s="108">
        <v>6.666666666666667</v>
      </c>
      <c r="AL12" s="108">
        <v>7.5</v>
      </c>
      <c r="AM12" s="108">
        <v>8.571428571428571</v>
      </c>
      <c r="AN12" s="108">
        <v>10.0</v>
      </c>
      <c r="AO12" s="108">
        <v>10.0</v>
      </c>
      <c r="AP12" s="108">
        <v>10.0</v>
      </c>
      <c r="AQ12" s="108">
        <v>10.0</v>
      </c>
      <c r="AR12" s="108">
        <v>10.0</v>
      </c>
      <c r="AS12" s="108">
        <v>10.0</v>
      </c>
      <c r="AT12" s="108">
        <v>10.0</v>
      </c>
      <c r="AU12" s="108">
        <v>10.0</v>
      </c>
      <c r="AV12" s="108">
        <v>10.0</v>
      </c>
      <c r="AW12" s="108">
        <v>10.0</v>
      </c>
      <c r="AX12" s="108">
        <v>10.0</v>
      </c>
      <c r="AY12" s="108">
        <v>10.0</v>
      </c>
      <c r="AZ12" s="109">
        <v>10.0</v>
      </c>
    </row>
    <row r="13">
      <c r="A13" s="103">
        <v>10.0</v>
      </c>
      <c r="B13" s="107">
        <v>1.935483870967742</v>
      </c>
      <c r="C13" s="108">
        <v>2.0</v>
      </c>
      <c r="D13" s="108">
        <v>2.0689655172413794</v>
      </c>
      <c r="E13" s="108">
        <v>2.142857142857143</v>
      </c>
      <c r="F13" s="108">
        <v>2.2222222222222223</v>
      </c>
      <c r="G13" s="108">
        <v>2.3076923076923075</v>
      </c>
      <c r="H13" s="108">
        <v>2.4</v>
      </c>
      <c r="I13" s="108">
        <v>2.5</v>
      </c>
      <c r="J13" s="108">
        <v>2.608695652173913</v>
      </c>
      <c r="K13" s="108">
        <v>2.727272727272727</v>
      </c>
      <c r="L13" s="108">
        <v>2.857142857142857</v>
      </c>
      <c r="M13" s="108">
        <v>3.0</v>
      </c>
      <c r="N13" s="108">
        <v>3.1578947368421053</v>
      </c>
      <c r="O13" s="108">
        <v>3.1578947368421053</v>
      </c>
      <c r="P13" s="108">
        <v>3.1578947368421053</v>
      </c>
      <c r="Q13" s="108">
        <v>3.1578947368421053</v>
      </c>
      <c r="R13" s="109">
        <v>3.1578947368421053</v>
      </c>
      <c r="S13" s="107" t="str">
        <f>[1]Inter!B26</f>
        <v>#ERROR!</v>
      </c>
      <c r="T13" s="108" t="str">
        <f>[1]Inter!C26</f>
        <v>#ERROR!</v>
      </c>
      <c r="U13" s="108" t="str">
        <f>[1]Inter!D26</f>
        <v>#ERROR!</v>
      </c>
      <c r="V13" s="108" t="str">
        <f>[1]Inter!E26</f>
        <v>#ERROR!</v>
      </c>
      <c r="W13" s="108" t="str">
        <f>[1]Inter!F26</f>
        <v>#ERROR!</v>
      </c>
      <c r="X13" s="108" t="str">
        <f>[1]Inter!G26</f>
        <v>#ERROR!</v>
      </c>
      <c r="Y13" s="108" t="str">
        <f>[1]Inter!H26</f>
        <v>#ERROR!</v>
      </c>
      <c r="Z13" s="108" t="str">
        <f>[1]Inter!I26</f>
        <v>#ERROR!</v>
      </c>
      <c r="AA13" s="108" t="str">
        <f>[1]Inter!J26</f>
        <v>#ERROR!</v>
      </c>
      <c r="AB13" s="108" t="str">
        <f>[1]Inter!K26</f>
        <v>#ERROR!</v>
      </c>
      <c r="AC13" s="108" t="str">
        <f>[1]Inter!L26</f>
        <v>#ERROR!</v>
      </c>
      <c r="AD13" s="108" t="str">
        <f>[1]Inter!M26</f>
        <v>#ERROR!</v>
      </c>
      <c r="AE13" s="108" t="str">
        <f>[1]Inter!N26</f>
        <v>#ERROR!</v>
      </c>
      <c r="AF13" s="108" t="str">
        <f>[1]Inter!O26</f>
        <v>#ERROR!</v>
      </c>
      <c r="AG13" s="108" t="str">
        <f>[1]Inter!P26</f>
        <v>#ERROR!</v>
      </c>
      <c r="AH13" s="108" t="str">
        <f>[1]Inter!Q26</f>
        <v>#ERROR!</v>
      </c>
      <c r="AI13" s="109" t="str">
        <f>[1]Inter!R26</f>
        <v>#ERROR!</v>
      </c>
      <c r="AJ13" s="107">
        <v>7.5</v>
      </c>
      <c r="AK13" s="108">
        <v>8.571428571428571</v>
      </c>
      <c r="AL13" s="108">
        <v>10.0</v>
      </c>
      <c r="AM13" s="108">
        <v>10.0</v>
      </c>
      <c r="AN13" s="108">
        <v>10.0</v>
      </c>
      <c r="AO13" s="108">
        <v>10.0</v>
      </c>
      <c r="AP13" s="108">
        <v>10.0</v>
      </c>
      <c r="AQ13" s="108">
        <v>10.0</v>
      </c>
      <c r="AR13" s="108">
        <v>10.0</v>
      </c>
      <c r="AS13" s="108">
        <v>10.0</v>
      </c>
      <c r="AT13" s="108">
        <v>10.0</v>
      </c>
      <c r="AU13" s="108">
        <v>10.0</v>
      </c>
      <c r="AV13" s="108">
        <v>10.0</v>
      </c>
      <c r="AW13" s="108">
        <v>10.0</v>
      </c>
      <c r="AX13" s="108">
        <v>10.0</v>
      </c>
      <c r="AY13" s="108">
        <v>10.0</v>
      </c>
      <c r="AZ13" s="109">
        <v>10.0</v>
      </c>
    </row>
    <row r="14">
      <c r="A14" s="103">
        <v>12.0</v>
      </c>
      <c r="B14" s="107">
        <v>2.142857142857143</v>
      </c>
      <c r="C14" s="108">
        <v>2.2222222222222223</v>
      </c>
      <c r="D14" s="108">
        <v>2.3076923076923075</v>
      </c>
      <c r="E14" s="108">
        <v>2.4</v>
      </c>
      <c r="F14" s="108">
        <v>2.5</v>
      </c>
      <c r="G14" s="108">
        <v>2.608695652173913</v>
      </c>
      <c r="H14" s="108">
        <v>2.727272727272727</v>
      </c>
      <c r="I14" s="108">
        <v>2.857142857142857</v>
      </c>
      <c r="J14" s="108">
        <v>3.0</v>
      </c>
      <c r="K14" s="108">
        <v>3.1578947368421053</v>
      </c>
      <c r="L14" s="108">
        <v>3.1578947368421053</v>
      </c>
      <c r="M14" s="108">
        <v>3.1578947368421053</v>
      </c>
      <c r="N14" s="108">
        <v>3.1578947368421053</v>
      </c>
      <c r="O14" s="108">
        <v>3.1578947368421053</v>
      </c>
      <c r="P14" s="108">
        <v>3.1578947368421053</v>
      </c>
      <c r="Q14" s="108">
        <v>3.1578947368421053</v>
      </c>
      <c r="R14" s="109">
        <v>3.1578947368421053</v>
      </c>
      <c r="S14" s="107" t="str">
        <f>[1]Inter!B27</f>
        <v>#ERROR!</v>
      </c>
      <c r="T14" s="108" t="str">
        <f>[1]Inter!C27</f>
        <v>#ERROR!</v>
      </c>
      <c r="U14" s="108" t="str">
        <f>[1]Inter!D27</f>
        <v>#ERROR!</v>
      </c>
      <c r="V14" s="108" t="str">
        <f>[1]Inter!E27</f>
        <v>#ERROR!</v>
      </c>
      <c r="W14" s="108" t="str">
        <f>[1]Inter!F27</f>
        <v>#ERROR!</v>
      </c>
      <c r="X14" s="108" t="str">
        <f>[1]Inter!G27</f>
        <v>#ERROR!</v>
      </c>
      <c r="Y14" s="108" t="str">
        <f>[1]Inter!H27</f>
        <v>#ERROR!</v>
      </c>
      <c r="Z14" s="108" t="str">
        <f>[1]Inter!I27</f>
        <v>#ERROR!</v>
      </c>
      <c r="AA14" s="108" t="str">
        <f>[1]Inter!J27</f>
        <v>#ERROR!</v>
      </c>
      <c r="AB14" s="108" t="str">
        <f>[1]Inter!K27</f>
        <v>#ERROR!</v>
      </c>
      <c r="AC14" s="108" t="str">
        <f>[1]Inter!L27</f>
        <v>#ERROR!</v>
      </c>
      <c r="AD14" s="108" t="str">
        <f>[1]Inter!M27</f>
        <v>#ERROR!</v>
      </c>
      <c r="AE14" s="108" t="str">
        <f>[1]Inter!N27</f>
        <v>#ERROR!</v>
      </c>
      <c r="AF14" s="108" t="str">
        <f>[1]Inter!O27</f>
        <v>#ERROR!</v>
      </c>
      <c r="AG14" s="108" t="str">
        <f>[1]Inter!P27</f>
        <v>#ERROR!</v>
      </c>
      <c r="AH14" s="108" t="str">
        <f>[1]Inter!Q27</f>
        <v>#ERROR!</v>
      </c>
      <c r="AI14" s="109" t="str">
        <f>[1]Inter!R27</f>
        <v>#ERROR!</v>
      </c>
      <c r="AJ14" s="107">
        <v>8.571428571428571</v>
      </c>
      <c r="AK14" s="108">
        <v>10.0</v>
      </c>
      <c r="AL14" s="108">
        <v>10.0</v>
      </c>
      <c r="AM14" s="108">
        <v>10.0</v>
      </c>
      <c r="AN14" s="108">
        <v>10.0</v>
      </c>
      <c r="AO14" s="108">
        <v>10.0</v>
      </c>
      <c r="AP14" s="108">
        <v>10.0</v>
      </c>
      <c r="AQ14" s="108">
        <v>10.0</v>
      </c>
      <c r="AR14" s="108">
        <v>10.0</v>
      </c>
      <c r="AS14" s="108">
        <v>10.0</v>
      </c>
      <c r="AT14" s="108">
        <v>10.0</v>
      </c>
      <c r="AU14" s="108">
        <v>10.0</v>
      </c>
      <c r="AV14" s="108">
        <v>10.0</v>
      </c>
      <c r="AW14" s="108">
        <v>10.0</v>
      </c>
      <c r="AX14" s="108">
        <v>10.0</v>
      </c>
      <c r="AY14" s="108">
        <v>10.0</v>
      </c>
      <c r="AZ14" s="109">
        <v>10.0</v>
      </c>
    </row>
    <row r="15">
      <c r="A15" s="103">
        <v>14.0</v>
      </c>
      <c r="B15" s="107">
        <v>2.3076923076923075</v>
      </c>
      <c r="C15" s="108">
        <v>2.4</v>
      </c>
      <c r="D15" s="108">
        <v>2.5</v>
      </c>
      <c r="E15" s="108">
        <v>2.608695652173913</v>
      </c>
      <c r="F15" s="108">
        <v>2.727272727272727</v>
      </c>
      <c r="G15" s="108">
        <v>2.857142857142857</v>
      </c>
      <c r="H15" s="108">
        <v>3.0</v>
      </c>
      <c r="I15" s="108">
        <v>3.1578947368421053</v>
      </c>
      <c r="J15" s="108">
        <v>3.1578947368421053</v>
      </c>
      <c r="K15" s="108">
        <v>3.1578947368421053</v>
      </c>
      <c r="L15" s="108">
        <v>3.1578947368421053</v>
      </c>
      <c r="M15" s="108">
        <v>3.1578947368421053</v>
      </c>
      <c r="N15" s="108">
        <v>3.1578947368421053</v>
      </c>
      <c r="O15" s="108">
        <v>3.1578947368421053</v>
      </c>
      <c r="P15" s="108">
        <v>3.1578947368421053</v>
      </c>
      <c r="Q15" s="108">
        <v>3.1578947368421053</v>
      </c>
      <c r="R15" s="109">
        <v>3.1578947368421053</v>
      </c>
      <c r="S15" s="107" t="str">
        <f>[1]Inter!B28</f>
        <v>#ERROR!</v>
      </c>
      <c r="T15" s="108" t="str">
        <f>[1]Inter!C28</f>
        <v>#ERROR!</v>
      </c>
      <c r="U15" s="108" t="str">
        <f>[1]Inter!D28</f>
        <v>#ERROR!</v>
      </c>
      <c r="V15" s="108" t="str">
        <f>[1]Inter!E28</f>
        <v>#ERROR!</v>
      </c>
      <c r="W15" s="108" t="str">
        <f>[1]Inter!F28</f>
        <v>#ERROR!</v>
      </c>
      <c r="X15" s="108" t="str">
        <f>[1]Inter!G28</f>
        <v>#ERROR!</v>
      </c>
      <c r="Y15" s="108" t="str">
        <f>[1]Inter!H28</f>
        <v>#ERROR!</v>
      </c>
      <c r="Z15" s="108" t="str">
        <f>[1]Inter!I28</f>
        <v>#ERROR!</v>
      </c>
      <c r="AA15" s="108" t="str">
        <f>[1]Inter!J28</f>
        <v>#ERROR!</v>
      </c>
      <c r="AB15" s="108" t="str">
        <f>[1]Inter!K28</f>
        <v>#ERROR!</v>
      </c>
      <c r="AC15" s="108" t="str">
        <f>[1]Inter!L28</f>
        <v>#ERROR!</v>
      </c>
      <c r="AD15" s="108" t="str">
        <f>[1]Inter!M28</f>
        <v>#ERROR!</v>
      </c>
      <c r="AE15" s="108" t="str">
        <f>[1]Inter!N28</f>
        <v>#ERROR!</v>
      </c>
      <c r="AF15" s="108" t="str">
        <f>[1]Inter!O28</f>
        <v>#ERROR!</v>
      </c>
      <c r="AG15" s="108" t="str">
        <f>[1]Inter!P28</f>
        <v>#ERROR!</v>
      </c>
      <c r="AH15" s="108" t="str">
        <f>[1]Inter!Q28</f>
        <v>#ERROR!</v>
      </c>
      <c r="AI15" s="109" t="str">
        <f>[1]Inter!R28</f>
        <v>#ERROR!</v>
      </c>
      <c r="AJ15" s="107">
        <v>10.0</v>
      </c>
      <c r="AK15" s="108">
        <v>10.0</v>
      </c>
      <c r="AL15" s="108">
        <v>10.0</v>
      </c>
      <c r="AM15" s="108">
        <v>10.0</v>
      </c>
      <c r="AN15" s="108">
        <v>10.0</v>
      </c>
      <c r="AO15" s="108">
        <v>10.0</v>
      </c>
      <c r="AP15" s="108">
        <v>10.0</v>
      </c>
      <c r="AQ15" s="108">
        <v>10.0</v>
      </c>
      <c r="AR15" s="108">
        <v>10.0</v>
      </c>
      <c r="AS15" s="108">
        <v>10.0</v>
      </c>
      <c r="AT15" s="108">
        <v>10.0</v>
      </c>
      <c r="AU15" s="108">
        <v>10.0</v>
      </c>
      <c r="AV15" s="108">
        <v>10.0</v>
      </c>
      <c r="AW15" s="108">
        <v>10.0</v>
      </c>
      <c r="AX15" s="108">
        <v>10.0</v>
      </c>
      <c r="AY15" s="108">
        <v>10.0</v>
      </c>
      <c r="AZ15" s="109">
        <v>10.0</v>
      </c>
    </row>
    <row r="16">
      <c r="A16" s="110">
        <v>16.0</v>
      </c>
      <c r="B16" s="111">
        <v>2.5</v>
      </c>
      <c r="C16" s="112">
        <v>2.608695652173913</v>
      </c>
      <c r="D16" s="112">
        <v>2.727272727272727</v>
      </c>
      <c r="E16" s="112">
        <v>2.857142857142857</v>
      </c>
      <c r="F16" s="112">
        <v>3.0</v>
      </c>
      <c r="G16" s="112">
        <v>3.1578947368421053</v>
      </c>
      <c r="H16" s="112">
        <v>3.1578947368421053</v>
      </c>
      <c r="I16" s="112">
        <v>3.1578947368421053</v>
      </c>
      <c r="J16" s="112">
        <v>3.1578947368421053</v>
      </c>
      <c r="K16" s="112">
        <v>3.1578947368421053</v>
      </c>
      <c r="L16" s="112">
        <v>3.1578947368421053</v>
      </c>
      <c r="M16" s="112">
        <v>3.1578947368421053</v>
      </c>
      <c r="N16" s="112">
        <v>3.1578947368421053</v>
      </c>
      <c r="O16" s="112">
        <v>3.1578947368421053</v>
      </c>
      <c r="P16" s="112">
        <v>3.1578947368421053</v>
      </c>
      <c r="Q16" s="112">
        <v>3.1578947368421053</v>
      </c>
      <c r="R16" s="113">
        <v>3.1578947368421053</v>
      </c>
      <c r="S16" s="111" t="str">
        <f>[1]Inter!B29</f>
        <v>#ERROR!</v>
      </c>
      <c r="T16" s="112" t="str">
        <f>[1]Inter!C29</f>
        <v>#ERROR!</v>
      </c>
      <c r="U16" s="112" t="str">
        <f>[1]Inter!D29</f>
        <v>#ERROR!</v>
      </c>
      <c r="V16" s="112" t="str">
        <f>[1]Inter!E29</f>
        <v>#ERROR!</v>
      </c>
      <c r="W16" s="112" t="str">
        <f>[1]Inter!F29</f>
        <v>#ERROR!</v>
      </c>
      <c r="X16" s="112" t="str">
        <f>[1]Inter!G29</f>
        <v>#ERROR!</v>
      </c>
      <c r="Y16" s="112" t="str">
        <f>[1]Inter!H29</f>
        <v>#ERROR!</v>
      </c>
      <c r="Z16" s="112" t="str">
        <f>[1]Inter!I29</f>
        <v>#ERROR!</v>
      </c>
      <c r="AA16" s="112" t="str">
        <f>[1]Inter!J29</f>
        <v>#ERROR!</v>
      </c>
      <c r="AB16" s="112" t="str">
        <f>[1]Inter!K29</f>
        <v>#ERROR!</v>
      </c>
      <c r="AC16" s="112" t="str">
        <f>[1]Inter!L29</f>
        <v>#ERROR!</v>
      </c>
      <c r="AD16" s="112" t="str">
        <f>[1]Inter!M29</f>
        <v>#ERROR!</v>
      </c>
      <c r="AE16" s="112" t="str">
        <f>[1]Inter!N29</f>
        <v>#ERROR!</v>
      </c>
      <c r="AF16" s="112" t="str">
        <f>[1]Inter!O29</f>
        <v>#ERROR!</v>
      </c>
      <c r="AG16" s="112" t="str">
        <f>[1]Inter!P29</f>
        <v>#ERROR!</v>
      </c>
      <c r="AH16" s="112" t="str">
        <f>[1]Inter!Q29</f>
        <v>#ERROR!</v>
      </c>
      <c r="AI16" s="113" t="str">
        <f>[1]Inter!R29</f>
        <v>#ERROR!</v>
      </c>
      <c r="AJ16" s="111">
        <v>12.0</v>
      </c>
      <c r="AK16" s="112">
        <v>12.0</v>
      </c>
      <c r="AL16" s="112">
        <v>12.0</v>
      </c>
      <c r="AM16" s="112">
        <v>12.0</v>
      </c>
      <c r="AN16" s="112">
        <v>12.0</v>
      </c>
      <c r="AO16" s="112">
        <v>12.0</v>
      </c>
      <c r="AP16" s="112">
        <v>12.0</v>
      </c>
      <c r="AQ16" s="112">
        <v>12.0</v>
      </c>
      <c r="AR16" s="112">
        <v>12.0</v>
      </c>
      <c r="AS16" s="112">
        <v>12.0</v>
      </c>
      <c r="AT16" s="112">
        <v>12.0</v>
      </c>
      <c r="AU16" s="112">
        <v>12.0</v>
      </c>
      <c r="AV16" s="112">
        <v>12.0</v>
      </c>
      <c r="AW16" s="112">
        <v>12.0</v>
      </c>
      <c r="AX16" s="112">
        <v>12.0</v>
      </c>
      <c r="AY16" s="112">
        <v>12.0</v>
      </c>
      <c r="AZ16" s="113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2:G2"/>
    <mergeCell ref="B3:AZ3"/>
    <mergeCell ref="A4:A5"/>
    <mergeCell ref="B4:R4"/>
    <mergeCell ref="S4:AI4"/>
    <mergeCell ref="AJ4:AZ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15.29"/>
    <col customWidth="1" min="4" max="7" width="8.71"/>
    <col customWidth="1" min="8" max="8" width="9.71"/>
    <col customWidth="1" min="9" max="14" width="8.71"/>
    <col customWidth="1" min="15" max="15" width="15.43"/>
    <col customWidth="1" min="16" max="16" width="15.57"/>
    <col customWidth="1" min="17" max="17" width="16.29"/>
    <col customWidth="1" min="18" max="18" width="17.29"/>
    <col customWidth="1" min="19" max="40" width="8.71"/>
  </cols>
  <sheetData>
    <row r="1">
      <c r="A1" s="92" t="s">
        <v>286</v>
      </c>
    </row>
    <row r="3" ht="15.75" customHeight="1">
      <c r="A3" s="114" t="s">
        <v>287</v>
      </c>
      <c r="B3" s="115" t="s">
        <v>288</v>
      </c>
      <c r="C3" s="115" t="s">
        <v>289</v>
      </c>
      <c r="D3" s="116" t="s">
        <v>290</v>
      </c>
      <c r="E3" s="117"/>
      <c r="F3" s="117"/>
      <c r="G3" s="117"/>
      <c r="H3" s="117"/>
      <c r="I3" s="117"/>
      <c r="J3" s="117"/>
      <c r="K3" s="117"/>
      <c r="L3" s="117"/>
      <c r="M3" s="117"/>
      <c r="N3" s="118"/>
      <c r="O3" s="119" t="s">
        <v>291</v>
      </c>
      <c r="P3" s="119" t="s">
        <v>292</v>
      </c>
      <c r="Q3" s="119" t="s">
        <v>293</v>
      </c>
      <c r="R3" s="114" t="s">
        <v>294</v>
      </c>
      <c r="S3" s="116" t="s">
        <v>295</v>
      </c>
      <c r="T3" s="117"/>
      <c r="U3" s="117"/>
      <c r="V3" s="117"/>
      <c r="W3" s="117"/>
      <c r="X3" s="117"/>
      <c r="Y3" s="117"/>
      <c r="Z3" s="117"/>
      <c r="AA3" s="117"/>
      <c r="AB3" s="117"/>
      <c r="AC3" s="120"/>
      <c r="AD3" s="116" t="s">
        <v>296</v>
      </c>
      <c r="AE3" s="117"/>
      <c r="AF3" s="117"/>
      <c r="AG3" s="117"/>
      <c r="AH3" s="117"/>
      <c r="AI3" s="117"/>
      <c r="AJ3" s="117"/>
      <c r="AK3" s="117"/>
      <c r="AL3" s="117"/>
      <c r="AM3" s="117"/>
      <c r="AN3" s="118"/>
    </row>
    <row r="4">
      <c r="A4" s="121"/>
      <c r="B4" s="122"/>
      <c r="C4" s="122"/>
      <c r="D4" s="123" t="s">
        <v>297</v>
      </c>
      <c r="E4" s="124"/>
      <c r="F4" s="124"/>
      <c r="G4" s="124"/>
      <c r="H4" s="124"/>
      <c r="I4" s="124"/>
      <c r="J4" s="124"/>
      <c r="K4" s="124"/>
      <c r="L4" s="124"/>
      <c r="M4" s="124"/>
      <c r="N4" s="125"/>
      <c r="O4" s="126"/>
      <c r="P4" s="126"/>
      <c r="Q4" s="126"/>
      <c r="R4" s="121"/>
      <c r="S4" s="123" t="s">
        <v>297</v>
      </c>
      <c r="T4" s="124"/>
      <c r="U4" s="124"/>
      <c r="V4" s="124"/>
      <c r="W4" s="124"/>
      <c r="X4" s="124"/>
      <c r="Y4" s="124"/>
      <c r="Z4" s="124"/>
      <c r="AA4" s="124"/>
      <c r="AB4" s="124"/>
      <c r="AC4" s="127"/>
      <c r="AD4" s="123" t="s">
        <v>297</v>
      </c>
      <c r="AE4" s="124"/>
      <c r="AF4" s="124"/>
      <c r="AG4" s="124"/>
      <c r="AH4" s="124"/>
      <c r="AI4" s="124"/>
      <c r="AJ4" s="124"/>
      <c r="AK4" s="124"/>
      <c r="AL4" s="124"/>
      <c r="AM4" s="124"/>
      <c r="AN4" s="125"/>
    </row>
    <row r="5">
      <c r="A5" s="128"/>
      <c r="B5" s="129"/>
      <c r="C5" s="129"/>
      <c r="D5" s="130">
        <v>500.0</v>
      </c>
      <c r="E5" s="130">
        <v>1000.0</v>
      </c>
      <c r="F5" s="130">
        <v>1500.0</v>
      </c>
      <c r="G5" s="130">
        <v>2000.0</v>
      </c>
      <c r="H5" s="130">
        <v>3000.0</v>
      </c>
      <c r="I5" s="130">
        <v>4000.0</v>
      </c>
      <c r="J5" s="130">
        <v>6000.0</v>
      </c>
      <c r="K5" s="130">
        <v>8000.0</v>
      </c>
      <c r="L5" s="130">
        <v>10000.0</v>
      </c>
      <c r="M5" s="130">
        <v>12000.0</v>
      </c>
      <c r="N5" s="131">
        <v>15000.0</v>
      </c>
      <c r="O5" s="132"/>
      <c r="P5" s="132"/>
      <c r="Q5" s="132"/>
      <c r="R5" s="128"/>
      <c r="S5" s="130">
        <v>500.0</v>
      </c>
      <c r="T5" s="130">
        <v>1000.0</v>
      </c>
      <c r="U5" s="130">
        <v>1500.0</v>
      </c>
      <c r="V5" s="130">
        <v>2000.0</v>
      </c>
      <c r="W5" s="130">
        <v>3000.0</v>
      </c>
      <c r="X5" s="130">
        <v>4000.0</v>
      </c>
      <c r="Y5" s="130">
        <v>6000.0</v>
      </c>
      <c r="Z5" s="130">
        <v>8000.0</v>
      </c>
      <c r="AA5" s="130">
        <v>10000.0</v>
      </c>
      <c r="AB5" s="130">
        <v>12000.0</v>
      </c>
      <c r="AC5" s="131">
        <v>15000.0</v>
      </c>
      <c r="AD5" s="130">
        <v>500.0</v>
      </c>
      <c r="AE5" s="130">
        <v>1000.0</v>
      </c>
      <c r="AF5" s="130">
        <v>1500.0</v>
      </c>
      <c r="AG5" s="130">
        <v>2000.0</v>
      </c>
      <c r="AH5" s="130">
        <v>3000.0</v>
      </c>
      <c r="AI5" s="130">
        <v>4000.0</v>
      </c>
      <c r="AJ5" s="130">
        <v>6000.0</v>
      </c>
      <c r="AK5" s="130">
        <v>8000.0</v>
      </c>
      <c r="AL5" s="130">
        <v>10000.0</v>
      </c>
      <c r="AM5" s="130">
        <v>12000.0</v>
      </c>
      <c r="AN5" s="133">
        <v>15000.0</v>
      </c>
    </row>
    <row r="6" ht="15.75" customHeight="1">
      <c r="A6" s="134" t="s">
        <v>298</v>
      </c>
      <c r="B6" s="135">
        <v>1.0</v>
      </c>
      <c r="C6" s="135">
        <v>0.5</v>
      </c>
      <c r="D6" s="105">
        <v>9.0</v>
      </c>
      <c r="E6" s="105">
        <v>10.0</v>
      </c>
      <c r="F6" s="105">
        <v>26.0</v>
      </c>
      <c r="G6" s="105">
        <v>30.0</v>
      </c>
      <c r="H6" s="105">
        <v>40.0</v>
      </c>
      <c r="I6" s="105">
        <v>42.0</v>
      </c>
      <c r="J6" s="105">
        <v>45.0</v>
      </c>
      <c r="K6" s="105">
        <v>45.0</v>
      </c>
      <c r="L6" s="105">
        <v>45.0</v>
      </c>
      <c r="M6" s="105">
        <v>60.0</v>
      </c>
      <c r="N6" s="105">
        <v>60.0</v>
      </c>
      <c r="O6" s="136">
        <v>0.6</v>
      </c>
      <c r="P6" s="136">
        <v>0.35</v>
      </c>
      <c r="Q6" s="136">
        <v>0.05</v>
      </c>
      <c r="R6" s="1">
        <v>0.7</v>
      </c>
      <c r="S6" s="137">
        <f t="shared" ref="S6:S78" si="2">D6*O6*R6</f>
        <v>3.78</v>
      </c>
      <c r="T6" s="137">
        <f t="shared" ref="T6:T78" si="3">E6*O6*R6</f>
        <v>4.2</v>
      </c>
      <c r="U6" s="137">
        <f t="shared" ref="U6:U78" si="4">F6*O6*R6</f>
        <v>10.92</v>
      </c>
      <c r="V6" s="137">
        <f t="shared" ref="V6:V78" si="5">G6*O6*R6</f>
        <v>12.6</v>
      </c>
      <c r="W6" s="137">
        <f t="shared" ref="W6:W78" si="6">H6*O6*R6</f>
        <v>16.8</v>
      </c>
      <c r="X6" s="137">
        <f t="shared" ref="X6:X78" si="7">I6*O6*R6</f>
        <v>17.64</v>
      </c>
      <c r="Y6" s="137">
        <f t="shared" ref="Y6:Y78" si="8">J6*O6*R6</f>
        <v>18.9</v>
      </c>
      <c r="Z6" s="137">
        <f t="shared" ref="Z6:Z78" si="9">K6*O6*R6</f>
        <v>18.9</v>
      </c>
      <c r="AA6" s="137">
        <f t="shared" ref="AA6:AA78" si="10">L6*O6*R6</f>
        <v>18.9</v>
      </c>
      <c r="AB6" s="137">
        <f t="shared" ref="AB6:AB78" si="11">M6*O6*R6</f>
        <v>25.2</v>
      </c>
      <c r="AC6" s="137">
        <f t="shared" ref="AC6:AC78" si="12">N6*O6*R6</f>
        <v>25.2</v>
      </c>
      <c r="AD6" s="138">
        <f t="shared" ref="AD6:AN6" si="1">IFERROR((($B$6/1000)/($Q$6*D6)),0)</f>
        <v>0.002222222222</v>
      </c>
      <c r="AE6" s="138">
        <f t="shared" si="1"/>
        <v>0.002</v>
      </c>
      <c r="AF6" s="138">
        <f t="shared" si="1"/>
        <v>0.0007692307692</v>
      </c>
      <c r="AG6" s="138">
        <f t="shared" si="1"/>
        <v>0.0006666666667</v>
      </c>
      <c r="AH6" s="138">
        <f t="shared" si="1"/>
        <v>0.0005</v>
      </c>
      <c r="AI6" s="138">
        <f t="shared" si="1"/>
        <v>0.0004761904762</v>
      </c>
      <c r="AJ6" s="138">
        <f t="shared" si="1"/>
        <v>0.0004444444444</v>
      </c>
      <c r="AK6" s="138">
        <f t="shared" si="1"/>
        <v>0.0004444444444</v>
      </c>
      <c r="AL6" s="138">
        <f t="shared" si="1"/>
        <v>0.0004444444444</v>
      </c>
      <c r="AM6" s="138">
        <f t="shared" si="1"/>
        <v>0.0003333333333</v>
      </c>
      <c r="AN6" s="138">
        <f t="shared" si="1"/>
        <v>0.0003333333333</v>
      </c>
    </row>
    <row r="7">
      <c r="A7" s="139" t="s">
        <v>298</v>
      </c>
      <c r="B7" s="135">
        <v>2.0</v>
      </c>
      <c r="C7" s="140">
        <f t="shared" ref="C7:C24" si="14">C6*1.15</f>
        <v>0.575</v>
      </c>
      <c r="D7" s="108">
        <v>4.5</v>
      </c>
      <c r="E7" s="108">
        <v>6.5</v>
      </c>
      <c r="F7" s="108">
        <v>7.0</v>
      </c>
      <c r="G7" s="108">
        <v>9.0</v>
      </c>
      <c r="H7" s="108">
        <v>20.0</v>
      </c>
      <c r="I7" s="108">
        <v>15.0</v>
      </c>
      <c r="J7" s="108">
        <v>25.0</v>
      </c>
      <c r="K7" s="108">
        <v>35.0</v>
      </c>
      <c r="L7" s="108">
        <v>40.0</v>
      </c>
      <c r="M7" s="108">
        <v>45.0</v>
      </c>
      <c r="N7" s="108">
        <v>48.0</v>
      </c>
      <c r="O7" s="69">
        <v>0.65</v>
      </c>
      <c r="P7" s="69">
        <v>0.25</v>
      </c>
      <c r="Q7" s="69">
        <v>0.1</v>
      </c>
      <c r="R7" s="1">
        <v>0.7</v>
      </c>
      <c r="S7" s="137">
        <f t="shared" si="2"/>
        <v>2.0475</v>
      </c>
      <c r="T7" s="137">
        <f t="shared" si="3"/>
        <v>2.9575</v>
      </c>
      <c r="U7" s="137">
        <f t="shared" si="4"/>
        <v>3.185</v>
      </c>
      <c r="V7" s="137">
        <f t="shared" si="5"/>
        <v>4.095</v>
      </c>
      <c r="W7" s="137">
        <f t="shared" si="6"/>
        <v>9.1</v>
      </c>
      <c r="X7" s="137">
        <f t="shared" si="7"/>
        <v>6.825</v>
      </c>
      <c r="Y7" s="137">
        <f t="shared" si="8"/>
        <v>11.375</v>
      </c>
      <c r="Z7" s="137">
        <f t="shared" si="9"/>
        <v>15.925</v>
      </c>
      <c r="AA7" s="137">
        <f t="shared" si="10"/>
        <v>18.2</v>
      </c>
      <c r="AB7" s="137">
        <f t="shared" si="11"/>
        <v>20.475</v>
      </c>
      <c r="AC7" s="137">
        <f t="shared" si="12"/>
        <v>21.84</v>
      </c>
      <c r="AD7" s="138">
        <f t="shared" ref="AD7:AN7" si="13">IFERROR((($B$6/1000)/($Q$6*D7)),0)</f>
        <v>0.004444444444</v>
      </c>
      <c r="AE7" s="138">
        <f t="shared" si="13"/>
        <v>0.003076923077</v>
      </c>
      <c r="AF7" s="138">
        <f t="shared" si="13"/>
        <v>0.002857142857</v>
      </c>
      <c r="AG7" s="138">
        <f t="shared" si="13"/>
        <v>0.002222222222</v>
      </c>
      <c r="AH7" s="138">
        <f t="shared" si="13"/>
        <v>0.001</v>
      </c>
      <c r="AI7" s="138">
        <f t="shared" si="13"/>
        <v>0.001333333333</v>
      </c>
      <c r="AJ7" s="138">
        <f t="shared" si="13"/>
        <v>0.0008</v>
      </c>
      <c r="AK7" s="138">
        <f t="shared" si="13"/>
        <v>0.0005714285714</v>
      </c>
      <c r="AL7" s="138">
        <f t="shared" si="13"/>
        <v>0.0005</v>
      </c>
      <c r="AM7" s="138">
        <f t="shared" si="13"/>
        <v>0.0004444444444</v>
      </c>
      <c r="AN7" s="138">
        <f t="shared" si="13"/>
        <v>0.0004166666667</v>
      </c>
    </row>
    <row r="8">
      <c r="A8" s="139" t="s">
        <v>298</v>
      </c>
      <c r="B8" s="135">
        <v>3.0</v>
      </c>
      <c r="C8" s="140">
        <f t="shared" si="14"/>
        <v>0.66125</v>
      </c>
      <c r="D8" s="108">
        <v>3.0</v>
      </c>
      <c r="E8" s="108">
        <v>3.0</v>
      </c>
      <c r="F8" s="108">
        <v>4.0</v>
      </c>
      <c r="G8" s="108">
        <v>4.8</v>
      </c>
      <c r="H8" s="108">
        <v>5.0</v>
      </c>
      <c r="I8" s="108">
        <v>5.5</v>
      </c>
      <c r="J8" s="108">
        <v>6.5</v>
      </c>
      <c r="K8" s="108">
        <v>7.0</v>
      </c>
      <c r="L8" s="108">
        <v>30.0</v>
      </c>
      <c r="M8" s="108">
        <v>35.0</v>
      </c>
      <c r="N8" s="108">
        <v>38.0</v>
      </c>
      <c r="O8" s="69">
        <v>0.65</v>
      </c>
      <c r="P8" s="69">
        <v>0.25</v>
      </c>
      <c r="Q8" s="69">
        <v>0.1</v>
      </c>
      <c r="R8" s="1">
        <v>0.7</v>
      </c>
      <c r="S8" s="137">
        <f t="shared" si="2"/>
        <v>1.365</v>
      </c>
      <c r="T8" s="137">
        <f t="shared" si="3"/>
        <v>1.365</v>
      </c>
      <c r="U8" s="137">
        <f t="shared" si="4"/>
        <v>1.82</v>
      </c>
      <c r="V8" s="137">
        <f t="shared" si="5"/>
        <v>2.184</v>
      </c>
      <c r="W8" s="137">
        <f t="shared" si="6"/>
        <v>2.275</v>
      </c>
      <c r="X8" s="137">
        <f t="shared" si="7"/>
        <v>2.5025</v>
      </c>
      <c r="Y8" s="137">
        <f t="shared" si="8"/>
        <v>2.9575</v>
      </c>
      <c r="Z8" s="137">
        <f t="shared" si="9"/>
        <v>3.185</v>
      </c>
      <c r="AA8" s="137">
        <f t="shared" si="10"/>
        <v>13.65</v>
      </c>
      <c r="AB8" s="137">
        <f t="shared" si="11"/>
        <v>15.925</v>
      </c>
      <c r="AC8" s="137">
        <f t="shared" si="12"/>
        <v>17.29</v>
      </c>
      <c r="AD8" s="138">
        <f t="shared" ref="AD8:AN8" si="15">IFERROR((($B$6/1000)/($Q$6*D8)),0)</f>
        <v>0.006666666667</v>
      </c>
      <c r="AE8" s="138">
        <f t="shared" si="15"/>
        <v>0.006666666667</v>
      </c>
      <c r="AF8" s="138">
        <f t="shared" si="15"/>
        <v>0.005</v>
      </c>
      <c r="AG8" s="138">
        <f t="shared" si="15"/>
        <v>0.004166666667</v>
      </c>
      <c r="AH8" s="138">
        <f t="shared" si="15"/>
        <v>0.004</v>
      </c>
      <c r="AI8" s="138">
        <f t="shared" si="15"/>
        <v>0.003636363636</v>
      </c>
      <c r="AJ8" s="138">
        <f t="shared" si="15"/>
        <v>0.003076923077</v>
      </c>
      <c r="AK8" s="138">
        <f t="shared" si="15"/>
        <v>0.002857142857</v>
      </c>
      <c r="AL8" s="138">
        <f t="shared" si="15"/>
        <v>0.0006666666667</v>
      </c>
      <c r="AM8" s="138">
        <f t="shared" si="15"/>
        <v>0.0005714285714</v>
      </c>
      <c r="AN8" s="138">
        <f t="shared" si="15"/>
        <v>0.0005263157895</v>
      </c>
    </row>
    <row r="9">
      <c r="A9" s="139" t="s">
        <v>298</v>
      </c>
      <c r="B9" s="135">
        <v>4.0</v>
      </c>
      <c r="C9" s="140">
        <f t="shared" si="14"/>
        <v>0.7604375</v>
      </c>
      <c r="D9" s="108">
        <v>1.5</v>
      </c>
      <c r="E9" s="108">
        <v>2.4</v>
      </c>
      <c r="F9" s="108">
        <v>3.0</v>
      </c>
      <c r="G9" s="108">
        <v>3.5</v>
      </c>
      <c r="H9" s="108">
        <v>4.2</v>
      </c>
      <c r="I9" s="108">
        <v>4.8</v>
      </c>
      <c r="J9" s="108">
        <v>5.0</v>
      </c>
      <c r="K9" s="108">
        <v>5.5</v>
      </c>
      <c r="L9" s="108">
        <v>20.0</v>
      </c>
      <c r="M9" s="108">
        <v>26.0</v>
      </c>
      <c r="N9" s="108">
        <v>29.0</v>
      </c>
      <c r="O9" s="69">
        <v>0.65</v>
      </c>
      <c r="P9" s="69">
        <v>0.2</v>
      </c>
      <c r="Q9" s="69">
        <v>0.15</v>
      </c>
      <c r="R9" s="1">
        <v>0.8</v>
      </c>
      <c r="S9" s="137">
        <f t="shared" si="2"/>
        <v>0.78</v>
      </c>
      <c r="T9" s="137">
        <f t="shared" si="3"/>
        <v>1.248</v>
      </c>
      <c r="U9" s="137">
        <f t="shared" si="4"/>
        <v>1.56</v>
      </c>
      <c r="V9" s="137">
        <f t="shared" si="5"/>
        <v>1.82</v>
      </c>
      <c r="W9" s="137">
        <f t="shared" si="6"/>
        <v>2.184</v>
      </c>
      <c r="X9" s="137">
        <f t="shared" si="7"/>
        <v>2.496</v>
      </c>
      <c r="Y9" s="137">
        <f t="shared" si="8"/>
        <v>2.6</v>
      </c>
      <c r="Z9" s="137">
        <f t="shared" si="9"/>
        <v>2.86</v>
      </c>
      <c r="AA9" s="137">
        <f t="shared" si="10"/>
        <v>10.4</v>
      </c>
      <c r="AB9" s="137">
        <f t="shared" si="11"/>
        <v>13.52</v>
      </c>
      <c r="AC9" s="137">
        <f t="shared" si="12"/>
        <v>15.08</v>
      </c>
      <c r="AD9" s="138">
        <f t="shared" ref="AD9:AN9" si="16">IFERROR((($B$6/1000)/($Q$6*D9)),0)</f>
        <v>0.01333333333</v>
      </c>
      <c r="AE9" s="138">
        <f t="shared" si="16"/>
        <v>0.008333333333</v>
      </c>
      <c r="AF9" s="138">
        <f t="shared" si="16"/>
        <v>0.006666666667</v>
      </c>
      <c r="AG9" s="138">
        <f t="shared" si="16"/>
        <v>0.005714285714</v>
      </c>
      <c r="AH9" s="138">
        <f t="shared" si="16"/>
        <v>0.004761904762</v>
      </c>
      <c r="AI9" s="138">
        <f t="shared" si="16"/>
        <v>0.004166666667</v>
      </c>
      <c r="AJ9" s="138">
        <f t="shared" si="16"/>
        <v>0.004</v>
      </c>
      <c r="AK9" s="138">
        <f t="shared" si="16"/>
        <v>0.003636363636</v>
      </c>
      <c r="AL9" s="138">
        <f t="shared" si="16"/>
        <v>0.001</v>
      </c>
      <c r="AM9" s="138">
        <f t="shared" si="16"/>
        <v>0.0007692307692</v>
      </c>
      <c r="AN9" s="138">
        <f t="shared" si="16"/>
        <v>0.0006896551724</v>
      </c>
    </row>
    <row r="10">
      <c r="A10" s="139" t="s">
        <v>298</v>
      </c>
      <c r="B10" s="135">
        <v>5.0</v>
      </c>
      <c r="C10" s="140">
        <f t="shared" si="14"/>
        <v>0.874503125</v>
      </c>
      <c r="D10" s="108">
        <v>1.1</v>
      </c>
      <c r="E10" s="108">
        <v>2.0</v>
      </c>
      <c r="F10" s="108">
        <v>2.5</v>
      </c>
      <c r="G10" s="108">
        <v>3.0</v>
      </c>
      <c r="H10" s="108">
        <v>3.5</v>
      </c>
      <c r="I10" s="108">
        <v>3.6</v>
      </c>
      <c r="J10" s="108">
        <v>4.2</v>
      </c>
      <c r="K10" s="108">
        <v>4.5</v>
      </c>
      <c r="L10" s="108">
        <v>15.0</v>
      </c>
      <c r="M10" s="108">
        <v>18.0</v>
      </c>
      <c r="N10" s="108">
        <v>23.0</v>
      </c>
      <c r="O10" s="69">
        <v>0.65</v>
      </c>
      <c r="P10" s="69">
        <v>0.2</v>
      </c>
      <c r="Q10" s="69">
        <v>0.15</v>
      </c>
      <c r="R10" s="1">
        <v>0.8</v>
      </c>
      <c r="S10" s="137">
        <f t="shared" si="2"/>
        <v>0.572</v>
      </c>
      <c r="T10" s="137">
        <f t="shared" si="3"/>
        <v>1.04</v>
      </c>
      <c r="U10" s="137">
        <f t="shared" si="4"/>
        <v>1.3</v>
      </c>
      <c r="V10" s="137">
        <f t="shared" si="5"/>
        <v>1.56</v>
      </c>
      <c r="W10" s="137">
        <f t="shared" si="6"/>
        <v>1.82</v>
      </c>
      <c r="X10" s="137">
        <f t="shared" si="7"/>
        <v>1.872</v>
      </c>
      <c r="Y10" s="137">
        <f t="shared" si="8"/>
        <v>2.184</v>
      </c>
      <c r="Z10" s="137">
        <f t="shared" si="9"/>
        <v>2.34</v>
      </c>
      <c r="AA10" s="137">
        <f t="shared" si="10"/>
        <v>7.8</v>
      </c>
      <c r="AB10" s="137">
        <f t="shared" si="11"/>
        <v>9.36</v>
      </c>
      <c r="AC10" s="137">
        <f t="shared" si="12"/>
        <v>11.96</v>
      </c>
      <c r="AD10" s="138">
        <f t="shared" ref="AD10:AN10" si="17">IFERROR((($B$6/1000)/($Q$6*D10)),0)</f>
        <v>0.01818181818</v>
      </c>
      <c r="AE10" s="138">
        <f t="shared" si="17"/>
        <v>0.01</v>
      </c>
      <c r="AF10" s="138">
        <f t="shared" si="17"/>
        <v>0.008</v>
      </c>
      <c r="AG10" s="138">
        <f t="shared" si="17"/>
        <v>0.006666666667</v>
      </c>
      <c r="AH10" s="138">
        <f t="shared" si="17"/>
        <v>0.005714285714</v>
      </c>
      <c r="AI10" s="138">
        <f t="shared" si="17"/>
        <v>0.005555555556</v>
      </c>
      <c r="AJ10" s="138">
        <f t="shared" si="17"/>
        <v>0.004761904762</v>
      </c>
      <c r="AK10" s="138">
        <f t="shared" si="17"/>
        <v>0.004444444444</v>
      </c>
      <c r="AL10" s="138">
        <f t="shared" si="17"/>
        <v>0.001333333333</v>
      </c>
      <c r="AM10" s="138">
        <f t="shared" si="17"/>
        <v>0.001111111111</v>
      </c>
      <c r="AN10" s="138">
        <f t="shared" si="17"/>
        <v>0.0008695652174</v>
      </c>
    </row>
    <row r="11">
      <c r="A11" s="139" t="s">
        <v>298</v>
      </c>
      <c r="B11" s="135">
        <v>6.0</v>
      </c>
      <c r="C11" s="140">
        <f t="shared" si="14"/>
        <v>1.005678594</v>
      </c>
      <c r="D11" s="108">
        <v>0.9</v>
      </c>
      <c r="E11" s="108">
        <v>1.6</v>
      </c>
      <c r="F11" s="108">
        <v>2.2</v>
      </c>
      <c r="G11" s="108">
        <v>2.6</v>
      </c>
      <c r="H11" s="108">
        <v>3.2</v>
      </c>
      <c r="I11" s="108">
        <v>3.4</v>
      </c>
      <c r="J11" s="108">
        <v>4.0</v>
      </c>
      <c r="K11" s="108">
        <v>4.2</v>
      </c>
      <c r="L11" s="108">
        <v>12.0</v>
      </c>
      <c r="M11" s="108">
        <v>13.0</v>
      </c>
      <c r="N11" s="108">
        <v>19.0</v>
      </c>
      <c r="O11" s="69">
        <v>0.65</v>
      </c>
      <c r="P11" s="69">
        <v>0.2</v>
      </c>
      <c r="Q11" s="69">
        <v>0.15</v>
      </c>
      <c r="R11" s="1">
        <v>0.8</v>
      </c>
      <c r="S11" s="137">
        <f t="shared" si="2"/>
        <v>0.468</v>
      </c>
      <c r="T11" s="137">
        <f t="shared" si="3"/>
        <v>0.832</v>
      </c>
      <c r="U11" s="137">
        <f t="shared" si="4"/>
        <v>1.144</v>
      </c>
      <c r="V11" s="137">
        <f t="shared" si="5"/>
        <v>1.352</v>
      </c>
      <c r="W11" s="137">
        <f t="shared" si="6"/>
        <v>1.664</v>
      </c>
      <c r="X11" s="137">
        <f t="shared" si="7"/>
        <v>1.768</v>
      </c>
      <c r="Y11" s="137">
        <f t="shared" si="8"/>
        <v>2.08</v>
      </c>
      <c r="Z11" s="137">
        <f t="shared" si="9"/>
        <v>2.184</v>
      </c>
      <c r="AA11" s="137">
        <f t="shared" si="10"/>
        <v>6.24</v>
      </c>
      <c r="AB11" s="137">
        <f t="shared" si="11"/>
        <v>6.76</v>
      </c>
      <c r="AC11" s="137">
        <f t="shared" si="12"/>
        <v>9.88</v>
      </c>
      <c r="AD11" s="138">
        <f t="shared" ref="AD11:AN11" si="18">IFERROR((($B$6/1000)/($Q$6*D11)),0)</f>
        <v>0.02222222222</v>
      </c>
      <c r="AE11" s="138">
        <f t="shared" si="18"/>
        <v>0.0125</v>
      </c>
      <c r="AF11" s="138">
        <f t="shared" si="18"/>
        <v>0.009090909091</v>
      </c>
      <c r="AG11" s="138">
        <f t="shared" si="18"/>
        <v>0.007692307692</v>
      </c>
      <c r="AH11" s="138">
        <f t="shared" si="18"/>
        <v>0.00625</v>
      </c>
      <c r="AI11" s="138">
        <f t="shared" si="18"/>
        <v>0.005882352941</v>
      </c>
      <c r="AJ11" s="138">
        <f t="shared" si="18"/>
        <v>0.005</v>
      </c>
      <c r="AK11" s="138">
        <f t="shared" si="18"/>
        <v>0.004761904762</v>
      </c>
      <c r="AL11" s="138">
        <f t="shared" si="18"/>
        <v>0.001666666667</v>
      </c>
      <c r="AM11" s="138">
        <f t="shared" si="18"/>
        <v>0.001538461538</v>
      </c>
      <c r="AN11" s="138">
        <f t="shared" si="18"/>
        <v>0.001052631579</v>
      </c>
    </row>
    <row r="12">
      <c r="A12" s="139" t="s">
        <v>298</v>
      </c>
      <c r="B12" s="135">
        <v>8.0</v>
      </c>
      <c r="C12" s="140">
        <f t="shared" si="14"/>
        <v>1.156530383</v>
      </c>
      <c r="D12" s="108"/>
      <c r="E12" s="141">
        <v>1.2</v>
      </c>
      <c r="F12" s="108">
        <v>1.4</v>
      </c>
      <c r="G12" s="108">
        <v>1.8</v>
      </c>
      <c r="H12" s="108">
        <v>2.6</v>
      </c>
      <c r="I12" s="108">
        <v>3.0</v>
      </c>
      <c r="J12" s="108">
        <v>3.2</v>
      </c>
      <c r="K12" s="108">
        <v>3.5</v>
      </c>
      <c r="L12" s="108">
        <v>8.0</v>
      </c>
      <c r="M12" s="108">
        <v>10.0</v>
      </c>
      <c r="N12" s="108">
        <v>12.0</v>
      </c>
      <c r="O12" s="69">
        <v>0.7</v>
      </c>
      <c r="P12" s="69">
        <v>0.15</v>
      </c>
      <c r="Q12" s="69">
        <v>0.15</v>
      </c>
      <c r="R12" s="1">
        <v>0.8</v>
      </c>
      <c r="S12" s="137">
        <f t="shared" si="2"/>
        <v>0</v>
      </c>
      <c r="T12" s="137">
        <f t="shared" si="3"/>
        <v>0.672</v>
      </c>
      <c r="U12" s="137">
        <f t="shared" si="4"/>
        <v>0.784</v>
      </c>
      <c r="V12" s="137">
        <f t="shared" si="5"/>
        <v>1.008</v>
      </c>
      <c r="W12" s="137">
        <f t="shared" si="6"/>
        <v>1.456</v>
      </c>
      <c r="X12" s="137">
        <f t="shared" si="7"/>
        <v>1.68</v>
      </c>
      <c r="Y12" s="137">
        <f t="shared" si="8"/>
        <v>1.792</v>
      </c>
      <c r="Z12" s="137">
        <f t="shared" si="9"/>
        <v>1.96</v>
      </c>
      <c r="AA12" s="137">
        <f t="shared" si="10"/>
        <v>4.48</v>
      </c>
      <c r="AB12" s="137">
        <f t="shared" si="11"/>
        <v>5.6</v>
      </c>
      <c r="AC12" s="137">
        <f t="shared" si="12"/>
        <v>6.72</v>
      </c>
      <c r="AD12" s="138">
        <f t="shared" ref="AD12:AN12" si="19">IFERROR((($B$6/1000)/($Q$6*D12)),0)</f>
        <v>0</v>
      </c>
      <c r="AE12" s="138">
        <f t="shared" si="19"/>
        <v>0.01666666667</v>
      </c>
      <c r="AF12" s="138">
        <f t="shared" si="19"/>
        <v>0.01428571429</v>
      </c>
      <c r="AG12" s="138">
        <f t="shared" si="19"/>
        <v>0.01111111111</v>
      </c>
      <c r="AH12" s="138">
        <f t="shared" si="19"/>
        <v>0.007692307692</v>
      </c>
      <c r="AI12" s="138">
        <f t="shared" si="19"/>
        <v>0.006666666667</v>
      </c>
      <c r="AJ12" s="138">
        <f t="shared" si="19"/>
        <v>0.00625</v>
      </c>
      <c r="AK12" s="138">
        <f t="shared" si="19"/>
        <v>0.005714285714</v>
      </c>
      <c r="AL12" s="138">
        <f t="shared" si="19"/>
        <v>0.0025</v>
      </c>
      <c r="AM12" s="138">
        <f t="shared" si="19"/>
        <v>0.002</v>
      </c>
      <c r="AN12" s="138">
        <f t="shared" si="19"/>
        <v>0.001666666667</v>
      </c>
    </row>
    <row r="13">
      <c r="A13" s="139" t="s">
        <v>298</v>
      </c>
      <c r="B13" s="135">
        <v>10.0</v>
      </c>
      <c r="C13" s="140">
        <f t="shared" si="14"/>
        <v>1.33000994</v>
      </c>
      <c r="D13" s="108"/>
      <c r="E13" s="108">
        <v>1.0</v>
      </c>
      <c r="F13" s="108">
        <v>1.1</v>
      </c>
      <c r="G13" s="108">
        <v>1.3</v>
      </c>
      <c r="H13" s="108">
        <v>2.0</v>
      </c>
      <c r="I13" s="108">
        <v>2.0</v>
      </c>
      <c r="J13" s="108">
        <v>2.5</v>
      </c>
      <c r="K13" s="108">
        <v>2.7</v>
      </c>
      <c r="L13" s="108">
        <v>2.7</v>
      </c>
      <c r="M13" s="108">
        <v>2.7</v>
      </c>
      <c r="N13" s="108">
        <v>2.3</v>
      </c>
      <c r="O13" s="69">
        <v>0.7</v>
      </c>
      <c r="P13" s="69">
        <v>0.1</v>
      </c>
      <c r="Q13" s="69">
        <v>0.2</v>
      </c>
      <c r="R13" s="1">
        <v>0.8</v>
      </c>
      <c r="S13" s="137">
        <f t="shared" si="2"/>
        <v>0</v>
      </c>
      <c r="T13" s="137">
        <f t="shared" si="3"/>
        <v>0.56</v>
      </c>
      <c r="U13" s="137">
        <f t="shared" si="4"/>
        <v>0.616</v>
      </c>
      <c r="V13" s="137">
        <f t="shared" si="5"/>
        <v>0.728</v>
      </c>
      <c r="W13" s="137">
        <f t="shared" si="6"/>
        <v>1.12</v>
      </c>
      <c r="X13" s="137">
        <f t="shared" si="7"/>
        <v>1.12</v>
      </c>
      <c r="Y13" s="137">
        <f t="shared" si="8"/>
        <v>1.4</v>
      </c>
      <c r="Z13" s="137">
        <f t="shared" si="9"/>
        <v>1.512</v>
      </c>
      <c r="AA13" s="137">
        <f t="shared" si="10"/>
        <v>1.512</v>
      </c>
      <c r="AB13" s="137">
        <f t="shared" si="11"/>
        <v>1.512</v>
      </c>
      <c r="AC13" s="137">
        <f t="shared" si="12"/>
        <v>1.288</v>
      </c>
      <c r="AD13" s="138">
        <f t="shared" ref="AD13:AN13" si="20">IFERROR((($B$6/1000)/($Q$6*D13)),0)</f>
        <v>0</v>
      </c>
      <c r="AE13" s="138">
        <f t="shared" si="20"/>
        <v>0.02</v>
      </c>
      <c r="AF13" s="138">
        <f t="shared" si="20"/>
        <v>0.01818181818</v>
      </c>
      <c r="AG13" s="138">
        <f t="shared" si="20"/>
        <v>0.01538461538</v>
      </c>
      <c r="AH13" s="138">
        <f t="shared" si="20"/>
        <v>0.01</v>
      </c>
      <c r="AI13" s="138">
        <f t="shared" si="20"/>
        <v>0.01</v>
      </c>
      <c r="AJ13" s="138">
        <f t="shared" si="20"/>
        <v>0.008</v>
      </c>
      <c r="AK13" s="138">
        <f t="shared" si="20"/>
        <v>0.007407407407</v>
      </c>
      <c r="AL13" s="138">
        <f t="shared" si="20"/>
        <v>0.007407407407</v>
      </c>
      <c r="AM13" s="138">
        <f t="shared" si="20"/>
        <v>0.007407407407</v>
      </c>
      <c r="AN13" s="138">
        <f t="shared" si="20"/>
        <v>0.008695652174</v>
      </c>
    </row>
    <row r="14">
      <c r="A14" s="139" t="s">
        <v>298</v>
      </c>
      <c r="B14" s="135">
        <v>12.0</v>
      </c>
      <c r="C14" s="140">
        <f t="shared" si="14"/>
        <v>1.529511431</v>
      </c>
      <c r="D14" s="108"/>
      <c r="E14" s="108">
        <v>0.8</v>
      </c>
      <c r="F14" s="108">
        <v>1.0</v>
      </c>
      <c r="G14" s="108">
        <v>1.2</v>
      </c>
      <c r="H14" s="108">
        <v>1.6</v>
      </c>
      <c r="I14" s="108">
        <v>1.8</v>
      </c>
      <c r="J14" s="108">
        <v>2.0</v>
      </c>
      <c r="K14" s="108">
        <v>2.1</v>
      </c>
      <c r="L14" s="108">
        <v>2.1</v>
      </c>
      <c r="M14" s="108">
        <v>2.1</v>
      </c>
      <c r="N14" s="108">
        <v>2.0</v>
      </c>
      <c r="O14" s="69">
        <v>0.7</v>
      </c>
      <c r="P14" s="69">
        <v>0.1</v>
      </c>
      <c r="Q14" s="69">
        <v>0.2</v>
      </c>
      <c r="R14" s="1">
        <v>0.9</v>
      </c>
      <c r="S14" s="137">
        <f t="shared" si="2"/>
        <v>0</v>
      </c>
      <c r="T14" s="137">
        <f t="shared" si="3"/>
        <v>0.504</v>
      </c>
      <c r="U14" s="137">
        <f t="shared" si="4"/>
        <v>0.63</v>
      </c>
      <c r="V14" s="137">
        <f t="shared" si="5"/>
        <v>0.756</v>
      </c>
      <c r="W14" s="137">
        <f t="shared" si="6"/>
        <v>1.008</v>
      </c>
      <c r="X14" s="137">
        <f t="shared" si="7"/>
        <v>1.134</v>
      </c>
      <c r="Y14" s="137">
        <f t="shared" si="8"/>
        <v>1.26</v>
      </c>
      <c r="Z14" s="137">
        <f t="shared" si="9"/>
        <v>1.323</v>
      </c>
      <c r="AA14" s="137">
        <f t="shared" si="10"/>
        <v>1.323</v>
      </c>
      <c r="AB14" s="137">
        <f t="shared" si="11"/>
        <v>1.323</v>
      </c>
      <c r="AC14" s="137">
        <f t="shared" si="12"/>
        <v>1.26</v>
      </c>
      <c r="AD14" s="138">
        <f t="shared" ref="AD14:AN14" si="21">IFERROR((($B$6/1000)/($Q$6*D14)),0)</f>
        <v>0</v>
      </c>
      <c r="AE14" s="138">
        <f t="shared" si="21"/>
        <v>0.025</v>
      </c>
      <c r="AF14" s="138">
        <f t="shared" si="21"/>
        <v>0.02</v>
      </c>
      <c r="AG14" s="138">
        <f t="shared" si="21"/>
        <v>0.01666666667</v>
      </c>
      <c r="AH14" s="138">
        <f t="shared" si="21"/>
        <v>0.0125</v>
      </c>
      <c r="AI14" s="138">
        <f t="shared" si="21"/>
        <v>0.01111111111</v>
      </c>
      <c r="AJ14" s="138">
        <f t="shared" si="21"/>
        <v>0.01</v>
      </c>
      <c r="AK14" s="138">
        <f t="shared" si="21"/>
        <v>0.009523809524</v>
      </c>
      <c r="AL14" s="138">
        <f t="shared" si="21"/>
        <v>0.009523809524</v>
      </c>
      <c r="AM14" s="138">
        <f t="shared" si="21"/>
        <v>0.009523809524</v>
      </c>
      <c r="AN14" s="138">
        <f t="shared" si="21"/>
        <v>0.01</v>
      </c>
    </row>
    <row r="15">
      <c r="A15" s="139" t="s">
        <v>298</v>
      </c>
      <c r="B15" s="135">
        <v>14.0</v>
      </c>
      <c r="C15" s="140">
        <f t="shared" si="14"/>
        <v>1.758938146</v>
      </c>
      <c r="D15" s="108"/>
      <c r="E15" s="108"/>
      <c r="F15" s="108">
        <v>0.7</v>
      </c>
      <c r="G15" s="108">
        <v>0.8</v>
      </c>
      <c r="H15" s="108">
        <v>1.4</v>
      </c>
      <c r="I15" s="108">
        <v>1.2</v>
      </c>
      <c r="J15" s="108">
        <v>1.8</v>
      </c>
      <c r="K15" s="108">
        <v>1.9</v>
      </c>
      <c r="L15" s="108">
        <v>1.9</v>
      </c>
      <c r="M15" s="108">
        <v>1.9</v>
      </c>
      <c r="N15" s="108">
        <v>1.8</v>
      </c>
      <c r="O15" s="69">
        <v>0.7</v>
      </c>
      <c r="P15" s="69">
        <v>0.1</v>
      </c>
      <c r="Q15" s="69">
        <v>0.2</v>
      </c>
      <c r="R15" s="1">
        <v>0.9</v>
      </c>
      <c r="S15" s="137">
        <f t="shared" si="2"/>
        <v>0</v>
      </c>
      <c r="T15" s="137">
        <f t="shared" si="3"/>
        <v>0</v>
      </c>
      <c r="U15" s="137">
        <f t="shared" si="4"/>
        <v>0.441</v>
      </c>
      <c r="V15" s="137">
        <f t="shared" si="5"/>
        <v>0.504</v>
      </c>
      <c r="W15" s="137">
        <f t="shared" si="6"/>
        <v>0.882</v>
      </c>
      <c r="X15" s="137">
        <f t="shared" si="7"/>
        <v>0.756</v>
      </c>
      <c r="Y15" s="137">
        <f t="shared" si="8"/>
        <v>1.134</v>
      </c>
      <c r="Z15" s="137">
        <f t="shared" si="9"/>
        <v>1.197</v>
      </c>
      <c r="AA15" s="137">
        <f t="shared" si="10"/>
        <v>1.197</v>
      </c>
      <c r="AB15" s="137">
        <f t="shared" si="11"/>
        <v>1.197</v>
      </c>
      <c r="AC15" s="137">
        <f t="shared" si="12"/>
        <v>1.134</v>
      </c>
      <c r="AD15" s="138">
        <f t="shared" ref="AD15:AN15" si="22">IFERROR((($B$6/1000)/($Q$6*D15)),0)</f>
        <v>0</v>
      </c>
      <c r="AE15" s="138">
        <f t="shared" si="22"/>
        <v>0</v>
      </c>
      <c r="AF15" s="138">
        <f t="shared" si="22"/>
        <v>0.02857142857</v>
      </c>
      <c r="AG15" s="138">
        <f t="shared" si="22"/>
        <v>0.025</v>
      </c>
      <c r="AH15" s="138">
        <f t="shared" si="22"/>
        <v>0.01428571429</v>
      </c>
      <c r="AI15" s="138">
        <f t="shared" si="22"/>
        <v>0.01666666667</v>
      </c>
      <c r="AJ15" s="138">
        <f t="shared" si="22"/>
        <v>0.01111111111</v>
      </c>
      <c r="AK15" s="138">
        <f t="shared" si="22"/>
        <v>0.01052631579</v>
      </c>
      <c r="AL15" s="138">
        <f t="shared" si="22"/>
        <v>0.01052631579</v>
      </c>
      <c r="AM15" s="138">
        <f t="shared" si="22"/>
        <v>0.01052631579</v>
      </c>
      <c r="AN15" s="138">
        <f t="shared" si="22"/>
        <v>0.01111111111</v>
      </c>
    </row>
    <row r="16" ht="14.25" customHeight="1">
      <c r="A16" s="139" t="s">
        <v>298</v>
      </c>
      <c r="B16" s="135">
        <v>16.0</v>
      </c>
      <c r="C16" s="140">
        <f t="shared" si="14"/>
        <v>2.022778868</v>
      </c>
      <c r="D16" s="108"/>
      <c r="E16" s="108"/>
      <c r="F16" s="108"/>
      <c r="G16" s="108">
        <v>0.7</v>
      </c>
      <c r="H16" s="108">
        <v>1.0</v>
      </c>
      <c r="I16" s="108">
        <v>1.0</v>
      </c>
      <c r="J16" s="108">
        <v>1.5</v>
      </c>
      <c r="K16" s="108">
        <v>1.7</v>
      </c>
      <c r="L16" s="108">
        <v>1.7</v>
      </c>
      <c r="M16" s="108">
        <v>1.7</v>
      </c>
      <c r="N16" s="108">
        <v>1.6</v>
      </c>
      <c r="O16" s="69">
        <v>0.7</v>
      </c>
      <c r="P16" s="69">
        <v>0.05</v>
      </c>
      <c r="Q16" s="69">
        <v>0.25</v>
      </c>
      <c r="R16" s="1">
        <v>0.9</v>
      </c>
      <c r="S16" s="137">
        <f t="shared" si="2"/>
        <v>0</v>
      </c>
      <c r="T16" s="137">
        <f t="shared" si="3"/>
        <v>0</v>
      </c>
      <c r="U16" s="137">
        <f t="shared" si="4"/>
        <v>0</v>
      </c>
      <c r="V16" s="137">
        <f t="shared" si="5"/>
        <v>0.441</v>
      </c>
      <c r="W16" s="137">
        <f t="shared" si="6"/>
        <v>0.63</v>
      </c>
      <c r="X16" s="137">
        <f t="shared" si="7"/>
        <v>0.63</v>
      </c>
      <c r="Y16" s="137">
        <f t="shared" si="8"/>
        <v>0.945</v>
      </c>
      <c r="Z16" s="137">
        <f t="shared" si="9"/>
        <v>1.071</v>
      </c>
      <c r="AA16" s="137">
        <f t="shared" si="10"/>
        <v>1.071</v>
      </c>
      <c r="AB16" s="137">
        <f t="shared" si="11"/>
        <v>1.071</v>
      </c>
      <c r="AC16" s="137">
        <f t="shared" si="12"/>
        <v>1.008</v>
      </c>
      <c r="AD16" s="138">
        <f t="shared" ref="AD16:AN16" si="23">IFERROR((($B$6/1000)/($Q$6*D16)),0)</f>
        <v>0</v>
      </c>
      <c r="AE16" s="138">
        <f t="shared" si="23"/>
        <v>0</v>
      </c>
      <c r="AF16" s="138">
        <f t="shared" si="23"/>
        <v>0</v>
      </c>
      <c r="AG16" s="138">
        <f t="shared" si="23"/>
        <v>0.02857142857</v>
      </c>
      <c r="AH16" s="138">
        <f t="shared" si="23"/>
        <v>0.02</v>
      </c>
      <c r="AI16" s="138">
        <f t="shared" si="23"/>
        <v>0.02</v>
      </c>
      <c r="AJ16" s="138">
        <f t="shared" si="23"/>
        <v>0.01333333333</v>
      </c>
      <c r="AK16" s="138">
        <f t="shared" si="23"/>
        <v>0.01176470588</v>
      </c>
      <c r="AL16" s="138">
        <f t="shared" si="23"/>
        <v>0.01176470588</v>
      </c>
      <c r="AM16" s="138">
        <f t="shared" si="23"/>
        <v>0.01176470588</v>
      </c>
      <c r="AN16" s="138">
        <f t="shared" si="23"/>
        <v>0.0125</v>
      </c>
    </row>
    <row r="17" ht="14.25" customHeight="1">
      <c r="A17" s="139" t="s">
        <v>298</v>
      </c>
      <c r="B17" s="135">
        <v>18.0</v>
      </c>
      <c r="C17" s="140">
        <f t="shared" si="14"/>
        <v>2.326195698</v>
      </c>
      <c r="D17" s="108"/>
      <c r="E17" s="108"/>
      <c r="F17" s="108"/>
      <c r="G17" s="108">
        <v>0.6</v>
      </c>
      <c r="H17" s="108">
        <v>0.8</v>
      </c>
      <c r="I17" s="108">
        <v>0.9</v>
      </c>
      <c r="J17" s="108">
        <v>0.9</v>
      </c>
      <c r="K17" s="108">
        <v>0.9</v>
      </c>
      <c r="L17" s="108">
        <v>0.9</v>
      </c>
      <c r="M17" s="108">
        <v>1.5</v>
      </c>
      <c r="N17" s="108">
        <v>1.5</v>
      </c>
      <c r="O17" s="69">
        <v>0.7</v>
      </c>
      <c r="P17" s="69">
        <v>0.05</v>
      </c>
      <c r="Q17" s="69">
        <v>0.25</v>
      </c>
      <c r="R17" s="1">
        <v>0.9</v>
      </c>
      <c r="S17" s="137">
        <f t="shared" si="2"/>
        <v>0</v>
      </c>
      <c r="T17" s="137">
        <f t="shared" si="3"/>
        <v>0</v>
      </c>
      <c r="U17" s="137">
        <f t="shared" si="4"/>
        <v>0</v>
      </c>
      <c r="V17" s="137">
        <f t="shared" si="5"/>
        <v>0.378</v>
      </c>
      <c r="W17" s="137">
        <f t="shared" si="6"/>
        <v>0.504</v>
      </c>
      <c r="X17" s="137">
        <f t="shared" si="7"/>
        <v>0.567</v>
      </c>
      <c r="Y17" s="137">
        <f t="shared" si="8"/>
        <v>0.567</v>
      </c>
      <c r="Z17" s="137">
        <f t="shared" si="9"/>
        <v>0.567</v>
      </c>
      <c r="AA17" s="137">
        <f t="shared" si="10"/>
        <v>0.567</v>
      </c>
      <c r="AB17" s="137">
        <f t="shared" si="11"/>
        <v>0.945</v>
      </c>
      <c r="AC17" s="137">
        <f t="shared" si="12"/>
        <v>0.945</v>
      </c>
      <c r="AD17" s="138">
        <f t="shared" ref="AD17:AN17" si="24">IFERROR((($B$6/1000)/($Q$6*D17)),0)</f>
        <v>0</v>
      </c>
      <c r="AE17" s="138">
        <f t="shared" si="24"/>
        <v>0</v>
      </c>
      <c r="AF17" s="138">
        <f t="shared" si="24"/>
        <v>0</v>
      </c>
      <c r="AG17" s="138">
        <f t="shared" si="24"/>
        <v>0.03333333333</v>
      </c>
      <c r="AH17" s="138">
        <f t="shared" si="24"/>
        <v>0.025</v>
      </c>
      <c r="AI17" s="138">
        <f t="shared" si="24"/>
        <v>0.02222222222</v>
      </c>
      <c r="AJ17" s="138">
        <f t="shared" si="24"/>
        <v>0.02222222222</v>
      </c>
      <c r="AK17" s="138">
        <f t="shared" si="24"/>
        <v>0.02222222222</v>
      </c>
      <c r="AL17" s="138">
        <f t="shared" si="24"/>
        <v>0.02222222222</v>
      </c>
      <c r="AM17" s="138">
        <f t="shared" si="24"/>
        <v>0.01333333333</v>
      </c>
      <c r="AN17" s="138">
        <f t="shared" si="24"/>
        <v>0.01333333333</v>
      </c>
    </row>
    <row r="18">
      <c r="A18" s="139" t="s">
        <v>298</v>
      </c>
      <c r="B18" s="135">
        <v>20.0</v>
      </c>
      <c r="C18" s="140">
        <f t="shared" si="14"/>
        <v>2.675125053</v>
      </c>
      <c r="D18" s="108"/>
      <c r="E18" s="108"/>
      <c r="F18" s="108"/>
      <c r="G18" s="108"/>
      <c r="H18" s="108">
        <v>0.8</v>
      </c>
      <c r="I18" s="108">
        <v>0.9</v>
      </c>
      <c r="J18" s="108">
        <v>0.9</v>
      </c>
      <c r="K18" s="108">
        <v>0.9</v>
      </c>
      <c r="L18" s="108">
        <v>0.9</v>
      </c>
      <c r="M18" s="108">
        <v>1.4</v>
      </c>
      <c r="N18" s="108">
        <v>1.4</v>
      </c>
      <c r="O18" s="69">
        <v>0.7</v>
      </c>
      <c r="P18" s="69">
        <v>0.05</v>
      </c>
      <c r="Q18" s="69">
        <v>0.25</v>
      </c>
      <c r="R18" s="1">
        <v>0.9</v>
      </c>
      <c r="S18" s="137">
        <f t="shared" si="2"/>
        <v>0</v>
      </c>
      <c r="T18" s="137">
        <f t="shared" si="3"/>
        <v>0</v>
      </c>
      <c r="U18" s="137">
        <f t="shared" si="4"/>
        <v>0</v>
      </c>
      <c r="V18" s="137">
        <f t="shared" si="5"/>
        <v>0</v>
      </c>
      <c r="W18" s="137">
        <f t="shared" si="6"/>
        <v>0.504</v>
      </c>
      <c r="X18" s="137">
        <f t="shared" si="7"/>
        <v>0.567</v>
      </c>
      <c r="Y18" s="137">
        <f t="shared" si="8"/>
        <v>0.567</v>
      </c>
      <c r="Z18" s="137">
        <f t="shared" si="9"/>
        <v>0.567</v>
      </c>
      <c r="AA18" s="137">
        <f t="shared" si="10"/>
        <v>0.567</v>
      </c>
      <c r="AB18" s="137">
        <f t="shared" si="11"/>
        <v>0.882</v>
      </c>
      <c r="AC18" s="137">
        <f t="shared" si="12"/>
        <v>0.882</v>
      </c>
      <c r="AD18" s="138">
        <f t="shared" ref="AD18:AN18" si="25">IFERROR((($B$6/1000)/($Q$6*D18)),0)</f>
        <v>0</v>
      </c>
      <c r="AE18" s="138">
        <f t="shared" si="25"/>
        <v>0</v>
      </c>
      <c r="AF18" s="138">
        <f t="shared" si="25"/>
        <v>0</v>
      </c>
      <c r="AG18" s="138">
        <f t="shared" si="25"/>
        <v>0</v>
      </c>
      <c r="AH18" s="138">
        <f t="shared" si="25"/>
        <v>0.025</v>
      </c>
      <c r="AI18" s="138">
        <f t="shared" si="25"/>
        <v>0.02222222222</v>
      </c>
      <c r="AJ18" s="138">
        <f t="shared" si="25"/>
        <v>0.02222222222</v>
      </c>
      <c r="AK18" s="138">
        <f t="shared" si="25"/>
        <v>0.02222222222</v>
      </c>
      <c r="AL18" s="138">
        <f t="shared" si="25"/>
        <v>0.02222222222</v>
      </c>
      <c r="AM18" s="138">
        <f t="shared" si="25"/>
        <v>0.01428571429</v>
      </c>
      <c r="AN18" s="138">
        <f t="shared" si="25"/>
        <v>0.01428571429</v>
      </c>
    </row>
    <row r="19">
      <c r="A19" s="139" t="s">
        <v>298</v>
      </c>
      <c r="B19" s="135">
        <v>22.0</v>
      </c>
      <c r="C19" s="140">
        <f t="shared" si="14"/>
        <v>3.076393811</v>
      </c>
      <c r="D19" s="108"/>
      <c r="E19" s="108"/>
      <c r="F19" s="108"/>
      <c r="G19" s="108"/>
      <c r="H19" s="108">
        <v>0.6</v>
      </c>
      <c r="I19" s="108">
        <v>0.8</v>
      </c>
      <c r="J19" s="108">
        <v>0.8</v>
      </c>
      <c r="K19" s="108">
        <v>0.8</v>
      </c>
      <c r="L19" s="108">
        <v>0.8</v>
      </c>
      <c r="M19" s="108">
        <v>1.2</v>
      </c>
      <c r="N19" s="108">
        <v>1.3</v>
      </c>
      <c r="O19" s="69">
        <v>0.7</v>
      </c>
      <c r="P19" s="69">
        <v>0.05</v>
      </c>
      <c r="Q19" s="69">
        <v>0.25</v>
      </c>
      <c r="R19" s="1">
        <v>0.9</v>
      </c>
      <c r="S19" s="137">
        <f t="shared" si="2"/>
        <v>0</v>
      </c>
      <c r="T19" s="137">
        <f t="shared" si="3"/>
        <v>0</v>
      </c>
      <c r="U19" s="137">
        <f t="shared" si="4"/>
        <v>0</v>
      </c>
      <c r="V19" s="137">
        <f t="shared" si="5"/>
        <v>0</v>
      </c>
      <c r="W19" s="137">
        <f t="shared" si="6"/>
        <v>0.378</v>
      </c>
      <c r="X19" s="137">
        <f t="shared" si="7"/>
        <v>0.504</v>
      </c>
      <c r="Y19" s="137">
        <f t="shared" si="8"/>
        <v>0.504</v>
      </c>
      <c r="Z19" s="137">
        <f t="shared" si="9"/>
        <v>0.504</v>
      </c>
      <c r="AA19" s="137">
        <f t="shared" si="10"/>
        <v>0.504</v>
      </c>
      <c r="AB19" s="137">
        <f t="shared" si="11"/>
        <v>0.756</v>
      </c>
      <c r="AC19" s="137">
        <f t="shared" si="12"/>
        <v>0.819</v>
      </c>
      <c r="AD19" s="138">
        <f t="shared" ref="AD19:AN19" si="26">IFERROR((($B$6/1000)/($Q$6*D19)),0)</f>
        <v>0</v>
      </c>
      <c r="AE19" s="138">
        <f t="shared" si="26"/>
        <v>0</v>
      </c>
      <c r="AF19" s="138">
        <f t="shared" si="26"/>
        <v>0</v>
      </c>
      <c r="AG19" s="138">
        <f t="shared" si="26"/>
        <v>0</v>
      </c>
      <c r="AH19" s="138">
        <f t="shared" si="26"/>
        <v>0.03333333333</v>
      </c>
      <c r="AI19" s="138">
        <f t="shared" si="26"/>
        <v>0.025</v>
      </c>
      <c r="AJ19" s="138">
        <f t="shared" si="26"/>
        <v>0.025</v>
      </c>
      <c r="AK19" s="138">
        <f t="shared" si="26"/>
        <v>0.025</v>
      </c>
      <c r="AL19" s="138">
        <f t="shared" si="26"/>
        <v>0.025</v>
      </c>
      <c r="AM19" s="138">
        <f t="shared" si="26"/>
        <v>0.01666666667</v>
      </c>
      <c r="AN19" s="138">
        <f t="shared" si="26"/>
        <v>0.01538461538</v>
      </c>
    </row>
    <row r="20">
      <c r="A20" s="139" t="s">
        <v>298</v>
      </c>
      <c r="B20" s="135">
        <v>25.0</v>
      </c>
      <c r="C20" s="140">
        <f t="shared" si="14"/>
        <v>3.537852882</v>
      </c>
      <c r="D20" s="137"/>
      <c r="E20" s="137"/>
      <c r="F20" s="137"/>
      <c r="G20" s="137"/>
      <c r="H20" s="137"/>
      <c r="I20" s="137">
        <v>0.5</v>
      </c>
      <c r="J20" s="137">
        <v>0.5</v>
      </c>
      <c r="K20" s="137">
        <v>0.7</v>
      </c>
      <c r="L20" s="137">
        <v>0.7</v>
      </c>
      <c r="M20" s="137">
        <v>1.0</v>
      </c>
      <c r="N20" s="137">
        <v>1.3</v>
      </c>
      <c r="O20" s="142">
        <v>0.7</v>
      </c>
      <c r="P20" s="142">
        <v>0.05</v>
      </c>
      <c r="Q20" s="142">
        <v>0.25</v>
      </c>
      <c r="R20" s="135">
        <v>0.9</v>
      </c>
      <c r="S20" s="137">
        <f t="shared" si="2"/>
        <v>0</v>
      </c>
      <c r="T20" s="137">
        <f t="shared" si="3"/>
        <v>0</v>
      </c>
      <c r="U20" s="137">
        <f t="shared" si="4"/>
        <v>0</v>
      </c>
      <c r="V20" s="137">
        <f t="shared" si="5"/>
        <v>0</v>
      </c>
      <c r="W20" s="137">
        <f t="shared" si="6"/>
        <v>0</v>
      </c>
      <c r="X20" s="137">
        <f t="shared" si="7"/>
        <v>0.315</v>
      </c>
      <c r="Y20" s="137">
        <f t="shared" si="8"/>
        <v>0.315</v>
      </c>
      <c r="Z20" s="137">
        <f t="shared" si="9"/>
        <v>0.441</v>
      </c>
      <c r="AA20" s="137">
        <f t="shared" si="10"/>
        <v>0.441</v>
      </c>
      <c r="AB20" s="137">
        <f t="shared" si="11"/>
        <v>0.63</v>
      </c>
      <c r="AC20" s="137">
        <f t="shared" si="12"/>
        <v>0.819</v>
      </c>
      <c r="AD20" s="138">
        <f t="shared" ref="AD20:AN20" si="27">IFERROR((($B$6/1000)/($Q$6*D20)),0)</f>
        <v>0</v>
      </c>
      <c r="AE20" s="138">
        <f t="shared" si="27"/>
        <v>0</v>
      </c>
      <c r="AF20" s="138">
        <f t="shared" si="27"/>
        <v>0</v>
      </c>
      <c r="AG20" s="138">
        <f t="shared" si="27"/>
        <v>0</v>
      </c>
      <c r="AH20" s="138">
        <f t="shared" si="27"/>
        <v>0</v>
      </c>
      <c r="AI20" s="138">
        <f t="shared" si="27"/>
        <v>0.04</v>
      </c>
      <c r="AJ20" s="138">
        <f t="shared" si="27"/>
        <v>0.04</v>
      </c>
      <c r="AK20" s="138">
        <f t="shared" si="27"/>
        <v>0.02857142857</v>
      </c>
      <c r="AL20" s="138">
        <f t="shared" si="27"/>
        <v>0.02857142857</v>
      </c>
      <c r="AM20" s="138">
        <f t="shared" si="27"/>
        <v>0.02</v>
      </c>
      <c r="AN20" s="138">
        <f t="shared" si="27"/>
        <v>0.01538461538</v>
      </c>
    </row>
    <row r="21" ht="15.75" customHeight="1">
      <c r="A21" s="139" t="s">
        <v>298</v>
      </c>
      <c r="B21" s="135">
        <v>30.0</v>
      </c>
      <c r="C21" s="140">
        <f t="shared" si="14"/>
        <v>4.068530815</v>
      </c>
      <c r="D21" s="137"/>
      <c r="E21" s="137"/>
      <c r="F21" s="137"/>
      <c r="G21" s="137"/>
      <c r="H21" s="137"/>
      <c r="I21" s="137"/>
      <c r="J21" s="137"/>
      <c r="K21" s="137"/>
      <c r="L21" s="137">
        <v>0.35</v>
      </c>
      <c r="M21" s="137">
        <v>0.8</v>
      </c>
      <c r="N21" s="137">
        <v>0.85</v>
      </c>
      <c r="O21" s="142">
        <v>0.7</v>
      </c>
      <c r="P21" s="142">
        <v>0.05</v>
      </c>
      <c r="Q21" s="142">
        <v>0.25</v>
      </c>
      <c r="R21" s="135">
        <v>0.9</v>
      </c>
      <c r="S21" s="137">
        <f t="shared" si="2"/>
        <v>0</v>
      </c>
      <c r="T21" s="137">
        <f t="shared" si="3"/>
        <v>0</v>
      </c>
      <c r="U21" s="137">
        <f t="shared" si="4"/>
        <v>0</v>
      </c>
      <c r="V21" s="137">
        <f t="shared" si="5"/>
        <v>0</v>
      </c>
      <c r="W21" s="137">
        <f t="shared" si="6"/>
        <v>0</v>
      </c>
      <c r="X21" s="137">
        <f t="shared" si="7"/>
        <v>0</v>
      </c>
      <c r="Y21" s="137">
        <f t="shared" si="8"/>
        <v>0</v>
      </c>
      <c r="Z21" s="137">
        <f t="shared" si="9"/>
        <v>0</v>
      </c>
      <c r="AA21" s="137">
        <f t="shared" si="10"/>
        <v>0.2205</v>
      </c>
      <c r="AB21" s="137">
        <f t="shared" si="11"/>
        <v>0.504</v>
      </c>
      <c r="AC21" s="137">
        <f t="shared" si="12"/>
        <v>0.5355</v>
      </c>
      <c r="AD21" s="138">
        <f t="shared" ref="AD21:AN21" si="28">IFERROR((($B$6/1000)/($Q$6*D21)),0)</f>
        <v>0</v>
      </c>
      <c r="AE21" s="138">
        <f t="shared" si="28"/>
        <v>0</v>
      </c>
      <c r="AF21" s="138">
        <f t="shared" si="28"/>
        <v>0</v>
      </c>
      <c r="AG21" s="138">
        <f t="shared" si="28"/>
        <v>0</v>
      </c>
      <c r="AH21" s="138">
        <f t="shared" si="28"/>
        <v>0</v>
      </c>
      <c r="AI21" s="138">
        <f t="shared" si="28"/>
        <v>0</v>
      </c>
      <c r="AJ21" s="138">
        <f t="shared" si="28"/>
        <v>0</v>
      </c>
      <c r="AK21" s="138">
        <f t="shared" si="28"/>
        <v>0</v>
      </c>
      <c r="AL21" s="138">
        <f t="shared" si="28"/>
        <v>0.05714285714</v>
      </c>
      <c r="AM21" s="138">
        <f t="shared" si="28"/>
        <v>0.025</v>
      </c>
      <c r="AN21" s="138">
        <f t="shared" si="28"/>
        <v>0.02352941176</v>
      </c>
    </row>
    <row r="22" ht="15.75" customHeight="1">
      <c r="A22" s="139" t="s">
        <v>298</v>
      </c>
      <c r="B22" s="135">
        <v>40.0</v>
      </c>
      <c r="C22" s="140">
        <f t="shared" si="14"/>
        <v>4.678810437</v>
      </c>
      <c r="D22" s="137"/>
      <c r="E22" s="137"/>
      <c r="F22" s="137"/>
      <c r="G22" s="137"/>
      <c r="H22" s="137"/>
      <c r="I22" s="137"/>
      <c r="J22" s="137"/>
      <c r="K22" s="137"/>
      <c r="L22" s="137">
        <v>0.2</v>
      </c>
      <c r="M22" s="137">
        <v>0.3</v>
      </c>
      <c r="N22" s="137">
        <v>0.35</v>
      </c>
      <c r="O22" s="142">
        <v>0.7</v>
      </c>
      <c r="P22" s="142">
        <v>0.05</v>
      </c>
      <c r="Q22" s="142">
        <v>0.25</v>
      </c>
      <c r="R22" s="135">
        <v>0.9</v>
      </c>
      <c r="S22" s="137">
        <f t="shared" si="2"/>
        <v>0</v>
      </c>
      <c r="T22" s="137">
        <f t="shared" si="3"/>
        <v>0</v>
      </c>
      <c r="U22" s="137">
        <f t="shared" si="4"/>
        <v>0</v>
      </c>
      <c r="V22" s="137">
        <f t="shared" si="5"/>
        <v>0</v>
      </c>
      <c r="W22" s="137">
        <f t="shared" si="6"/>
        <v>0</v>
      </c>
      <c r="X22" s="137">
        <f t="shared" si="7"/>
        <v>0</v>
      </c>
      <c r="Y22" s="137">
        <f t="shared" si="8"/>
        <v>0</v>
      </c>
      <c r="Z22" s="137">
        <f t="shared" si="9"/>
        <v>0</v>
      </c>
      <c r="AA22" s="137">
        <f t="shared" si="10"/>
        <v>0.126</v>
      </c>
      <c r="AB22" s="137">
        <f t="shared" si="11"/>
        <v>0.189</v>
      </c>
      <c r="AC22" s="137">
        <f t="shared" si="12"/>
        <v>0.2205</v>
      </c>
      <c r="AD22" s="138">
        <f t="shared" ref="AD22:AN22" si="29">IFERROR((($B$6/1000)/($Q$6*D22)),0)</f>
        <v>0</v>
      </c>
      <c r="AE22" s="138">
        <f t="shared" si="29"/>
        <v>0</v>
      </c>
      <c r="AF22" s="138">
        <f t="shared" si="29"/>
        <v>0</v>
      </c>
      <c r="AG22" s="138">
        <f t="shared" si="29"/>
        <v>0</v>
      </c>
      <c r="AH22" s="138">
        <f t="shared" si="29"/>
        <v>0</v>
      </c>
      <c r="AI22" s="138">
        <f t="shared" si="29"/>
        <v>0</v>
      </c>
      <c r="AJ22" s="138">
        <f t="shared" si="29"/>
        <v>0</v>
      </c>
      <c r="AK22" s="138">
        <f t="shared" si="29"/>
        <v>0</v>
      </c>
      <c r="AL22" s="138">
        <f t="shared" si="29"/>
        <v>0.1</v>
      </c>
      <c r="AM22" s="138">
        <f t="shared" si="29"/>
        <v>0.06666666667</v>
      </c>
      <c r="AN22" s="138">
        <f t="shared" si="29"/>
        <v>0.05714285714</v>
      </c>
    </row>
    <row r="23" ht="15.75" customHeight="1">
      <c r="A23" s="139" t="s">
        <v>298</v>
      </c>
      <c r="B23" s="135">
        <v>50.0</v>
      </c>
      <c r="C23" s="140">
        <f t="shared" si="14"/>
        <v>5.380632002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0.25</v>
      </c>
      <c r="O23" s="142">
        <v>0.7</v>
      </c>
      <c r="P23" s="142">
        <v>0.05</v>
      </c>
      <c r="Q23" s="142">
        <v>0.25</v>
      </c>
      <c r="R23" s="135">
        <v>0.9</v>
      </c>
      <c r="S23" s="137">
        <f t="shared" si="2"/>
        <v>0</v>
      </c>
      <c r="T23" s="137">
        <f t="shared" si="3"/>
        <v>0</v>
      </c>
      <c r="U23" s="137">
        <f t="shared" si="4"/>
        <v>0</v>
      </c>
      <c r="V23" s="137">
        <f t="shared" si="5"/>
        <v>0</v>
      </c>
      <c r="W23" s="137">
        <f t="shared" si="6"/>
        <v>0</v>
      </c>
      <c r="X23" s="137">
        <f t="shared" si="7"/>
        <v>0</v>
      </c>
      <c r="Y23" s="137">
        <f t="shared" si="8"/>
        <v>0</v>
      </c>
      <c r="Z23" s="137">
        <f t="shared" si="9"/>
        <v>0</v>
      </c>
      <c r="AA23" s="137">
        <f t="shared" si="10"/>
        <v>0</v>
      </c>
      <c r="AB23" s="137">
        <f t="shared" si="11"/>
        <v>0</v>
      </c>
      <c r="AC23" s="137">
        <f t="shared" si="12"/>
        <v>0.1575</v>
      </c>
      <c r="AD23" s="138">
        <f t="shared" ref="AD23:AN23" si="30">IFERROR((($B$6/1000)/($Q$6*D23)),0)</f>
        <v>0</v>
      </c>
      <c r="AE23" s="138">
        <f t="shared" si="30"/>
        <v>0</v>
      </c>
      <c r="AF23" s="138">
        <f t="shared" si="30"/>
        <v>0</v>
      </c>
      <c r="AG23" s="138">
        <f t="shared" si="30"/>
        <v>0</v>
      </c>
      <c r="AH23" s="138">
        <f t="shared" si="30"/>
        <v>0</v>
      </c>
      <c r="AI23" s="138">
        <f t="shared" si="30"/>
        <v>0</v>
      </c>
      <c r="AJ23" s="138">
        <f t="shared" si="30"/>
        <v>0</v>
      </c>
      <c r="AK23" s="138">
        <f t="shared" si="30"/>
        <v>0</v>
      </c>
      <c r="AL23" s="138">
        <f t="shared" si="30"/>
        <v>0</v>
      </c>
      <c r="AM23" s="138">
        <f t="shared" si="30"/>
        <v>0</v>
      </c>
      <c r="AN23" s="138">
        <f t="shared" si="30"/>
        <v>0.08</v>
      </c>
    </row>
    <row r="24" ht="15.75" customHeight="1">
      <c r="A24" s="139" t="s">
        <v>298</v>
      </c>
      <c r="B24" s="135">
        <v>60.0</v>
      </c>
      <c r="C24" s="140">
        <f t="shared" si="14"/>
        <v>6.187726803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>
        <v>0.2</v>
      </c>
      <c r="O24" s="142">
        <v>0.7</v>
      </c>
      <c r="P24" s="142">
        <v>0.05</v>
      </c>
      <c r="Q24" s="142">
        <v>0.25</v>
      </c>
      <c r="R24" s="135">
        <v>0.9</v>
      </c>
      <c r="S24" s="137">
        <f t="shared" si="2"/>
        <v>0</v>
      </c>
      <c r="T24" s="137">
        <f t="shared" si="3"/>
        <v>0</v>
      </c>
      <c r="U24" s="137">
        <f t="shared" si="4"/>
        <v>0</v>
      </c>
      <c r="V24" s="137">
        <f t="shared" si="5"/>
        <v>0</v>
      </c>
      <c r="W24" s="137">
        <f t="shared" si="6"/>
        <v>0</v>
      </c>
      <c r="X24" s="137">
        <f t="shared" si="7"/>
        <v>0</v>
      </c>
      <c r="Y24" s="137">
        <f t="shared" si="8"/>
        <v>0</v>
      </c>
      <c r="Z24" s="137">
        <f t="shared" si="9"/>
        <v>0</v>
      </c>
      <c r="AA24" s="137">
        <f t="shared" si="10"/>
        <v>0</v>
      </c>
      <c r="AB24" s="137">
        <f t="shared" si="11"/>
        <v>0</v>
      </c>
      <c r="AC24" s="137">
        <f t="shared" si="12"/>
        <v>0.126</v>
      </c>
      <c r="AD24" s="138">
        <f t="shared" ref="AD24:AN24" si="31">IFERROR((($B$6/1000)/($Q$6*D24)),0)</f>
        <v>0</v>
      </c>
      <c r="AE24" s="138">
        <f t="shared" si="31"/>
        <v>0</v>
      </c>
      <c r="AF24" s="138">
        <f t="shared" si="31"/>
        <v>0</v>
      </c>
      <c r="AG24" s="138">
        <f t="shared" si="31"/>
        <v>0</v>
      </c>
      <c r="AH24" s="138">
        <f t="shared" si="31"/>
        <v>0</v>
      </c>
      <c r="AI24" s="138">
        <f t="shared" si="31"/>
        <v>0</v>
      </c>
      <c r="AJ24" s="138">
        <f t="shared" si="31"/>
        <v>0</v>
      </c>
      <c r="AK24" s="138">
        <f t="shared" si="31"/>
        <v>0</v>
      </c>
      <c r="AL24" s="138">
        <f t="shared" si="31"/>
        <v>0</v>
      </c>
      <c r="AM24" s="138">
        <f t="shared" si="31"/>
        <v>0</v>
      </c>
      <c r="AN24" s="138">
        <f t="shared" si="31"/>
        <v>0.1</v>
      </c>
    </row>
    <row r="25" ht="15.75" customHeight="1">
      <c r="A25" s="139" t="s">
        <v>299</v>
      </c>
      <c r="B25" s="135">
        <v>1.0</v>
      </c>
      <c r="C25" s="135">
        <v>0.5</v>
      </c>
      <c r="D25" s="105">
        <v>13.0</v>
      </c>
      <c r="E25" s="105">
        <v>25.0</v>
      </c>
      <c r="F25" s="105">
        <v>27.0</v>
      </c>
      <c r="G25" s="105">
        <v>30.0</v>
      </c>
      <c r="H25" s="105">
        <v>35.0</v>
      </c>
      <c r="I25" s="105">
        <v>40.0</v>
      </c>
      <c r="J25" s="105">
        <v>55.0</v>
      </c>
      <c r="K25" s="105">
        <v>66.0</v>
      </c>
      <c r="L25" s="105">
        <v>75.0</v>
      </c>
      <c r="M25" s="105">
        <v>85.0</v>
      </c>
      <c r="N25" s="105">
        <v>60.0</v>
      </c>
      <c r="O25" s="136">
        <v>0.6</v>
      </c>
      <c r="P25" s="136">
        <v>0.35</v>
      </c>
      <c r="Q25" s="136">
        <v>0.05</v>
      </c>
      <c r="R25" s="1">
        <v>0.7</v>
      </c>
      <c r="S25" s="137">
        <f t="shared" si="2"/>
        <v>5.46</v>
      </c>
      <c r="T25" s="137">
        <f t="shared" si="3"/>
        <v>10.5</v>
      </c>
      <c r="U25" s="137">
        <f t="shared" si="4"/>
        <v>11.34</v>
      </c>
      <c r="V25" s="137">
        <f t="shared" si="5"/>
        <v>12.6</v>
      </c>
      <c r="W25" s="137">
        <f t="shared" si="6"/>
        <v>14.7</v>
      </c>
      <c r="X25" s="137">
        <f t="shared" si="7"/>
        <v>16.8</v>
      </c>
      <c r="Y25" s="137">
        <f t="shared" si="8"/>
        <v>23.1</v>
      </c>
      <c r="Z25" s="137">
        <f t="shared" si="9"/>
        <v>27.72</v>
      </c>
      <c r="AA25" s="137">
        <f t="shared" si="10"/>
        <v>31.5</v>
      </c>
      <c r="AB25" s="137">
        <f t="shared" si="11"/>
        <v>35.7</v>
      </c>
      <c r="AC25" s="137">
        <f t="shared" si="12"/>
        <v>25.2</v>
      </c>
      <c r="AD25" s="138">
        <f t="shared" ref="AD25:AN25" si="32">IFERROR((($B$6/1000)/($Q$6*D25)),0)</f>
        <v>0.001538461538</v>
      </c>
      <c r="AE25" s="138">
        <f t="shared" si="32"/>
        <v>0.0008</v>
      </c>
      <c r="AF25" s="138">
        <f t="shared" si="32"/>
        <v>0.0007407407407</v>
      </c>
      <c r="AG25" s="138">
        <f t="shared" si="32"/>
        <v>0.0006666666667</v>
      </c>
      <c r="AH25" s="138">
        <f t="shared" si="32"/>
        <v>0.0005714285714</v>
      </c>
      <c r="AI25" s="138">
        <f t="shared" si="32"/>
        <v>0.0005</v>
      </c>
      <c r="AJ25" s="138">
        <f t="shared" si="32"/>
        <v>0.0003636363636</v>
      </c>
      <c r="AK25" s="138">
        <f t="shared" si="32"/>
        <v>0.000303030303</v>
      </c>
      <c r="AL25" s="138">
        <f t="shared" si="32"/>
        <v>0.0002666666667</v>
      </c>
      <c r="AM25" s="138">
        <f t="shared" si="32"/>
        <v>0.0002352941176</v>
      </c>
      <c r="AN25" s="138">
        <f t="shared" si="32"/>
        <v>0.0003333333333</v>
      </c>
    </row>
    <row r="26" ht="15.75" customHeight="1">
      <c r="A26" s="139" t="s">
        <v>299</v>
      </c>
      <c r="B26" s="135">
        <v>2.0</v>
      </c>
      <c r="C26" s="140">
        <f t="shared" ref="C26:C43" si="34">C25*1.15</f>
        <v>0.575</v>
      </c>
      <c r="D26" s="108">
        <v>5.0</v>
      </c>
      <c r="E26" s="108">
        <v>12.0</v>
      </c>
      <c r="F26" s="108">
        <v>13.0</v>
      </c>
      <c r="G26" s="108">
        <v>14.0</v>
      </c>
      <c r="H26" s="108">
        <v>24.0</v>
      </c>
      <c r="I26" s="108">
        <v>28.0</v>
      </c>
      <c r="J26" s="108">
        <v>35.0</v>
      </c>
      <c r="K26" s="108">
        <v>42.0</v>
      </c>
      <c r="L26" s="108">
        <v>55.0</v>
      </c>
      <c r="M26" s="108">
        <v>66.0</v>
      </c>
      <c r="N26" s="108">
        <v>50.0</v>
      </c>
      <c r="O26" s="69">
        <v>0.65</v>
      </c>
      <c r="P26" s="69">
        <v>0.25</v>
      </c>
      <c r="Q26" s="69">
        <v>0.1</v>
      </c>
      <c r="R26" s="1">
        <v>0.7</v>
      </c>
      <c r="S26" s="137">
        <f t="shared" si="2"/>
        <v>2.275</v>
      </c>
      <c r="T26" s="137">
        <f t="shared" si="3"/>
        <v>5.46</v>
      </c>
      <c r="U26" s="137">
        <f t="shared" si="4"/>
        <v>5.915</v>
      </c>
      <c r="V26" s="137">
        <f t="shared" si="5"/>
        <v>6.37</v>
      </c>
      <c r="W26" s="137">
        <f t="shared" si="6"/>
        <v>10.92</v>
      </c>
      <c r="X26" s="137">
        <f t="shared" si="7"/>
        <v>12.74</v>
      </c>
      <c r="Y26" s="137">
        <f t="shared" si="8"/>
        <v>15.925</v>
      </c>
      <c r="Z26" s="137">
        <f t="shared" si="9"/>
        <v>19.11</v>
      </c>
      <c r="AA26" s="137">
        <f t="shared" si="10"/>
        <v>25.025</v>
      </c>
      <c r="AB26" s="137">
        <f t="shared" si="11"/>
        <v>30.03</v>
      </c>
      <c r="AC26" s="137">
        <f t="shared" si="12"/>
        <v>22.75</v>
      </c>
      <c r="AD26" s="138">
        <f t="shared" ref="AD26:AN26" si="33">IFERROR((($B$6/1000)/($Q$6*D26)),0)</f>
        <v>0.004</v>
      </c>
      <c r="AE26" s="138">
        <f t="shared" si="33"/>
        <v>0.001666666667</v>
      </c>
      <c r="AF26" s="138">
        <f t="shared" si="33"/>
        <v>0.001538461538</v>
      </c>
      <c r="AG26" s="138">
        <f t="shared" si="33"/>
        <v>0.001428571429</v>
      </c>
      <c r="AH26" s="138">
        <f t="shared" si="33"/>
        <v>0.0008333333333</v>
      </c>
      <c r="AI26" s="138">
        <f t="shared" si="33"/>
        <v>0.0007142857143</v>
      </c>
      <c r="AJ26" s="138">
        <f t="shared" si="33"/>
        <v>0.0005714285714</v>
      </c>
      <c r="AK26" s="138">
        <f t="shared" si="33"/>
        <v>0.0004761904762</v>
      </c>
      <c r="AL26" s="138">
        <f t="shared" si="33"/>
        <v>0.0003636363636</v>
      </c>
      <c r="AM26" s="138">
        <f t="shared" si="33"/>
        <v>0.000303030303</v>
      </c>
      <c r="AN26" s="138">
        <f t="shared" si="33"/>
        <v>0.0004</v>
      </c>
    </row>
    <row r="27" ht="15.75" customHeight="1">
      <c r="A27" s="139" t="s">
        <v>299</v>
      </c>
      <c r="B27" s="135">
        <v>3.0</v>
      </c>
      <c r="C27" s="140">
        <f t="shared" si="34"/>
        <v>0.66125</v>
      </c>
      <c r="D27" s="108">
        <v>0.8</v>
      </c>
      <c r="E27" s="108">
        <v>2.5</v>
      </c>
      <c r="F27" s="108">
        <v>5.0</v>
      </c>
      <c r="G27" s="108">
        <v>6.5</v>
      </c>
      <c r="H27" s="108">
        <v>10.0</v>
      </c>
      <c r="I27" s="108">
        <v>15.0</v>
      </c>
      <c r="J27" s="108">
        <v>24.0</v>
      </c>
      <c r="K27" s="108">
        <v>30.0</v>
      </c>
      <c r="L27" s="108">
        <v>38.0</v>
      </c>
      <c r="M27" s="108">
        <v>45.0</v>
      </c>
      <c r="N27" s="108">
        <v>38.0</v>
      </c>
      <c r="O27" s="69">
        <v>0.65</v>
      </c>
      <c r="P27" s="69">
        <v>0.25</v>
      </c>
      <c r="Q27" s="69">
        <v>0.1</v>
      </c>
      <c r="R27" s="1">
        <v>0.7</v>
      </c>
      <c r="S27" s="137">
        <f t="shared" si="2"/>
        <v>0.364</v>
      </c>
      <c r="T27" s="137">
        <f t="shared" si="3"/>
        <v>1.1375</v>
      </c>
      <c r="U27" s="137">
        <f t="shared" si="4"/>
        <v>2.275</v>
      </c>
      <c r="V27" s="137">
        <f t="shared" si="5"/>
        <v>2.9575</v>
      </c>
      <c r="W27" s="137">
        <f t="shared" si="6"/>
        <v>4.55</v>
      </c>
      <c r="X27" s="137">
        <f t="shared" si="7"/>
        <v>6.825</v>
      </c>
      <c r="Y27" s="137">
        <f t="shared" si="8"/>
        <v>10.92</v>
      </c>
      <c r="Z27" s="137">
        <f t="shared" si="9"/>
        <v>13.65</v>
      </c>
      <c r="AA27" s="137">
        <f t="shared" si="10"/>
        <v>17.29</v>
      </c>
      <c r="AB27" s="137">
        <f t="shared" si="11"/>
        <v>20.475</v>
      </c>
      <c r="AC27" s="137">
        <f t="shared" si="12"/>
        <v>17.29</v>
      </c>
      <c r="AD27" s="138">
        <f t="shared" ref="AD27:AN27" si="35">IFERROR((($B$6/1000)/($Q$6*D27)),0)</f>
        <v>0.025</v>
      </c>
      <c r="AE27" s="138">
        <f t="shared" si="35"/>
        <v>0.008</v>
      </c>
      <c r="AF27" s="138">
        <f t="shared" si="35"/>
        <v>0.004</v>
      </c>
      <c r="AG27" s="138">
        <f t="shared" si="35"/>
        <v>0.003076923077</v>
      </c>
      <c r="AH27" s="138">
        <f t="shared" si="35"/>
        <v>0.002</v>
      </c>
      <c r="AI27" s="138">
        <f t="shared" si="35"/>
        <v>0.001333333333</v>
      </c>
      <c r="AJ27" s="138">
        <f t="shared" si="35"/>
        <v>0.0008333333333</v>
      </c>
      <c r="AK27" s="138">
        <f t="shared" si="35"/>
        <v>0.0006666666667</v>
      </c>
      <c r="AL27" s="138">
        <f t="shared" si="35"/>
        <v>0.0005263157895</v>
      </c>
      <c r="AM27" s="138">
        <f t="shared" si="35"/>
        <v>0.0004444444444</v>
      </c>
      <c r="AN27" s="138">
        <f t="shared" si="35"/>
        <v>0.0005263157895</v>
      </c>
    </row>
    <row r="28" ht="15.75" customHeight="1">
      <c r="A28" s="139" t="s">
        <v>299</v>
      </c>
      <c r="B28" s="135">
        <v>4.0</v>
      </c>
      <c r="C28" s="140">
        <f t="shared" si="34"/>
        <v>0.7604375</v>
      </c>
      <c r="D28" s="108"/>
      <c r="E28" s="108">
        <v>1.3</v>
      </c>
      <c r="F28" s="108">
        <v>2.4</v>
      </c>
      <c r="G28" s="108">
        <v>4.5</v>
      </c>
      <c r="H28" s="108">
        <v>6.5</v>
      </c>
      <c r="I28" s="108">
        <v>8.0</v>
      </c>
      <c r="J28" s="108">
        <v>16.0</v>
      </c>
      <c r="K28" s="108">
        <v>21.0</v>
      </c>
      <c r="L28" s="108">
        <v>25.0</v>
      </c>
      <c r="M28" s="108">
        <v>32.0</v>
      </c>
      <c r="N28" s="108">
        <v>29.0</v>
      </c>
      <c r="O28" s="69">
        <v>0.65</v>
      </c>
      <c r="P28" s="69">
        <v>0.2</v>
      </c>
      <c r="Q28" s="69">
        <v>0.15</v>
      </c>
      <c r="R28" s="1">
        <v>0.8</v>
      </c>
      <c r="S28" s="137">
        <f t="shared" si="2"/>
        <v>0</v>
      </c>
      <c r="T28" s="137">
        <f t="shared" si="3"/>
        <v>0.676</v>
      </c>
      <c r="U28" s="137">
        <f t="shared" si="4"/>
        <v>1.248</v>
      </c>
      <c r="V28" s="137">
        <f t="shared" si="5"/>
        <v>2.34</v>
      </c>
      <c r="W28" s="137">
        <f t="shared" si="6"/>
        <v>3.38</v>
      </c>
      <c r="X28" s="137">
        <f t="shared" si="7"/>
        <v>4.16</v>
      </c>
      <c r="Y28" s="137">
        <f t="shared" si="8"/>
        <v>8.32</v>
      </c>
      <c r="Z28" s="137">
        <f t="shared" si="9"/>
        <v>10.92</v>
      </c>
      <c r="AA28" s="137">
        <f t="shared" si="10"/>
        <v>13</v>
      </c>
      <c r="AB28" s="137">
        <f t="shared" si="11"/>
        <v>16.64</v>
      </c>
      <c r="AC28" s="137">
        <f t="shared" si="12"/>
        <v>15.08</v>
      </c>
      <c r="AD28" s="138">
        <f t="shared" ref="AD28:AN28" si="36">IFERROR((($B$6/1000)/($Q$6*D28)),0)</f>
        <v>0</v>
      </c>
      <c r="AE28" s="138">
        <f t="shared" si="36"/>
        <v>0.01538461538</v>
      </c>
      <c r="AF28" s="138">
        <f t="shared" si="36"/>
        <v>0.008333333333</v>
      </c>
      <c r="AG28" s="138">
        <f t="shared" si="36"/>
        <v>0.004444444444</v>
      </c>
      <c r="AH28" s="138">
        <f t="shared" si="36"/>
        <v>0.003076923077</v>
      </c>
      <c r="AI28" s="138">
        <f t="shared" si="36"/>
        <v>0.0025</v>
      </c>
      <c r="AJ28" s="138">
        <f t="shared" si="36"/>
        <v>0.00125</v>
      </c>
      <c r="AK28" s="138">
        <f t="shared" si="36"/>
        <v>0.0009523809524</v>
      </c>
      <c r="AL28" s="138">
        <f t="shared" si="36"/>
        <v>0.0008</v>
      </c>
      <c r="AM28" s="138">
        <f t="shared" si="36"/>
        <v>0.000625</v>
      </c>
      <c r="AN28" s="138">
        <f t="shared" si="36"/>
        <v>0.0006896551724</v>
      </c>
    </row>
    <row r="29" ht="15.75" customHeight="1">
      <c r="A29" s="139" t="s">
        <v>299</v>
      </c>
      <c r="B29" s="135">
        <v>5.0</v>
      </c>
      <c r="C29" s="140">
        <f t="shared" si="34"/>
        <v>0.874503125</v>
      </c>
      <c r="D29" s="108"/>
      <c r="E29" s="108">
        <v>0.7</v>
      </c>
      <c r="F29" s="108">
        <v>1.3</v>
      </c>
      <c r="G29" s="108">
        <v>2.5</v>
      </c>
      <c r="H29" s="108">
        <v>5.0</v>
      </c>
      <c r="I29" s="108">
        <v>5.5</v>
      </c>
      <c r="J29" s="108">
        <v>12.0</v>
      </c>
      <c r="K29" s="108">
        <v>17.0</v>
      </c>
      <c r="L29" s="108">
        <v>22.0</v>
      </c>
      <c r="M29" s="108">
        <v>25.0</v>
      </c>
      <c r="N29" s="108">
        <v>18.0</v>
      </c>
      <c r="O29" s="69">
        <v>0.65</v>
      </c>
      <c r="P29" s="69">
        <v>0.2</v>
      </c>
      <c r="Q29" s="69">
        <v>0.15</v>
      </c>
      <c r="R29" s="1">
        <v>0.8</v>
      </c>
      <c r="S29" s="137">
        <f t="shared" si="2"/>
        <v>0</v>
      </c>
      <c r="T29" s="137">
        <f t="shared" si="3"/>
        <v>0.364</v>
      </c>
      <c r="U29" s="137">
        <f t="shared" si="4"/>
        <v>0.676</v>
      </c>
      <c r="V29" s="137">
        <f t="shared" si="5"/>
        <v>1.3</v>
      </c>
      <c r="W29" s="137">
        <f t="shared" si="6"/>
        <v>2.6</v>
      </c>
      <c r="X29" s="137">
        <f t="shared" si="7"/>
        <v>2.86</v>
      </c>
      <c r="Y29" s="137">
        <f t="shared" si="8"/>
        <v>6.24</v>
      </c>
      <c r="Z29" s="137">
        <f t="shared" si="9"/>
        <v>8.84</v>
      </c>
      <c r="AA29" s="137">
        <f t="shared" si="10"/>
        <v>11.44</v>
      </c>
      <c r="AB29" s="137">
        <f t="shared" si="11"/>
        <v>13</v>
      </c>
      <c r="AC29" s="137">
        <f t="shared" si="12"/>
        <v>9.36</v>
      </c>
      <c r="AD29" s="138">
        <f t="shared" ref="AD29:AN29" si="37">IFERROR((($B$6/1000)/($Q$6*D29)),0)</f>
        <v>0</v>
      </c>
      <c r="AE29" s="138">
        <f t="shared" si="37"/>
        <v>0.02857142857</v>
      </c>
      <c r="AF29" s="138">
        <f t="shared" si="37"/>
        <v>0.01538461538</v>
      </c>
      <c r="AG29" s="138">
        <f t="shared" si="37"/>
        <v>0.008</v>
      </c>
      <c r="AH29" s="138">
        <f t="shared" si="37"/>
        <v>0.004</v>
      </c>
      <c r="AI29" s="138">
        <f t="shared" si="37"/>
        <v>0.003636363636</v>
      </c>
      <c r="AJ29" s="138">
        <f t="shared" si="37"/>
        <v>0.001666666667</v>
      </c>
      <c r="AK29" s="138">
        <f t="shared" si="37"/>
        <v>0.001176470588</v>
      </c>
      <c r="AL29" s="138">
        <f t="shared" si="37"/>
        <v>0.0009090909091</v>
      </c>
      <c r="AM29" s="138">
        <f t="shared" si="37"/>
        <v>0.0008</v>
      </c>
      <c r="AN29" s="138">
        <f t="shared" si="37"/>
        <v>0.001111111111</v>
      </c>
    </row>
    <row r="30" ht="15.75" customHeight="1">
      <c r="A30" s="139" t="s">
        <v>299</v>
      </c>
      <c r="B30" s="135">
        <v>6.0</v>
      </c>
      <c r="C30" s="140">
        <f t="shared" si="34"/>
        <v>1.005678594</v>
      </c>
      <c r="D30" s="108"/>
      <c r="E30" s="108"/>
      <c r="F30" s="108">
        <v>1.0</v>
      </c>
      <c r="G30" s="108">
        <v>2.0</v>
      </c>
      <c r="H30" s="108">
        <v>4.0</v>
      </c>
      <c r="I30" s="108">
        <v>4.5</v>
      </c>
      <c r="J30" s="108">
        <v>9.0</v>
      </c>
      <c r="K30" s="108">
        <v>14.0</v>
      </c>
      <c r="L30" s="108">
        <v>15.0</v>
      </c>
      <c r="M30" s="108">
        <v>21.0</v>
      </c>
      <c r="N30" s="108">
        <v>12.0</v>
      </c>
      <c r="O30" s="69">
        <v>0.65</v>
      </c>
      <c r="P30" s="69">
        <v>0.2</v>
      </c>
      <c r="Q30" s="69">
        <v>0.15</v>
      </c>
      <c r="R30" s="1">
        <v>0.8</v>
      </c>
      <c r="S30" s="137">
        <f t="shared" si="2"/>
        <v>0</v>
      </c>
      <c r="T30" s="137">
        <f t="shared" si="3"/>
        <v>0</v>
      </c>
      <c r="U30" s="137">
        <f t="shared" si="4"/>
        <v>0.52</v>
      </c>
      <c r="V30" s="137">
        <f t="shared" si="5"/>
        <v>1.04</v>
      </c>
      <c r="W30" s="137">
        <f t="shared" si="6"/>
        <v>2.08</v>
      </c>
      <c r="X30" s="137">
        <f t="shared" si="7"/>
        <v>2.34</v>
      </c>
      <c r="Y30" s="137">
        <f t="shared" si="8"/>
        <v>4.68</v>
      </c>
      <c r="Z30" s="137">
        <f t="shared" si="9"/>
        <v>7.28</v>
      </c>
      <c r="AA30" s="137">
        <f t="shared" si="10"/>
        <v>7.8</v>
      </c>
      <c r="AB30" s="137">
        <f t="shared" si="11"/>
        <v>10.92</v>
      </c>
      <c r="AC30" s="137">
        <f t="shared" si="12"/>
        <v>6.24</v>
      </c>
      <c r="AD30" s="138">
        <f t="shared" ref="AD30:AN30" si="38">IFERROR((($B$6/1000)/($Q$6*D30)),0)</f>
        <v>0</v>
      </c>
      <c r="AE30" s="138">
        <f t="shared" si="38"/>
        <v>0</v>
      </c>
      <c r="AF30" s="138">
        <f t="shared" si="38"/>
        <v>0.02</v>
      </c>
      <c r="AG30" s="138">
        <f t="shared" si="38"/>
        <v>0.01</v>
      </c>
      <c r="AH30" s="138">
        <f t="shared" si="38"/>
        <v>0.005</v>
      </c>
      <c r="AI30" s="138">
        <f t="shared" si="38"/>
        <v>0.004444444444</v>
      </c>
      <c r="AJ30" s="138">
        <f t="shared" si="38"/>
        <v>0.002222222222</v>
      </c>
      <c r="AK30" s="138">
        <f t="shared" si="38"/>
        <v>0.001428571429</v>
      </c>
      <c r="AL30" s="138">
        <f t="shared" si="38"/>
        <v>0.001333333333</v>
      </c>
      <c r="AM30" s="138">
        <f t="shared" si="38"/>
        <v>0.0009523809524</v>
      </c>
      <c r="AN30" s="138">
        <f t="shared" si="38"/>
        <v>0.001666666667</v>
      </c>
    </row>
    <row r="31" ht="15.75" customHeight="1">
      <c r="A31" s="139" t="s">
        <v>299</v>
      </c>
      <c r="B31" s="135">
        <v>8.0</v>
      </c>
      <c r="C31" s="140">
        <f t="shared" si="34"/>
        <v>1.156530383</v>
      </c>
      <c r="D31" s="108"/>
      <c r="E31" s="141"/>
      <c r="F31" s="108"/>
      <c r="G31" s="108">
        <v>1.0</v>
      </c>
      <c r="H31" s="108">
        <v>2.0</v>
      </c>
      <c r="I31" s="108">
        <v>3.0</v>
      </c>
      <c r="J31" s="108">
        <v>5.0</v>
      </c>
      <c r="K31" s="108">
        <v>8.0</v>
      </c>
      <c r="L31" s="108">
        <v>12.0</v>
      </c>
      <c r="M31" s="108">
        <v>16.0</v>
      </c>
      <c r="N31" s="108">
        <v>9.0</v>
      </c>
      <c r="O31" s="69">
        <v>0.7</v>
      </c>
      <c r="P31" s="69">
        <v>0.15</v>
      </c>
      <c r="Q31" s="69">
        <v>0.15</v>
      </c>
      <c r="R31" s="1">
        <v>0.8</v>
      </c>
      <c r="S31" s="137">
        <f t="shared" si="2"/>
        <v>0</v>
      </c>
      <c r="T31" s="137">
        <f t="shared" si="3"/>
        <v>0</v>
      </c>
      <c r="U31" s="137">
        <f t="shared" si="4"/>
        <v>0</v>
      </c>
      <c r="V31" s="137">
        <f t="shared" si="5"/>
        <v>0.56</v>
      </c>
      <c r="W31" s="137">
        <f t="shared" si="6"/>
        <v>1.12</v>
      </c>
      <c r="X31" s="137">
        <f t="shared" si="7"/>
        <v>1.68</v>
      </c>
      <c r="Y31" s="137">
        <f t="shared" si="8"/>
        <v>2.8</v>
      </c>
      <c r="Z31" s="137">
        <f t="shared" si="9"/>
        <v>4.48</v>
      </c>
      <c r="AA31" s="137">
        <f t="shared" si="10"/>
        <v>6.72</v>
      </c>
      <c r="AB31" s="137">
        <f t="shared" si="11"/>
        <v>8.96</v>
      </c>
      <c r="AC31" s="137">
        <f t="shared" si="12"/>
        <v>5.04</v>
      </c>
      <c r="AD31" s="138">
        <f t="shared" ref="AD31:AN31" si="39">IFERROR((($B$6/1000)/($Q$6*D31)),0)</f>
        <v>0</v>
      </c>
      <c r="AE31" s="138">
        <f t="shared" si="39"/>
        <v>0</v>
      </c>
      <c r="AF31" s="138">
        <f t="shared" si="39"/>
        <v>0</v>
      </c>
      <c r="AG31" s="138">
        <f t="shared" si="39"/>
        <v>0.02</v>
      </c>
      <c r="AH31" s="138">
        <f t="shared" si="39"/>
        <v>0.01</v>
      </c>
      <c r="AI31" s="138">
        <f t="shared" si="39"/>
        <v>0.006666666667</v>
      </c>
      <c r="AJ31" s="138">
        <f t="shared" si="39"/>
        <v>0.004</v>
      </c>
      <c r="AK31" s="138">
        <f t="shared" si="39"/>
        <v>0.0025</v>
      </c>
      <c r="AL31" s="138">
        <f t="shared" si="39"/>
        <v>0.001666666667</v>
      </c>
      <c r="AM31" s="138">
        <f t="shared" si="39"/>
        <v>0.00125</v>
      </c>
      <c r="AN31" s="138">
        <f t="shared" si="39"/>
        <v>0.002222222222</v>
      </c>
    </row>
    <row r="32" ht="15.75" customHeight="1">
      <c r="A32" s="139" t="s">
        <v>299</v>
      </c>
      <c r="B32" s="135">
        <v>10.0</v>
      </c>
      <c r="C32" s="140">
        <f t="shared" si="34"/>
        <v>1.33000994</v>
      </c>
      <c r="D32" s="108"/>
      <c r="E32" s="108"/>
      <c r="F32" s="108"/>
      <c r="G32" s="108"/>
      <c r="H32" s="108">
        <v>0.8</v>
      </c>
      <c r="I32" s="108">
        <v>1.2</v>
      </c>
      <c r="J32" s="108">
        <v>2.5</v>
      </c>
      <c r="K32" s="108">
        <v>5.0</v>
      </c>
      <c r="L32" s="108">
        <v>8.0</v>
      </c>
      <c r="M32" s="108">
        <v>12.0</v>
      </c>
      <c r="N32" s="108">
        <v>7.0</v>
      </c>
      <c r="O32" s="69">
        <v>0.7</v>
      </c>
      <c r="P32" s="69">
        <v>0.1</v>
      </c>
      <c r="Q32" s="69">
        <v>0.2</v>
      </c>
      <c r="R32" s="1">
        <v>0.8</v>
      </c>
      <c r="S32" s="137">
        <f t="shared" si="2"/>
        <v>0</v>
      </c>
      <c r="T32" s="137">
        <f t="shared" si="3"/>
        <v>0</v>
      </c>
      <c r="U32" s="137">
        <f t="shared" si="4"/>
        <v>0</v>
      </c>
      <c r="V32" s="137">
        <f t="shared" si="5"/>
        <v>0</v>
      </c>
      <c r="W32" s="137">
        <f t="shared" si="6"/>
        <v>0.448</v>
      </c>
      <c r="X32" s="137">
        <f t="shared" si="7"/>
        <v>0.672</v>
      </c>
      <c r="Y32" s="137">
        <f t="shared" si="8"/>
        <v>1.4</v>
      </c>
      <c r="Z32" s="137">
        <f t="shared" si="9"/>
        <v>2.8</v>
      </c>
      <c r="AA32" s="137">
        <f t="shared" si="10"/>
        <v>4.48</v>
      </c>
      <c r="AB32" s="137">
        <f t="shared" si="11"/>
        <v>6.72</v>
      </c>
      <c r="AC32" s="137">
        <f t="shared" si="12"/>
        <v>3.92</v>
      </c>
      <c r="AD32" s="138">
        <f t="shared" ref="AD32:AN32" si="40">IFERROR((($B$6/1000)/($Q$6*D32)),0)</f>
        <v>0</v>
      </c>
      <c r="AE32" s="138">
        <f t="shared" si="40"/>
        <v>0</v>
      </c>
      <c r="AF32" s="138">
        <f t="shared" si="40"/>
        <v>0</v>
      </c>
      <c r="AG32" s="138">
        <f t="shared" si="40"/>
        <v>0</v>
      </c>
      <c r="AH32" s="138">
        <f t="shared" si="40"/>
        <v>0.025</v>
      </c>
      <c r="AI32" s="138">
        <f t="shared" si="40"/>
        <v>0.01666666667</v>
      </c>
      <c r="AJ32" s="138">
        <f t="shared" si="40"/>
        <v>0.008</v>
      </c>
      <c r="AK32" s="138">
        <f t="shared" si="40"/>
        <v>0.004</v>
      </c>
      <c r="AL32" s="138">
        <f t="shared" si="40"/>
        <v>0.0025</v>
      </c>
      <c r="AM32" s="138">
        <f t="shared" si="40"/>
        <v>0.001666666667</v>
      </c>
      <c r="AN32" s="138">
        <f t="shared" si="40"/>
        <v>0.002857142857</v>
      </c>
    </row>
    <row r="33" ht="15.75" customHeight="1">
      <c r="A33" s="139" t="s">
        <v>299</v>
      </c>
      <c r="B33" s="135">
        <v>12.0</v>
      </c>
      <c r="C33" s="140">
        <f t="shared" si="34"/>
        <v>1.529511431</v>
      </c>
      <c r="D33" s="108"/>
      <c r="E33" s="108"/>
      <c r="F33" s="108"/>
      <c r="G33" s="108"/>
      <c r="H33" s="108">
        <v>0.6</v>
      </c>
      <c r="I33" s="108">
        <v>0.8</v>
      </c>
      <c r="J33" s="108">
        <v>1.8</v>
      </c>
      <c r="K33" s="108">
        <v>3.0</v>
      </c>
      <c r="L33" s="108">
        <v>5.0</v>
      </c>
      <c r="M33" s="108">
        <v>8.0</v>
      </c>
      <c r="N33" s="108">
        <v>7.0</v>
      </c>
      <c r="O33" s="69">
        <v>0.7</v>
      </c>
      <c r="P33" s="69">
        <v>0.1</v>
      </c>
      <c r="Q33" s="69">
        <v>0.2</v>
      </c>
      <c r="R33" s="1">
        <v>0.9</v>
      </c>
      <c r="S33" s="137">
        <f t="shared" si="2"/>
        <v>0</v>
      </c>
      <c r="T33" s="137">
        <f t="shared" si="3"/>
        <v>0</v>
      </c>
      <c r="U33" s="137">
        <f t="shared" si="4"/>
        <v>0</v>
      </c>
      <c r="V33" s="137">
        <f t="shared" si="5"/>
        <v>0</v>
      </c>
      <c r="W33" s="137">
        <f t="shared" si="6"/>
        <v>0.378</v>
      </c>
      <c r="X33" s="137">
        <f t="shared" si="7"/>
        <v>0.504</v>
      </c>
      <c r="Y33" s="137">
        <f t="shared" si="8"/>
        <v>1.134</v>
      </c>
      <c r="Z33" s="137">
        <f t="shared" si="9"/>
        <v>1.89</v>
      </c>
      <c r="AA33" s="137">
        <f t="shared" si="10"/>
        <v>3.15</v>
      </c>
      <c r="AB33" s="137">
        <f t="shared" si="11"/>
        <v>5.04</v>
      </c>
      <c r="AC33" s="137">
        <f t="shared" si="12"/>
        <v>4.41</v>
      </c>
      <c r="AD33" s="138">
        <f t="shared" ref="AD33:AN33" si="41">IFERROR((($B$6/1000)/($Q$6*D33)),0)</f>
        <v>0</v>
      </c>
      <c r="AE33" s="138">
        <f t="shared" si="41"/>
        <v>0</v>
      </c>
      <c r="AF33" s="138">
        <f t="shared" si="41"/>
        <v>0</v>
      </c>
      <c r="AG33" s="138">
        <f t="shared" si="41"/>
        <v>0</v>
      </c>
      <c r="AH33" s="138">
        <f t="shared" si="41"/>
        <v>0.03333333333</v>
      </c>
      <c r="AI33" s="138">
        <f t="shared" si="41"/>
        <v>0.025</v>
      </c>
      <c r="AJ33" s="138">
        <f t="shared" si="41"/>
        <v>0.01111111111</v>
      </c>
      <c r="AK33" s="138">
        <f t="shared" si="41"/>
        <v>0.006666666667</v>
      </c>
      <c r="AL33" s="138">
        <f t="shared" si="41"/>
        <v>0.004</v>
      </c>
      <c r="AM33" s="138">
        <f t="shared" si="41"/>
        <v>0.0025</v>
      </c>
      <c r="AN33" s="138">
        <f t="shared" si="41"/>
        <v>0.002857142857</v>
      </c>
    </row>
    <row r="34" ht="15.75" customHeight="1">
      <c r="A34" s="139" t="s">
        <v>299</v>
      </c>
      <c r="B34" s="135">
        <v>14.0</v>
      </c>
      <c r="C34" s="140">
        <f t="shared" si="34"/>
        <v>1.758938146</v>
      </c>
      <c r="D34" s="108"/>
      <c r="E34" s="108"/>
      <c r="F34" s="108"/>
      <c r="G34" s="108"/>
      <c r="H34" s="108"/>
      <c r="I34" s="108">
        <v>0.6</v>
      </c>
      <c r="J34" s="108">
        <v>0.8</v>
      </c>
      <c r="K34" s="108">
        <v>1.8</v>
      </c>
      <c r="L34" s="108">
        <v>3.0</v>
      </c>
      <c r="M34" s="108">
        <v>5.0</v>
      </c>
      <c r="N34" s="108">
        <v>5.05</v>
      </c>
      <c r="O34" s="69">
        <v>0.7</v>
      </c>
      <c r="P34" s="69">
        <v>0.1</v>
      </c>
      <c r="Q34" s="69">
        <v>0.2</v>
      </c>
      <c r="R34" s="1">
        <v>0.9</v>
      </c>
      <c r="S34" s="137">
        <f t="shared" si="2"/>
        <v>0</v>
      </c>
      <c r="T34" s="137">
        <f t="shared" si="3"/>
        <v>0</v>
      </c>
      <c r="U34" s="137">
        <f t="shared" si="4"/>
        <v>0</v>
      </c>
      <c r="V34" s="137">
        <f t="shared" si="5"/>
        <v>0</v>
      </c>
      <c r="W34" s="137">
        <f t="shared" si="6"/>
        <v>0</v>
      </c>
      <c r="X34" s="137">
        <f t="shared" si="7"/>
        <v>0.378</v>
      </c>
      <c r="Y34" s="137">
        <f t="shared" si="8"/>
        <v>0.504</v>
      </c>
      <c r="Z34" s="137">
        <f t="shared" si="9"/>
        <v>1.134</v>
      </c>
      <c r="AA34" s="137">
        <f t="shared" si="10"/>
        <v>1.89</v>
      </c>
      <c r="AB34" s="137">
        <f t="shared" si="11"/>
        <v>3.15</v>
      </c>
      <c r="AC34" s="137">
        <f t="shared" si="12"/>
        <v>3.1815</v>
      </c>
      <c r="AD34" s="138">
        <f t="shared" ref="AD34:AN34" si="42">IFERROR((($B$6/1000)/($Q$6*D34)),0)</f>
        <v>0</v>
      </c>
      <c r="AE34" s="138">
        <f t="shared" si="42"/>
        <v>0</v>
      </c>
      <c r="AF34" s="138">
        <f t="shared" si="42"/>
        <v>0</v>
      </c>
      <c r="AG34" s="138">
        <f t="shared" si="42"/>
        <v>0</v>
      </c>
      <c r="AH34" s="138">
        <f t="shared" si="42"/>
        <v>0</v>
      </c>
      <c r="AI34" s="138">
        <f t="shared" si="42"/>
        <v>0.03333333333</v>
      </c>
      <c r="AJ34" s="138">
        <f t="shared" si="42"/>
        <v>0.025</v>
      </c>
      <c r="AK34" s="138">
        <f t="shared" si="42"/>
        <v>0.01111111111</v>
      </c>
      <c r="AL34" s="138">
        <f t="shared" si="42"/>
        <v>0.006666666667</v>
      </c>
      <c r="AM34" s="138">
        <f t="shared" si="42"/>
        <v>0.004</v>
      </c>
      <c r="AN34" s="138">
        <f t="shared" si="42"/>
        <v>0.00396039604</v>
      </c>
    </row>
    <row r="35" ht="15.75" customHeight="1">
      <c r="A35" s="139" t="s">
        <v>299</v>
      </c>
      <c r="B35" s="135">
        <v>16.0</v>
      </c>
      <c r="C35" s="140">
        <f t="shared" si="34"/>
        <v>2.022778868</v>
      </c>
      <c r="D35" s="108"/>
      <c r="E35" s="108"/>
      <c r="F35" s="108"/>
      <c r="G35" s="108"/>
      <c r="H35" s="108"/>
      <c r="I35" s="108"/>
      <c r="J35" s="108">
        <v>0.6</v>
      </c>
      <c r="K35" s="108">
        <v>1.5</v>
      </c>
      <c r="L35" s="108">
        <v>2.0</v>
      </c>
      <c r="M35" s="108">
        <v>2.3</v>
      </c>
      <c r="N35" s="108">
        <v>3.1</v>
      </c>
      <c r="O35" s="69">
        <v>0.7</v>
      </c>
      <c r="P35" s="69">
        <v>0.05</v>
      </c>
      <c r="Q35" s="69">
        <v>0.25</v>
      </c>
      <c r="R35" s="1">
        <v>0.9</v>
      </c>
      <c r="S35" s="137">
        <f t="shared" si="2"/>
        <v>0</v>
      </c>
      <c r="T35" s="137">
        <f t="shared" si="3"/>
        <v>0</v>
      </c>
      <c r="U35" s="137">
        <f t="shared" si="4"/>
        <v>0</v>
      </c>
      <c r="V35" s="137">
        <f t="shared" si="5"/>
        <v>0</v>
      </c>
      <c r="W35" s="137">
        <f t="shared" si="6"/>
        <v>0</v>
      </c>
      <c r="X35" s="137">
        <f t="shared" si="7"/>
        <v>0</v>
      </c>
      <c r="Y35" s="137">
        <f t="shared" si="8"/>
        <v>0.378</v>
      </c>
      <c r="Z35" s="137">
        <f t="shared" si="9"/>
        <v>0.945</v>
      </c>
      <c r="AA35" s="137">
        <f t="shared" si="10"/>
        <v>1.26</v>
      </c>
      <c r="AB35" s="137">
        <f t="shared" si="11"/>
        <v>1.449</v>
      </c>
      <c r="AC35" s="137">
        <f t="shared" si="12"/>
        <v>1.953</v>
      </c>
      <c r="AD35" s="138">
        <f t="shared" ref="AD35:AN35" si="43">IFERROR((($B$6/1000)/($Q$6*D35)),0)</f>
        <v>0</v>
      </c>
      <c r="AE35" s="138">
        <f t="shared" si="43"/>
        <v>0</v>
      </c>
      <c r="AF35" s="138">
        <f t="shared" si="43"/>
        <v>0</v>
      </c>
      <c r="AG35" s="138">
        <f t="shared" si="43"/>
        <v>0</v>
      </c>
      <c r="AH35" s="138">
        <f t="shared" si="43"/>
        <v>0</v>
      </c>
      <c r="AI35" s="138">
        <f t="shared" si="43"/>
        <v>0</v>
      </c>
      <c r="AJ35" s="138">
        <f t="shared" si="43"/>
        <v>0.03333333333</v>
      </c>
      <c r="AK35" s="138">
        <f t="shared" si="43"/>
        <v>0.01333333333</v>
      </c>
      <c r="AL35" s="138">
        <f t="shared" si="43"/>
        <v>0.01</v>
      </c>
      <c r="AM35" s="138">
        <f t="shared" si="43"/>
        <v>0.008695652174</v>
      </c>
      <c r="AN35" s="138">
        <f t="shared" si="43"/>
        <v>0.006451612903</v>
      </c>
    </row>
    <row r="36" ht="15.75" customHeight="1">
      <c r="A36" s="139" t="s">
        <v>299</v>
      </c>
      <c r="B36" s="135">
        <v>18.0</v>
      </c>
      <c r="C36" s="140">
        <f t="shared" si="34"/>
        <v>2.326195698</v>
      </c>
      <c r="D36" s="108"/>
      <c r="E36" s="108"/>
      <c r="F36" s="108"/>
      <c r="G36" s="108"/>
      <c r="H36" s="108"/>
      <c r="I36" s="108"/>
      <c r="J36" s="108">
        <v>0.6</v>
      </c>
      <c r="K36" s="108">
        <v>1.15</v>
      </c>
      <c r="L36" s="108">
        <v>1.9</v>
      </c>
      <c r="M36" s="108">
        <v>2.65</v>
      </c>
      <c r="N36" s="108">
        <v>2.6</v>
      </c>
      <c r="O36" s="69">
        <v>0.7</v>
      </c>
      <c r="P36" s="69">
        <v>0.05</v>
      </c>
      <c r="Q36" s="69">
        <v>0.25</v>
      </c>
      <c r="R36" s="1">
        <v>0.9</v>
      </c>
      <c r="S36" s="137">
        <f t="shared" si="2"/>
        <v>0</v>
      </c>
      <c r="T36" s="137">
        <f t="shared" si="3"/>
        <v>0</v>
      </c>
      <c r="U36" s="137">
        <f t="shared" si="4"/>
        <v>0</v>
      </c>
      <c r="V36" s="137">
        <f t="shared" si="5"/>
        <v>0</v>
      </c>
      <c r="W36" s="137">
        <f t="shared" si="6"/>
        <v>0</v>
      </c>
      <c r="X36" s="137">
        <f t="shared" si="7"/>
        <v>0</v>
      </c>
      <c r="Y36" s="137">
        <f t="shared" si="8"/>
        <v>0.378</v>
      </c>
      <c r="Z36" s="137">
        <f t="shared" si="9"/>
        <v>0.7245</v>
      </c>
      <c r="AA36" s="137">
        <f t="shared" si="10"/>
        <v>1.197</v>
      </c>
      <c r="AB36" s="137">
        <f t="shared" si="11"/>
        <v>1.6695</v>
      </c>
      <c r="AC36" s="137">
        <f t="shared" si="12"/>
        <v>1.638</v>
      </c>
      <c r="AD36" s="138">
        <f t="shared" ref="AD36:AN36" si="44">IFERROR((($B$6/1000)/($Q$6*D36)),0)</f>
        <v>0</v>
      </c>
      <c r="AE36" s="138">
        <f t="shared" si="44"/>
        <v>0</v>
      </c>
      <c r="AF36" s="138">
        <f t="shared" si="44"/>
        <v>0</v>
      </c>
      <c r="AG36" s="138">
        <f t="shared" si="44"/>
        <v>0</v>
      </c>
      <c r="AH36" s="138">
        <f t="shared" si="44"/>
        <v>0</v>
      </c>
      <c r="AI36" s="138">
        <f t="shared" si="44"/>
        <v>0</v>
      </c>
      <c r="AJ36" s="138">
        <f t="shared" si="44"/>
        <v>0.03333333333</v>
      </c>
      <c r="AK36" s="138">
        <f t="shared" si="44"/>
        <v>0.01739130435</v>
      </c>
      <c r="AL36" s="138">
        <f t="shared" si="44"/>
        <v>0.01052631579</v>
      </c>
      <c r="AM36" s="138">
        <f t="shared" si="44"/>
        <v>0.007547169811</v>
      </c>
      <c r="AN36" s="138">
        <f t="shared" si="44"/>
        <v>0.007692307692</v>
      </c>
    </row>
    <row r="37" ht="15.75" customHeight="1">
      <c r="A37" s="139" t="s">
        <v>299</v>
      </c>
      <c r="B37" s="135">
        <v>20.0</v>
      </c>
      <c r="C37" s="140">
        <f t="shared" si="34"/>
        <v>2.675125053</v>
      </c>
      <c r="D37" s="108"/>
      <c r="E37" s="108"/>
      <c r="F37" s="108"/>
      <c r="G37" s="108"/>
      <c r="H37" s="108"/>
      <c r="I37" s="108"/>
      <c r="J37" s="108">
        <v>0.6</v>
      </c>
      <c r="K37" s="108">
        <v>0.8</v>
      </c>
      <c r="L37" s="108">
        <v>1.8</v>
      </c>
      <c r="M37" s="108">
        <v>3.0</v>
      </c>
      <c r="N37" s="108">
        <v>2.1</v>
      </c>
      <c r="O37" s="69">
        <v>0.7</v>
      </c>
      <c r="P37" s="69">
        <v>0.05</v>
      </c>
      <c r="Q37" s="69">
        <v>0.25</v>
      </c>
      <c r="R37" s="1">
        <v>0.9</v>
      </c>
      <c r="S37" s="137">
        <f t="shared" si="2"/>
        <v>0</v>
      </c>
      <c r="T37" s="137">
        <f t="shared" si="3"/>
        <v>0</v>
      </c>
      <c r="U37" s="137">
        <f t="shared" si="4"/>
        <v>0</v>
      </c>
      <c r="V37" s="137">
        <f t="shared" si="5"/>
        <v>0</v>
      </c>
      <c r="W37" s="137">
        <f t="shared" si="6"/>
        <v>0</v>
      </c>
      <c r="X37" s="137">
        <f t="shared" si="7"/>
        <v>0</v>
      </c>
      <c r="Y37" s="137">
        <f t="shared" si="8"/>
        <v>0.378</v>
      </c>
      <c r="Z37" s="137">
        <f t="shared" si="9"/>
        <v>0.504</v>
      </c>
      <c r="AA37" s="137">
        <f t="shared" si="10"/>
        <v>1.134</v>
      </c>
      <c r="AB37" s="137">
        <f t="shared" si="11"/>
        <v>1.89</v>
      </c>
      <c r="AC37" s="137">
        <f t="shared" si="12"/>
        <v>1.323</v>
      </c>
      <c r="AD37" s="138">
        <f t="shared" ref="AD37:AN37" si="45">IFERROR((($B$6/1000)/($Q$6*D37)),0)</f>
        <v>0</v>
      </c>
      <c r="AE37" s="138">
        <f t="shared" si="45"/>
        <v>0</v>
      </c>
      <c r="AF37" s="138">
        <f t="shared" si="45"/>
        <v>0</v>
      </c>
      <c r="AG37" s="138">
        <f t="shared" si="45"/>
        <v>0</v>
      </c>
      <c r="AH37" s="138">
        <f t="shared" si="45"/>
        <v>0</v>
      </c>
      <c r="AI37" s="138">
        <f t="shared" si="45"/>
        <v>0</v>
      </c>
      <c r="AJ37" s="138">
        <f t="shared" si="45"/>
        <v>0.03333333333</v>
      </c>
      <c r="AK37" s="138">
        <f t="shared" si="45"/>
        <v>0.025</v>
      </c>
      <c r="AL37" s="138">
        <f t="shared" si="45"/>
        <v>0.01111111111</v>
      </c>
      <c r="AM37" s="138">
        <f t="shared" si="45"/>
        <v>0.006666666667</v>
      </c>
      <c r="AN37" s="138">
        <f t="shared" si="45"/>
        <v>0.009523809524</v>
      </c>
    </row>
    <row r="38" ht="15.75" customHeight="1">
      <c r="A38" s="139" t="s">
        <v>299</v>
      </c>
      <c r="B38" s="135">
        <v>22.0</v>
      </c>
      <c r="C38" s="140">
        <f t="shared" si="34"/>
        <v>3.076393811</v>
      </c>
      <c r="D38" s="108"/>
      <c r="E38" s="108"/>
      <c r="F38" s="108"/>
      <c r="G38" s="108"/>
      <c r="H38" s="108"/>
      <c r="I38" s="108"/>
      <c r="J38" s="108"/>
      <c r="K38" s="108">
        <v>0.6</v>
      </c>
      <c r="L38" s="108">
        <v>0.9</v>
      </c>
      <c r="M38" s="137">
        <v>1.2</v>
      </c>
      <c r="N38" s="108">
        <v>1.7</v>
      </c>
      <c r="O38" s="69">
        <v>0.7</v>
      </c>
      <c r="P38" s="69">
        <v>0.05</v>
      </c>
      <c r="Q38" s="69">
        <v>0.25</v>
      </c>
      <c r="R38" s="1">
        <v>0.9</v>
      </c>
      <c r="S38" s="137">
        <f t="shared" si="2"/>
        <v>0</v>
      </c>
      <c r="T38" s="137">
        <f t="shared" si="3"/>
        <v>0</v>
      </c>
      <c r="U38" s="137">
        <f t="shared" si="4"/>
        <v>0</v>
      </c>
      <c r="V38" s="137">
        <f t="shared" si="5"/>
        <v>0</v>
      </c>
      <c r="W38" s="137">
        <f t="shared" si="6"/>
        <v>0</v>
      </c>
      <c r="X38" s="137">
        <f t="shared" si="7"/>
        <v>0</v>
      </c>
      <c r="Y38" s="137">
        <f t="shared" si="8"/>
        <v>0</v>
      </c>
      <c r="Z38" s="137">
        <f t="shared" si="9"/>
        <v>0.378</v>
      </c>
      <c r="AA38" s="137">
        <f t="shared" si="10"/>
        <v>0.567</v>
      </c>
      <c r="AB38" s="137">
        <f t="shared" si="11"/>
        <v>0.756</v>
      </c>
      <c r="AC38" s="137">
        <f t="shared" si="12"/>
        <v>1.071</v>
      </c>
      <c r="AD38" s="138">
        <f t="shared" ref="AD38:AN38" si="46">IFERROR((($B$6/1000)/($Q$6*D38)),0)</f>
        <v>0</v>
      </c>
      <c r="AE38" s="138">
        <f t="shared" si="46"/>
        <v>0</v>
      </c>
      <c r="AF38" s="138">
        <f t="shared" si="46"/>
        <v>0</v>
      </c>
      <c r="AG38" s="138">
        <f t="shared" si="46"/>
        <v>0</v>
      </c>
      <c r="AH38" s="138">
        <f t="shared" si="46"/>
        <v>0</v>
      </c>
      <c r="AI38" s="138">
        <f t="shared" si="46"/>
        <v>0</v>
      </c>
      <c r="AJ38" s="138">
        <f t="shared" si="46"/>
        <v>0</v>
      </c>
      <c r="AK38" s="138">
        <f t="shared" si="46"/>
        <v>0.03333333333</v>
      </c>
      <c r="AL38" s="138">
        <f t="shared" si="46"/>
        <v>0.02222222222</v>
      </c>
      <c r="AM38" s="138">
        <f t="shared" si="46"/>
        <v>0.01666666667</v>
      </c>
      <c r="AN38" s="138">
        <f t="shared" si="46"/>
        <v>0.01176470588</v>
      </c>
    </row>
    <row r="39" ht="15.75" customHeight="1">
      <c r="A39" s="139" t="s">
        <v>299</v>
      </c>
      <c r="B39" s="135">
        <v>25.0</v>
      </c>
      <c r="C39" s="140">
        <f t="shared" si="34"/>
        <v>3.537852882</v>
      </c>
      <c r="D39" s="137"/>
      <c r="E39" s="137"/>
      <c r="F39" s="137"/>
      <c r="G39" s="137"/>
      <c r="H39" s="137"/>
      <c r="I39" s="137"/>
      <c r="J39" s="137"/>
      <c r="K39" s="137">
        <v>0.6</v>
      </c>
      <c r="L39" s="137">
        <v>0.7</v>
      </c>
      <c r="M39" s="137">
        <v>0.95</v>
      </c>
      <c r="N39" s="137">
        <v>1.4</v>
      </c>
      <c r="O39" s="142">
        <v>0.7</v>
      </c>
      <c r="P39" s="142">
        <v>0.05</v>
      </c>
      <c r="Q39" s="142">
        <v>0.25</v>
      </c>
      <c r="R39" s="135">
        <v>0.9</v>
      </c>
      <c r="S39" s="137">
        <f t="shared" si="2"/>
        <v>0</v>
      </c>
      <c r="T39" s="137">
        <f t="shared" si="3"/>
        <v>0</v>
      </c>
      <c r="U39" s="137">
        <f t="shared" si="4"/>
        <v>0</v>
      </c>
      <c r="V39" s="137">
        <f t="shared" si="5"/>
        <v>0</v>
      </c>
      <c r="W39" s="137">
        <f t="shared" si="6"/>
        <v>0</v>
      </c>
      <c r="X39" s="137">
        <f t="shared" si="7"/>
        <v>0</v>
      </c>
      <c r="Y39" s="137">
        <f t="shared" si="8"/>
        <v>0</v>
      </c>
      <c r="Z39" s="137">
        <f t="shared" si="9"/>
        <v>0.378</v>
      </c>
      <c r="AA39" s="137">
        <f t="shared" si="10"/>
        <v>0.441</v>
      </c>
      <c r="AB39" s="137">
        <f t="shared" si="11"/>
        <v>0.5985</v>
      </c>
      <c r="AC39" s="137">
        <f t="shared" si="12"/>
        <v>0.882</v>
      </c>
      <c r="AD39" s="138">
        <f t="shared" ref="AD39:AN39" si="47">IFERROR((($B$6/1000)/($Q$6*D39)),0)</f>
        <v>0</v>
      </c>
      <c r="AE39" s="138">
        <f t="shared" si="47"/>
        <v>0</v>
      </c>
      <c r="AF39" s="138">
        <f t="shared" si="47"/>
        <v>0</v>
      </c>
      <c r="AG39" s="138">
        <f t="shared" si="47"/>
        <v>0</v>
      </c>
      <c r="AH39" s="138">
        <f t="shared" si="47"/>
        <v>0</v>
      </c>
      <c r="AI39" s="138">
        <f t="shared" si="47"/>
        <v>0</v>
      </c>
      <c r="AJ39" s="138">
        <f t="shared" si="47"/>
        <v>0</v>
      </c>
      <c r="AK39" s="138">
        <f t="shared" si="47"/>
        <v>0.03333333333</v>
      </c>
      <c r="AL39" s="138">
        <f t="shared" si="47"/>
        <v>0.02857142857</v>
      </c>
      <c r="AM39" s="138">
        <f t="shared" si="47"/>
        <v>0.02105263158</v>
      </c>
      <c r="AN39" s="138">
        <f t="shared" si="47"/>
        <v>0.01428571429</v>
      </c>
    </row>
    <row r="40" ht="15.75" customHeight="1">
      <c r="A40" s="139" t="s">
        <v>299</v>
      </c>
      <c r="B40" s="135">
        <v>30.0</v>
      </c>
      <c r="C40" s="140">
        <f t="shared" si="34"/>
        <v>4.068530815</v>
      </c>
      <c r="D40" s="137"/>
      <c r="E40" s="137"/>
      <c r="F40" s="137"/>
      <c r="G40" s="137"/>
      <c r="H40" s="137"/>
      <c r="I40" s="137"/>
      <c r="J40" s="137"/>
      <c r="K40" s="137">
        <v>0.5</v>
      </c>
      <c r="L40" s="137">
        <v>0.6</v>
      </c>
      <c r="M40" s="137">
        <v>0.7</v>
      </c>
      <c r="N40" s="137">
        <v>1.0</v>
      </c>
      <c r="O40" s="142">
        <v>0.7</v>
      </c>
      <c r="P40" s="142">
        <v>0.05</v>
      </c>
      <c r="Q40" s="142">
        <v>0.25</v>
      </c>
      <c r="R40" s="135">
        <v>0.9</v>
      </c>
      <c r="S40" s="137">
        <f t="shared" si="2"/>
        <v>0</v>
      </c>
      <c r="T40" s="137">
        <f t="shared" si="3"/>
        <v>0</v>
      </c>
      <c r="U40" s="137">
        <f t="shared" si="4"/>
        <v>0</v>
      </c>
      <c r="V40" s="137">
        <f t="shared" si="5"/>
        <v>0</v>
      </c>
      <c r="W40" s="137">
        <f t="shared" si="6"/>
        <v>0</v>
      </c>
      <c r="X40" s="137">
        <f t="shared" si="7"/>
        <v>0</v>
      </c>
      <c r="Y40" s="137">
        <f t="shared" si="8"/>
        <v>0</v>
      </c>
      <c r="Z40" s="137">
        <f t="shared" si="9"/>
        <v>0.315</v>
      </c>
      <c r="AA40" s="137">
        <f t="shared" si="10"/>
        <v>0.378</v>
      </c>
      <c r="AB40" s="137">
        <f t="shared" si="11"/>
        <v>0.441</v>
      </c>
      <c r="AC40" s="137">
        <f t="shared" si="12"/>
        <v>0.63</v>
      </c>
      <c r="AD40" s="138">
        <f t="shared" ref="AD40:AN40" si="48">IFERROR((($B$6/1000)/($Q$6*D40)),0)</f>
        <v>0</v>
      </c>
      <c r="AE40" s="138">
        <f t="shared" si="48"/>
        <v>0</v>
      </c>
      <c r="AF40" s="138">
        <f t="shared" si="48"/>
        <v>0</v>
      </c>
      <c r="AG40" s="138">
        <f t="shared" si="48"/>
        <v>0</v>
      </c>
      <c r="AH40" s="138">
        <f t="shared" si="48"/>
        <v>0</v>
      </c>
      <c r="AI40" s="138">
        <f t="shared" si="48"/>
        <v>0</v>
      </c>
      <c r="AJ40" s="138">
        <f t="shared" si="48"/>
        <v>0</v>
      </c>
      <c r="AK40" s="138">
        <f t="shared" si="48"/>
        <v>0.04</v>
      </c>
      <c r="AL40" s="138">
        <f t="shared" si="48"/>
        <v>0.03333333333</v>
      </c>
      <c r="AM40" s="138">
        <f t="shared" si="48"/>
        <v>0.02857142857</v>
      </c>
      <c r="AN40" s="138">
        <f t="shared" si="48"/>
        <v>0.02</v>
      </c>
    </row>
    <row r="41" ht="15.75" customHeight="1">
      <c r="A41" s="139" t="s">
        <v>299</v>
      </c>
      <c r="B41" s="135">
        <v>35.0</v>
      </c>
      <c r="C41" s="140">
        <f t="shared" si="34"/>
        <v>4.678810437</v>
      </c>
      <c r="D41" s="137"/>
      <c r="E41" s="137"/>
      <c r="F41" s="137"/>
      <c r="G41" s="137"/>
      <c r="H41" s="137"/>
      <c r="I41" s="137"/>
      <c r="J41" s="137"/>
      <c r="K41" s="137"/>
      <c r="L41" s="137">
        <v>0.55</v>
      </c>
      <c r="M41" s="137">
        <v>0.6499999999999999</v>
      </c>
      <c r="N41" s="137">
        <v>0.8</v>
      </c>
      <c r="O41" s="142">
        <v>0.7</v>
      </c>
      <c r="P41" s="142">
        <v>0.05</v>
      </c>
      <c r="Q41" s="142">
        <v>0.25</v>
      </c>
      <c r="R41" s="135">
        <v>0.9</v>
      </c>
      <c r="S41" s="137">
        <f t="shared" si="2"/>
        <v>0</v>
      </c>
      <c r="T41" s="137">
        <f t="shared" si="3"/>
        <v>0</v>
      </c>
      <c r="U41" s="137">
        <f t="shared" si="4"/>
        <v>0</v>
      </c>
      <c r="V41" s="137">
        <f t="shared" si="5"/>
        <v>0</v>
      </c>
      <c r="W41" s="137">
        <f t="shared" si="6"/>
        <v>0</v>
      </c>
      <c r="X41" s="137">
        <f t="shared" si="7"/>
        <v>0</v>
      </c>
      <c r="Y41" s="137">
        <f t="shared" si="8"/>
        <v>0</v>
      </c>
      <c r="Z41" s="137">
        <f t="shared" si="9"/>
        <v>0</v>
      </c>
      <c r="AA41" s="137">
        <f t="shared" si="10"/>
        <v>0.3465</v>
      </c>
      <c r="AB41" s="137">
        <f t="shared" si="11"/>
        <v>0.4095</v>
      </c>
      <c r="AC41" s="137">
        <f t="shared" si="12"/>
        <v>0.504</v>
      </c>
      <c r="AD41" s="138">
        <f t="shared" ref="AD41:AN41" si="49">IFERROR((($B$6/1000)/($Q$6*D41)),0)</f>
        <v>0</v>
      </c>
      <c r="AE41" s="138">
        <f t="shared" si="49"/>
        <v>0</v>
      </c>
      <c r="AF41" s="138">
        <f t="shared" si="49"/>
        <v>0</v>
      </c>
      <c r="AG41" s="138">
        <f t="shared" si="49"/>
        <v>0</v>
      </c>
      <c r="AH41" s="138">
        <f t="shared" si="49"/>
        <v>0</v>
      </c>
      <c r="AI41" s="138">
        <f t="shared" si="49"/>
        <v>0</v>
      </c>
      <c r="AJ41" s="138">
        <f t="shared" si="49"/>
        <v>0</v>
      </c>
      <c r="AK41" s="138">
        <f t="shared" si="49"/>
        <v>0</v>
      </c>
      <c r="AL41" s="138">
        <f t="shared" si="49"/>
        <v>0.03636363636</v>
      </c>
      <c r="AM41" s="138">
        <f t="shared" si="49"/>
        <v>0.03076923077</v>
      </c>
      <c r="AN41" s="138">
        <f t="shared" si="49"/>
        <v>0.025</v>
      </c>
    </row>
    <row r="42" ht="15.75" customHeight="1">
      <c r="A42" s="139" t="s">
        <v>299</v>
      </c>
      <c r="B42" s="135">
        <v>40.0</v>
      </c>
      <c r="C42" s="140">
        <f t="shared" si="34"/>
        <v>5.380632002</v>
      </c>
      <c r="D42" s="137"/>
      <c r="E42" s="137"/>
      <c r="F42" s="137"/>
      <c r="G42" s="137"/>
      <c r="H42" s="137"/>
      <c r="I42" s="137"/>
      <c r="J42" s="137"/>
      <c r="K42" s="137"/>
      <c r="L42" s="137">
        <v>0.5</v>
      </c>
      <c r="M42" s="137">
        <v>0.6</v>
      </c>
      <c r="N42" s="137">
        <v>0.5</v>
      </c>
      <c r="O42" s="142">
        <v>0.7</v>
      </c>
      <c r="P42" s="142">
        <v>0.05</v>
      </c>
      <c r="Q42" s="142">
        <v>0.25</v>
      </c>
      <c r="R42" s="135">
        <v>0.9</v>
      </c>
      <c r="S42" s="137">
        <f t="shared" si="2"/>
        <v>0</v>
      </c>
      <c r="T42" s="137">
        <f t="shared" si="3"/>
        <v>0</v>
      </c>
      <c r="U42" s="137">
        <f t="shared" si="4"/>
        <v>0</v>
      </c>
      <c r="V42" s="137">
        <f t="shared" si="5"/>
        <v>0</v>
      </c>
      <c r="W42" s="137">
        <f t="shared" si="6"/>
        <v>0</v>
      </c>
      <c r="X42" s="137">
        <f t="shared" si="7"/>
        <v>0</v>
      </c>
      <c r="Y42" s="137">
        <f t="shared" si="8"/>
        <v>0</v>
      </c>
      <c r="Z42" s="137">
        <f t="shared" si="9"/>
        <v>0</v>
      </c>
      <c r="AA42" s="137">
        <f t="shared" si="10"/>
        <v>0.315</v>
      </c>
      <c r="AB42" s="137">
        <f t="shared" si="11"/>
        <v>0.378</v>
      </c>
      <c r="AC42" s="137">
        <f t="shared" si="12"/>
        <v>0.315</v>
      </c>
      <c r="AD42" s="138">
        <f t="shared" ref="AD42:AN42" si="50">IFERROR((($B$6/1000)/($Q$6*D42)),0)</f>
        <v>0</v>
      </c>
      <c r="AE42" s="138">
        <f t="shared" si="50"/>
        <v>0</v>
      </c>
      <c r="AF42" s="138">
        <f t="shared" si="50"/>
        <v>0</v>
      </c>
      <c r="AG42" s="138">
        <f t="shared" si="50"/>
        <v>0</v>
      </c>
      <c r="AH42" s="138">
        <f t="shared" si="50"/>
        <v>0</v>
      </c>
      <c r="AI42" s="138">
        <f t="shared" si="50"/>
        <v>0</v>
      </c>
      <c r="AJ42" s="138">
        <f t="shared" si="50"/>
        <v>0</v>
      </c>
      <c r="AK42" s="138">
        <f t="shared" si="50"/>
        <v>0</v>
      </c>
      <c r="AL42" s="138">
        <f t="shared" si="50"/>
        <v>0.04</v>
      </c>
      <c r="AM42" s="138">
        <f t="shared" si="50"/>
        <v>0.03333333333</v>
      </c>
      <c r="AN42" s="138">
        <f t="shared" si="50"/>
        <v>0.04</v>
      </c>
    </row>
    <row r="43" ht="15.75" customHeight="1">
      <c r="A43" s="139" t="s">
        <v>299</v>
      </c>
      <c r="B43" s="135">
        <v>45.0</v>
      </c>
      <c r="C43" s="140">
        <f t="shared" si="34"/>
        <v>6.187726803</v>
      </c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>
        <v>0.4</v>
      </c>
      <c r="O43" s="142">
        <v>0.7</v>
      </c>
      <c r="P43" s="142">
        <v>0.05</v>
      </c>
      <c r="Q43" s="142">
        <v>0.25</v>
      </c>
      <c r="R43" s="135">
        <v>0.9</v>
      </c>
      <c r="S43" s="137">
        <f t="shared" si="2"/>
        <v>0</v>
      </c>
      <c r="T43" s="137">
        <f t="shared" si="3"/>
        <v>0</v>
      </c>
      <c r="U43" s="137">
        <f t="shared" si="4"/>
        <v>0</v>
      </c>
      <c r="V43" s="137">
        <f t="shared" si="5"/>
        <v>0</v>
      </c>
      <c r="W43" s="137">
        <f t="shared" si="6"/>
        <v>0</v>
      </c>
      <c r="X43" s="137">
        <f t="shared" si="7"/>
        <v>0</v>
      </c>
      <c r="Y43" s="137">
        <f t="shared" si="8"/>
        <v>0</v>
      </c>
      <c r="Z43" s="137">
        <f t="shared" si="9"/>
        <v>0</v>
      </c>
      <c r="AA43" s="137">
        <f t="shared" si="10"/>
        <v>0</v>
      </c>
      <c r="AB43" s="137">
        <f t="shared" si="11"/>
        <v>0</v>
      </c>
      <c r="AC43" s="137">
        <f t="shared" si="12"/>
        <v>0.252</v>
      </c>
      <c r="AD43" s="138">
        <f t="shared" ref="AD43:AN43" si="51">IFERROR((($B$6/1000)/($Q$6*D43)),0)</f>
        <v>0</v>
      </c>
      <c r="AE43" s="138">
        <f t="shared" si="51"/>
        <v>0</v>
      </c>
      <c r="AF43" s="138">
        <f t="shared" si="51"/>
        <v>0</v>
      </c>
      <c r="AG43" s="138">
        <f t="shared" si="51"/>
        <v>0</v>
      </c>
      <c r="AH43" s="138">
        <f t="shared" si="51"/>
        <v>0</v>
      </c>
      <c r="AI43" s="138">
        <f t="shared" si="51"/>
        <v>0</v>
      </c>
      <c r="AJ43" s="138">
        <f t="shared" si="51"/>
        <v>0</v>
      </c>
      <c r="AK43" s="138">
        <f t="shared" si="51"/>
        <v>0</v>
      </c>
      <c r="AL43" s="138">
        <f t="shared" si="51"/>
        <v>0</v>
      </c>
      <c r="AM43" s="138">
        <f t="shared" si="51"/>
        <v>0</v>
      </c>
      <c r="AN43" s="138">
        <f t="shared" si="51"/>
        <v>0.05</v>
      </c>
    </row>
    <row r="44" ht="15.75" customHeight="1">
      <c r="A44" s="90" t="s">
        <v>300</v>
      </c>
      <c r="B44" s="135">
        <v>1.0</v>
      </c>
      <c r="C44" s="135">
        <v>0.3</v>
      </c>
      <c r="D44" s="105">
        <v>5.5</v>
      </c>
      <c r="E44" s="105">
        <v>10.0</v>
      </c>
      <c r="F44" s="105">
        <v>20.0</v>
      </c>
      <c r="G44" s="105">
        <v>25.0</v>
      </c>
      <c r="H44" s="105">
        <v>38.0</v>
      </c>
      <c r="I44" s="105">
        <v>40.0</v>
      </c>
      <c r="J44" s="105">
        <v>55.0</v>
      </c>
      <c r="K44" s="105">
        <v>65.0</v>
      </c>
      <c r="L44" s="105">
        <v>75.0</v>
      </c>
      <c r="M44" s="105">
        <v>85.0</v>
      </c>
      <c r="N44" s="105">
        <v>52.0</v>
      </c>
      <c r="O44" s="136">
        <v>0.6</v>
      </c>
      <c r="P44" s="136">
        <v>0.35</v>
      </c>
      <c r="Q44" s="136">
        <v>0.05</v>
      </c>
      <c r="R44" s="1">
        <v>0.7</v>
      </c>
      <c r="S44" s="137">
        <f t="shared" si="2"/>
        <v>2.31</v>
      </c>
      <c r="T44" s="137">
        <f t="shared" si="3"/>
        <v>4.2</v>
      </c>
      <c r="U44" s="137">
        <f t="shared" si="4"/>
        <v>8.4</v>
      </c>
      <c r="V44" s="137">
        <f t="shared" si="5"/>
        <v>10.5</v>
      </c>
      <c r="W44" s="137">
        <f t="shared" si="6"/>
        <v>15.96</v>
      </c>
      <c r="X44" s="137">
        <f t="shared" si="7"/>
        <v>16.8</v>
      </c>
      <c r="Y44" s="137">
        <f t="shared" si="8"/>
        <v>23.1</v>
      </c>
      <c r="Z44" s="137">
        <f t="shared" si="9"/>
        <v>27.3</v>
      </c>
      <c r="AA44" s="137">
        <f t="shared" si="10"/>
        <v>31.5</v>
      </c>
      <c r="AB44" s="137">
        <f t="shared" si="11"/>
        <v>35.7</v>
      </c>
      <c r="AC44" s="137">
        <f t="shared" si="12"/>
        <v>21.84</v>
      </c>
      <c r="AD44" s="138">
        <f t="shared" ref="AD44:AN44" si="52">IFERROR((($B$6/1000)/($Q$6*D44)),0)</f>
        <v>0.003636363636</v>
      </c>
      <c r="AE44" s="138">
        <f t="shared" si="52"/>
        <v>0.002</v>
      </c>
      <c r="AF44" s="138">
        <f t="shared" si="52"/>
        <v>0.001</v>
      </c>
      <c r="AG44" s="138">
        <f t="shared" si="52"/>
        <v>0.0008</v>
      </c>
      <c r="AH44" s="138">
        <f t="shared" si="52"/>
        <v>0.0005263157895</v>
      </c>
      <c r="AI44" s="138">
        <f t="shared" si="52"/>
        <v>0.0005</v>
      </c>
      <c r="AJ44" s="138">
        <f t="shared" si="52"/>
        <v>0.0003636363636</v>
      </c>
      <c r="AK44" s="138">
        <f t="shared" si="52"/>
        <v>0.0003076923077</v>
      </c>
      <c r="AL44" s="138">
        <f t="shared" si="52"/>
        <v>0.0002666666667</v>
      </c>
      <c r="AM44" s="138">
        <f t="shared" si="52"/>
        <v>0.0002352941176</v>
      </c>
      <c r="AN44" s="138">
        <f t="shared" si="52"/>
        <v>0.0003846153846</v>
      </c>
    </row>
    <row r="45" ht="15.75" customHeight="1">
      <c r="A45" s="90" t="s">
        <v>300</v>
      </c>
      <c r="B45" s="135">
        <v>2.0</v>
      </c>
      <c r="C45" s="140">
        <f t="shared" ref="C45:C64" si="54">C44*1.15</f>
        <v>0.345</v>
      </c>
      <c r="D45" s="108">
        <v>1.5</v>
      </c>
      <c r="E45" s="108">
        <v>5.0</v>
      </c>
      <c r="F45" s="108">
        <v>7.0</v>
      </c>
      <c r="G45" s="108">
        <v>10.0</v>
      </c>
      <c r="H45" s="108">
        <v>18.0</v>
      </c>
      <c r="I45" s="108">
        <v>25.0</v>
      </c>
      <c r="J45" s="108">
        <v>30.0</v>
      </c>
      <c r="K45" s="108">
        <v>38.0</v>
      </c>
      <c r="L45" s="108">
        <v>45.0</v>
      </c>
      <c r="M45" s="108">
        <v>50.0</v>
      </c>
      <c r="N45" s="108">
        <v>38.0</v>
      </c>
      <c r="O45" s="69">
        <v>0.65</v>
      </c>
      <c r="P45" s="69">
        <v>0.25</v>
      </c>
      <c r="Q45" s="69">
        <v>0.1</v>
      </c>
      <c r="R45" s="1">
        <v>0.7</v>
      </c>
      <c r="S45" s="137">
        <f t="shared" si="2"/>
        <v>0.6825</v>
      </c>
      <c r="T45" s="137">
        <f t="shared" si="3"/>
        <v>2.275</v>
      </c>
      <c r="U45" s="137">
        <f t="shared" si="4"/>
        <v>3.185</v>
      </c>
      <c r="V45" s="137">
        <f t="shared" si="5"/>
        <v>4.55</v>
      </c>
      <c r="W45" s="137">
        <f t="shared" si="6"/>
        <v>8.19</v>
      </c>
      <c r="X45" s="137">
        <f t="shared" si="7"/>
        <v>11.375</v>
      </c>
      <c r="Y45" s="137">
        <f t="shared" si="8"/>
        <v>13.65</v>
      </c>
      <c r="Z45" s="137">
        <f t="shared" si="9"/>
        <v>17.29</v>
      </c>
      <c r="AA45" s="137">
        <f t="shared" si="10"/>
        <v>20.475</v>
      </c>
      <c r="AB45" s="137">
        <f t="shared" si="11"/>
        <v>22.75</v>
      </c>
      <c r="AC45" s="137">
        <f t="shared" si="12"/>
        <v>17.29</v>
      </c>
      <c r="AD45" s="138">
        <f t="shared" ref="AD45:AN45" si="53">IFERROR((($B$6/1000)/($Q$6*D45)),0)</f>
        <v>0.01333333333</v>
      </c>
      <c r="AE45" s="138">
        <f t="shared" si="53"/>
        <v>0.004</v>
      </c>
      <c r="AF45" s="138">
        <f t="shared" si="53"/>
        <v>0.002857142857</v>
      </c>
      <c r="AG45" s="138">
        <f t="shared" si="53"/>
        <v>0.002</v>
      </c>
      <c r="AH45" s="138">
        <f t="shared" si="53"/>
        <v>0.001111111111</v>
      </c>
      <c r="AI45" s="138">
        <f t="shared" si="53"/>
        <v>0.0008</v>
      </c>
      <c r="AJ45" s="138">
        <f t="shared" si="53"/>
        <v>0.0006666666667</v>
      </c>
      <c r="AK45" s="138">
        <f t="shared" si="53"/>
        <v>0.0005263157895</v>
      </c>
      <c r="AL45" s="138">
        <f t="shared" si="53"/>
        <v>0.0004444444444</v>
      </c>
      <c r="AM45" s="138">
        <f t="shared" si="53"/>
        <v>0.0004</v>
      </c>
      <c r="AN45" s="138">
        <f t="shared" si="53"/>
        <v>0.0005263157895</v>
      </c>
    </row>
    <row r="46" ht="15.75" customHeight="1">
      <c r="A46" s="90" t="s">
        <v>300</v>
      </c>
      <c r="B46" s="135">
        <v>3.0</v>
      </c>
      <c r="C46" s="140">
        <f t="shared" si="54"/>
        <v>0.39675</v>
      </c>
      <c r="D46" s="108"/>
      <c r="E46" s="108">
        <v>1.5</v>
      </c>
      <c r="F46" s="108">
        <v>4.0</v>
      </c>
      <c r="G46" s="108">
        <v>6.0</v>
      </c>
      <c r="H46" s="108">
        <v>8.0</v>
      </c>
      <c r="I46" s="108">
        <v>13.0</v>
      </c>
      <c r="J46" s="108">
        <v>18.0</v>
      </c>
      <c r="K46" s="108">
        <v>30.0</v>
      </c>
      <c r="L46" s="108">
        <v>35.0</v>
      </c>
      <c r="M46" s="108">
        <v>40.0</v>
      </c>
      <c r="N46" s="108">
        <v>27.0</v>
      </c>
      <c r="O46" s="69">
        <v>0.65</v>
      </c>
      <c r="P46" s="69">
        <v>0.25</v>
      </c>
      <c r="Q46" s="69">
        <v>0.1</v>
      </c>
      <c r="R46" s="1">
        <v>0.7</v>
      </c>
      <c r="S46" s="137">
        <f t="shared" si="2"/>
        <v>0</v>
      </c>
      <c r="T46" s="137">
        <f t="shared" si="3"/>
        <v>0.6825</v>
      </c>
      <c r="U46" s="137">
        <f t="shared" si="4"/>
        <v>1.82</v>
      </c>
      <c r="V46" s="137">
        <f t="shared" si="5"/>
        <v>2.73</v>
      </c>
      <c r="W46" s="137">
        <f t="shared" si="6"/>
        <v>3.64</v>
      </c>
      <c r="X46" s="137">
        <f t="shared" si="7"/>
        <v>5.915</v>
      </c>
      <c r="Y46" s="137">
        <f t="shared" si="8"/>
        <v>8.19</v>
      </c>
      <c r="Z46" s="137">
        <f t="shared" si="9"/>
        <v>13.65</v>
      </c>
      <c r="AA46" s="137">
        <f t="shared" si="10"/>
        <v>15.925</v>
      </c>
      <c r="AB46" s="137">
        <f t="shared" si="11"/>
        <v>18.2</v>
      </c>
      <c r="AC46" s="137">
        <f t="shared" si="12"/>
        <v>12.285</v>
      </c>
      <c r="AD46" s="138">
        <f t="shared" ref="AD46:AN46" si="55">IFERROR((($B$6/1000)/($Q$6*D46)),0)</f>
        <v>0</v>
      </c>
      <c r="AE46" s="138">
        <f t="shared" si="55"/>
        <v>0.01333333333</v>
      </c>
      <c r="AF46" s="138">
        <f t="shared" si="55"/>
        <v>0.005</v>
      </c>
      <c r="AG46" s="138">
        <f t="shared" si="55"/>
        <v>0.003333333333</v>
      </c>
      <c r="AH46" s="138">
        <f t="shared" si="55"/>
        <v>0.0025</v>
      </c>
      <c r="AI46" s="138">
        <f t="shared" si="55"/>
        <v>0.001538461538</v>
      </c>
      <c r="AJ46" s="138">
        <f t="shared" si="55"/>
        <v>0.001111111111</v>
      </c>
      <c r="AK46" s="138">
        <f t="shared" si="55"/>
        <v>0.0006666666667</v>
      </c>
      <c r="AL46" s="138">
        <f t="shared" si="55"/>
        <v>0.0005714285714</v>
      </c>
      <c r="AM46" s="138">
        <f t="shared" si="55"/>
        <v>0.0005</v>
      </c>
      <c r="AN46" s="138">
        <f t="shared" si="55"/>
        <v>0.0007407407407</v>
      </c>
    </row>
    <row r="47" ht="15.75" customHeight="1">
      <c r="A47" s="90" t="s">
        <v>300</v>
      </c>
      <c r="B47" s="135">
        <v>4.0</v>
      </c>
      <c r="C47" s="140">
        <f t="shared" si="54"/>
        <v>0.4562625</v>
      </c>
      <c r="D47" s="108"/>
      <c r="E47" s="108"/>
      <c r="F47" s="108">
        <v>1.5</v>
      </c>
      <c r="G47" s="108">
        <v>3.0</v>
      </c>
      <c r="H47" s="108">
        <v>5.0</v>
      </c>
      <c r="I47" s="108">
        <v>7.0</v>
      </c>
      <c r="J47" s="108">
        <v>12.0</v>
      </c>
      <c r="K47" s="108">
        <v>18.0</v>
      </c>
      <c r="L47" s="108">
        <v>30.0</v>
      </c>
      <c r="M47" s="108">
        <v>38.0</v>
      </c>
      <c r="N47" s="108">
        <v>22.0</v>
      </c>
      <c r="O47" s="69">
        <v>0.65</v>
      </c>
      <c r="P47" s="69">
        <v>0.2</v>
      </c>
      <c r="Q47" s="69">
        <v>0.15</v>
      </c>
      <c r="R47" s="1">
        <v>0.8</v>
      </c>
      <c r="S47" s="137">
        <f t="shared" si="2"/>
        <v>0</v>
      </c>
      <c r="T47" s="137">
        <f t="shared" si="3"/>
        <v>0</v>
      </c>
      <c r="U47" s="137">
        <f t="shared" si="4"/>
        <v>0.78</v>
      </c>
      <c r="V47" s="137">
        <f t="shared" si="5"/>
        <v>1.56</v>
      </c>
      <c r="W47" s="137">
        <f t="shared" si="6"/>
        <v>2.6</v>
      </c>
      <c r="X47" s="137">
        <f t="shared" si="7"/>
        <v>3.64</v>
      </c>
      <c r="Y47" s="137">
        <f t="shared" si="8"/>
        <v>6.24</v>
      </c>
      <c r="Z47" s="137">
        <f t="shared" si="9"/>
        <v>9.36</v>
      </c>
      <c r="AA47" s="137">
        <f t="shared" si="10"/>
        <v>15.6</v>
      </c>
      <c r="AB47" s="137">
        <f t="shared" si="11"/>
        <v>19.76</v>
      </c>
      <c r="AC47" s="137">
        <f t="shared" si="12"/>
        <v>11.44</v>
      </c>
      <c r="AD47" s="138">
        <f t="shared" ref="AD47:AN47" si="56">IFERROR((($B$6/1000)/($Q$6*D47)),0)</f>
        <v>0</v>
      </c>
      <c r="AE47" s="138">
        <f t="shared" si="56"/>
        <v>0</v>
      </c>
      <c r="AF47" s="138">
        <f t="shared" si="56"/>
        <v>0.01333333333</v>
      </c>
      <c r="AG47" s="138">
        <f t="shared" si="56"/>
        <v>0.006666666667</v>
      </c>
      <c r="AH47" s="138">
        <f t="shared" si="56"/>
        <v>0.004</v>
      </c>
      <c r="AI47" s="138">
        <f t="shared" si="56"/>
        <v>0.002857142857</v>
      </c>
      <c r="AJ47" s="138">
        <f t="shared" si="56"/>
        <v>0.001666666667</v>
      </c>
      <c r="AK47" s="138">
        <f t="shared" si="56"/>
        <v>0.001111111111</v>
      </c>
      <c r="AL47" s="138">
        <f t="shared" si="56"/>
        <v>0.0006666666667</v>
      </c>
      <c r="AM47" s="138">
        <f t="shared" si="56"/>
        <v>0.0005263157895</v>
      </c>
      <c r="AN47" s="138">
        <f t="shared" si="56"/>
        <v>0.0009090909091</v>
      </c>
    </row>
    <row r="48" ht="15.75" customHeight="1">
      <c r="A48" s="90" t="s">
        <v>300</v>
      </c>
      <c r="B48" s="135">
        <v>5.0</v>
      </c>
      <c r="C48" s="140">
        <f t="shared" si="54"/>
        <v>0.524701875</v>
      </c>
      <c r="D48" s="108"/>
      <c r="E48" s="108"/>
      <c r="F48" s="108">
        <v>1.0</v>
      </c>
      <c r="G48" s="108">
        <v>1.8</v>
      </c>
      <c r="H48" s="108">
        <v>3.5</v>
      </c>
      <c r="I48" s="108">
        <v>5.0</v>
      </c>
      <c r="J48" s="108">
        <v>8.0</v>
      </c>
      <c r="K48" s="108">
        <v>12.0</v>
      </c>
      <c r="L48" s="108">
        <v>20.0</v>
      </c>
      <c r="M48" s="108">
        <v>25.0</v>
      </c>
      <c r="N48" s="108">
        <v>17.0</v>
      </c>
      <c r="O48" s="69">
        <v>0.65</v>
      </c>
      <c r="P48" s="69">
        <v>0.2</v>
      </c>
      <c r="Q48" s="69">
        <v>0.15</v>
      </c>
      <c r="R48" s="1">
        <v>0.8</v>
      </c>
      <c r="S48" s="137">
        <f t="shared" si="2"/>
        <v>0</v>
      </c>
      <c r="T48" s="137">
        <f t="shared" si="3"/>
        <v>0</v>
      </c>
      <c r="U48" s="137">
        <f t="shared" si="4"/>
        <v>0.52</v>
      </c>
      <c r="V48" s="137">
        <f t="shared" si="5"/>
        <v>0.936</v>
      </c>
      <c r="W48" s="137">
        <f t="shared" si="6"/>
        <v>1.82</v>
      </c>
      <c r="X48" s="137">
        <f t="shared" si="7"/>
        <v>2.6</v>
      </c>
      <c r="Y48" s="137">
        <f t="shared" si="8"/>
        <v>4.16</v>
      </c>
      <c r="Z48" s="137">
        <f t="shared" si="9"/>
        <v>6.24</v>
      </c>
      <c r="AA48" s="137">
        <f t="shared" si="10"/>
        <v>10.4</v>
      </c>
      <c r="AB48" s="137">
        <f t="shared" si="11"/>
        <v>13</v>
      </c>
      <c r="AC48" s="137">
        <f t="shared" si="12"/>
        <v>8.84</v>
      </c>
      <c r="AD48" s="138">
        <f t="shared" ref="AD48:AN48" si="57">IFERROR((($B$6/1000)/($Q$6*D48)),0)</f>
        <v>0</v>
      </c>
      <c r="AE48" s="138">
        <f t="shared" si="57"/>
        <v>0</v>
      </c>
      <c r="AF48" s="138">
        <f t="shared" si="57"/>
        <v>0.02</v>
      </c>
      <c r="AG48" s="138">
        <f t="shared" si="57"/>
        <v>0.01111111111</v>
      </c>
      <c r="AH48" s="138">
        <f t="shared" si="57"/>
        <v>0.005714285714</v>
      </c>
      <c r="AI48" s="138">
        <f t="shared" si="57"/>
        <v>0.004</v>
      </c>
      <c r="AJ48" s="138">
        <f t="shared" si="57"/>
        <v>0.0025</v>
      </c>
      <c r="AK48" s="138">
        <f t="shared" si="57"/>
        <v>0.001666666667</v>
      </c>
      <c r="AL48" s="138">
        <f t="shared" si="57"/>
        <v>0.001</v>
      </c>
      <c r="AM48" s="138">
        <f t="shared" si="57"/>
        <v>0.0008</v>
      </c>
      <c r="AN48" s="138">
        <f t="shared" si="57"/>
        <v>0.001176470588</v>
      </c>
    </row>
    <row r="49" ht="15.75" customHeight="1">
      <c r="A49" s="90" t="s">
        <v>300</v>
      </c>
      <c r="B49" s="135">
        <v>6.0</v>
      </c>
      <c r="C49" s="140">
        <f t="shared" si="54"/>
        <v>0.6034071563</v>
      </c>
      <c r="D49" s="108"/>
      <c r="E49" s="108"/>
      <c r="F49" s="108"/>
      <c r="G49" s="108">
        <v>1.0</v>
      </c>
      <c r="H49" s="108">
        <v>2.5</v>
      </c>
      <c r="I49" s="108">
        <v>3.5</v>
      </c>
      <c r="J49" s="108">
        <v>6.0</v>
      </c>
      <c r="K49" s="108">
        <v>8.0</v>
      </c>
      <c r="L49" s="108">
        <v>12.0</v>
      </c>
      <c r="M49" s="108">
        <v>18.0</v>
      </c>
      <c r="N49" s="108">
        <v>14.0</v>
      </c>
      <c r="O49" s="69">
        <v>0.65</v>
      </c>
      <c r="P49" s="69">
        <v>0.2</v>
      </c>
      <c r="Q49" s="69">
        <v>0.15</v>
      </c>
      <c r="R49" s="1">
        <v>0.8</v>
      </c>
      <c r="S49" s="137">
        <f t="shared" si="2"/>
        <v>0</v>
      </c>
      <c r="T49" s="137">
        <f t="shared" si="3"/>
        <v>0</v>
      </c>
      <c r="U49" s="137">
        <f t="shared" si="4"/>
        <v>0</v>
      </c>
      <c r="V49" s="137">
        <f t="shared" si="5"/>
        <v>0.52</v>
      </c>
      <c r="W49" s="137">
        <f t="shared" si="6"/>
        <v>1.3</v>
      </c>
      <c r="X49" s="137">
        <f t="shared" si="7"/>
        <v>1.82</v>
      </c>
      <c r="Y49" s="137">
        <f t="shared" si="8"/>
        <v>3.12</v>
      </c>
      <c r="Z49" s="137">
        <f t="shared" si="9"/>
        <v>4.16</v>
      </c>
      <c r="AA49" s="137">
        <f t="shared" si="10"/>
        <v>6.24</v>
      </c>
      <c r="AB49" s="137">
        <f t="shared" si="11"/>
        <v>9.36</v>
      </c>
      <c r="AC49" s="137">
        <f t="shared" si="12"/>
        <v>7.28</v>
      </c>
      <c r="AD49" s="138">
        <f t="shared" ref="AD49:AN49" si="58">IFERROR((($B$6/1000)/($Q$6*D49)),0)</f>
        <v>0</v>
      </c>
      <c r="AE49" s="138">
        <f t="shared" si="58"/>
        <v>0</v>
      </c>
      <c r="AF49" s="138">
        <f t="shared" si="58"/>
        <v>0</v>
      </c>
      <c r="AG49" s="138">
        <f t="shared" si="58"/>
        <v>0.02</v>
      </c>
      <c r="AH49" s="138">
        <f t="shared" si="58"/>
        <v>0.008</v>
      </c>
      <c r="AI49" s="138">
        <f t="shared" si="58"/>
        <v>0.005714285714</v>
      </c>
      <c r="AJ49" s="138">
        <f t="shared" si="58"/>
        <v>0.003333333333</v>
      </c>
      <c r="AK49" s="138">
        <f t="shared" si="58"/>
        <v>0.0025</v>
      </c>
      <c r="AL49" s="138">
        <f t="shared" si="58"/>
        <v>0.001666666667</v>
      </c>
      <c r="AM49" s="138">
        <f t="shared" si="58"/>
        <v>0.001111111111</v>
      </c>
      <c r="AN49" s="138">
        <f t="shared" si="58"/>
        <v>0.001428571429</v>
      </c>
    </row>
    <row r="50" ht="15.75" customHeight="1">
      <c r="A50" s="90" t="s">
        <v>300</v>
      </c>
      <c r="B50" s="135">
        <v>8.0</v>
      </c>
      <c r="C50" s="140">
        <f t="shared" si="54"/>
        <v>0.6939182297</v>
      </c>
      <c r="D50" s="108"/>
      <c r="E50" s="141"/>
      <c r="F50" s="108"/>
      <c r="G50" s="108">
        <v>0.8</v>
      </c>
      <c r="H50" s="108">
        <v>1.0</v>
      </c>
      <c r="I50" s="108">
        <v>1.6</v>
      </c>
      <c r="J50" s="108">
        <v>3.0</v>
      </c>
      <c r="K50" s="108">
        <v>6.0</v>
      </c>
      <c r="L50" s="108">
        <v>8.0</v>
      </c>
      <c r="M50" s="108">
        <v>12.0</v>
      </c>
      <c r="N50" s="108">
        <v>9.0</v>
      </c>
      <c r="O50" s="69">
        <v>0.7</v>
      </c>
      <c r="P50" s="69">
        <v>0.15</v>
      </c>
      <c r="Q50" s="69">
        <v>0.15</v>
      </c>
      <c r="R50" s="1">
        <v>0.8</v>
      </c>
      <c r="S50" s="137">
        <f t="shared" si="2"/>
        <v>0</v>
      </c>
      <c r="T50" s="137">
        <f t="shared" si="3"/>
        <v>0</v>
      </c>
      <c r="U50" s="137">
        <f t="shared" si="4"/>
        <v>0</v>
      </c>
      <c r="V50" s="137">
        <f t="shared" si="5"/>
        <v>0.448</v>
      </c>
      <c r="W50" s="137">
        <f t="shared" si="6"/>
        <v>0.56</v>
      </c>
      <c r="X50" s="137">
        <f t="shared" si="7"/>
        <v>0.896</v>
      </c>
      <c r="Y50" s="137">
        <f t="shared" si="8"/>
        <v>1.68</v>
      </c>
      <c r="Z50" s="137">
        <f t="shared" si="9"/>
        <v>3.36</v>
      </c>
      <c r="AA50" s="137">
        <f t="shared" si="10"/>
        <v>4.48</v>
      </c>
      <c r="AB50" s="137">
        <f t="shared" si="11"/>
        <v>6.72</v>
      </c>
      <c r="AC50" s="137">
        <f t="shared" si="12"/>
        <v>5.04</v>
      </c>
      <c r="AD50" s="138">
        <f t="shared" ref="AD50:AN50" si="59">IFERROR((($B$6/1000)/($Q$6*D50)),0)</f>
        <v>0</v>
      </c>
      <c r="AE50" s="138">
        <f t="shared" si="59"/>
        <v>0</v>
      </c>
      <c r="AF50" s="138">
        <f t="shared" si="59"/>
        <v>0</v>
      </c>
      <c r="AG50" s="138">
        <f t="shared" si="59"/>
        <v>0.025</v>
      </c>
      <c r="AH50" s="138">
        <f t="shared" si="59"/>
        <v>0.02</v>
      </c>
      <c r="AI50" s="138">
        <f t="shared" si="59"/>
        <v>0.0125</v>
      </c>
      <c r="AJ50" s="138">
        <f t="shared" si="59"/>
        <v>0.006666666667</v>
      </c>
      <c r="AK50" s="138">
        <f t="shared" si="59"/>
        <v>0.003333333333</v>
      </c>
      <c r="AL50" s="138">
        <f t="shared" si="59"/>
        <v>0.0025</v>
      </c>
      <c r="AM50" s="138">
        <f t="shared" si="59"/>
        <v>0.001666666667</v>
      </c>
      <c r="AN50" s="138">
        <f t="shared" si="59"/>
        <v>0.002222222222</v>
      </c>
    </row>
    <row r="51" ht="15.75" customHeight="1">
      <c r="A51" s="90" t="s">
        <v>300</v>
      </c>
      <c r="B51" s="135">
        <v>10.0</v>
      </c>
      <c r="C51" s="140">
        <f t="shared" si="54"/>
        <v>0.7980059641</v>
      </c>
      <c r="D51" s="108"/>
      <c r="E51" s="108"/>
      <c r="F51" s="108"/>
      <c r="G51" s="108"/>
      <c r="H51" s="108">
        <v>0.7</v>
      </c>
      <c r="I51" s="108">
        <v>1.5</v>
      </c>
      <c r="J51" s="108">
        <v>2.0</v>
      </c>
      <c r="K51" s="108">
        <v>3.0</v>
      </c>
      <c r="L51" s="108">
        <v>6.0</v>
      </c>
      <c r="M51" s="108">
        <v>8.0</v>
      </c>
      <c r="N51" s="108">
        <v>7.0</v>
      </c>
      <c r="O51" s="69">
        <v>0.7</v>
      </c>
      <c r="P51" s="69">
        <v>0.1</v>
      </c>
      <c r="Q51" s="69">
        <v>0.2</v>
      </c>
      <c r="R51" s="1">
        <v>0.8</v>
      </c>
      <c r="S51" s="137">
        <f t="shared" si="2"/>
        <v>0</v>
      </c>
      <c r="T51" s="137">
        <f t="shared" si="3"/>
        <v>0</v>
      </c>
      <c r="U51" s="137">
        <f t="shared" si="4"/>
        <v>0</v>
      </c>
      <c r="V51" s="137">
        <f t="shared" si="5"/>
        <v>0</v>
      </c>
      <c r="W51" s="137">
        <f t="shared" si="6"/>
        <v>0.392</v>
      </c>
      <c r="X51" s="137">
        <f t="shared" si="7"/>
        <v>0.84</v>
      </c>
      <c r="Y51" s="137">
        <f t="shared" si="8"/>
        <v>1.12</v>
      </c>
      <c r="Z51" s="137">
        <f t="shared" si="9"/>
        <v>1.68</v>
      </c>
      <c r="AA51" s="137">
        <f t="shared" si="10"/>
        <v>3.36</v>
      </c>
      <c r="AB51" s="137">
        <f t="shared" si="11"/>
        <v>4.48</v>
      </c>
      <c r="AC51" s="137">
        <f t="shared" si="12"/>
        <v>3.92</v>
      </c>
      <c r="AD51" s="138">
        <f t="shared" ref="AD51:AN51" si="60">IFERROR((($B$6/1000)/($Q$6*D51)),0)</f>
        <v>0</v>
      </c>
      <c r="AE51" s="138">
        <f t="shared" si="60"/>
        <v>0</v>
      </c>
      <c r="AF51" s="138">
        <f t="shared" si="60"/>
        <v>0</v>
      </c>
      <c r="AG51" s="138">
        <f t="shared" si="60"/>
        <v>0</v>
      </c>
      <c r="AH51" s="138">
        <f t="shared" si="60"/>
        <v>0.02857142857</v>
      </c>
      <c r="AI51" s="138">
        <f t="shared" si="60"/>
        <v>0.01333333333</v>
      </c>
      <c r="AJ51" s="138">
        <f t="shared" si="60"/>
        <v>0.01</v>
      </c>
      <c r="AK51" s="138">
        <f t="shared" si="60"/>
        <v>0.006666666667</v>
      </c>
      <c r="AL51" s="138">
        <f t="shared" si="60"/>
        <v>0.003333333333</v>
      </c>
      <c r="AM51" s="138">
        <f t="shared" si="60"/>
        <v>0.0025</v>
      </c>
      <c r="AN51" s="138">
        <f t="shared" si="60"/>
        <v>0.002857142857</v>
      </c>
    </row>
    <row r="52" ht="15.75" customHeight="1">
      <c r="A52" s="90" t="s">
        <v>300</v>
      </c>
      <c r="B52" s="135">
        <v>12.0</v>
      </c>
      <c r="C52" s="140">
        <f t="shared" si="54"/>
        <v>0.9177068588</v>
      </c>
      <c r="D52" s="108"/>
      <c r="E52" s="108"/>
      <c r="F52" s="108"/>
      <c r="G52" s="108"/>
      <c r="H52" s="108">
        <v>0.45</v>
      </c>
      <c r="I52" s="108">
        <v>0.6</v>
      </c>
      <c r="J52" s="108">
        <v>1.4</v>
      </c>
      <c r="K52" s="108">
        <v>2.0</v>
      </c>
      <c r="L52" s="108">
        <v>3.0</v>
      </c>
      <c r="M52" s="108">
        <v>6.0</v>
      </c>
      <c r="N52" s="108">
        <v>3.5</v>
      </c>
      <c r="O52" s="69">
        <v>0.7</v>
      </c>
      <c r="P52" s="69">
        <v>0.1</v>
      </c>
      <c r="Q52" s="69">
        <v>0.2</v>
      </c>
      <c r="R52" s="1">
        <v>0.9</v>
      </c>
      <c r="S52" s="137">
        <f t="shared" si="2"/>
        <v>0</v>
      </c>
      <c r="T52" s="137">
        <f t="shared" si="3"/>
        <v>0</v>
      </c>
      <c r="U52" s="137">
        <f t="shared" si="4"/>
        <v>0</v>
      </c>
      <c r="V52" s="137">
        <f t="shared" si="5"/>
        <v>0</v>
      </c>
      <c r="W52" s="137">
        <f t="shared" si="6"/>
        <v>0.2835</v>
      </c>
      <c r="X52" s="137">
        <f t="shared" si="7"/>
        <v>0.378</v>
      </c>
      <c r="Y52" s="137">
        <f t="shared" si="8"/>
        <v>0.882</v>
      </c>
      <c r="Z52" s="137">
        <f t="shared" si="9"/>
        <v>1.26</v>
      </c>
      <c r="AA52" s="137">
        <f t="shared" si="10"/>
        <v>1.89</v>
      </c>
      <c r="AB52" s="137">
        <f t="shared" si="11"/>
        <v>3.78</v>
      </c>
      <c r="AC52" s="137">
        <f t="shared" si="12"/>
        <v>2.205</v>
      </c>
      <c r="AD52" s="138">
        <f t="shared" ref="AD52:AN52" si="61">IFERROR((($B$6/1000)/($Q$6*D52)),0)</f>
        <v>0</v>
      </c>
      <c r="AE52" s="138">
        <f t="shared" si="61"/>
        <v>0</v>
      </c>
      <c r="AF52" s="138">
        <f t="shared" si="61"/>
        <v>0</v>
      </c>
      <c r="AG52" s="138">
        <f t="shared" si="61"/>
        <v>0</v>
      </c>
      <c r="AH52" s="138">
        <f t="shared" si="61"/>
        <v>0.04444444444</v>
      </c>
      <c r="AI52" s="138">
        <f t="shared" si="61"/>
        <v>0.03333333333</v>
      </c>
      <c r="AJ52" s="138">
        <f t="shared" si="61"/>
        <v>0.01428571429</v>
      </c>
      <c r="AK52" s="138">
        <f t="shared" si="61"/>
        <v>0.01</v>
      </c>
      <c r="AL52" s="138">
        <f t="shared" si="61"/>
        <v>0.006666666667</v>
      </c>
      <c r="AM52" s="138">
        <f t="shared" si="61"/>
        <v>0.003333333333</v>
      </c>
      <c r="AN52" s="138">
        <f t="shared" si="61"/>
        <v>0.005714285714</v>
      </c>
    </row>
    <row r="53" ht="15.75" customHeight="1">
      <c r="A53" s="90" t="s">
        <v>300</v>
      </c>
      <c r="B53" s="135">
        <v>14.0</v>
      </c>
      <c r="C53" s="140">
        <f t="shared" si="54"/>
        <v>1.055362888</v>
      </c>
      <c r="D53" s="108"/>
      <c r="E53" s="108"/>
      <c r="F53" s="108"/>
      <c r="G53" s="108"/>
      <c r="H53" s="108"/>
      <c r="I53" s="108">
        <v>0.4</v>
      </c>
      <c r="J53" s="108">
        <v>1.1</v>
      </c>
      <c r="K53" s="108">
        <v>1.2</v>
      </c>
      <c r="L53" s="108">
        <v>2.5</v>
      </c>
      <c r="M53" s="108">
        <v>2.5</v>
      </c>
      <c r="N53" s="108">
        <v>3.0</v>
      </c>
      <c r="O53" s="69">
        <v>0.7</v>
      </c>
      <c r="P53" s="69">
        <v>0.1</v>
      </c>
      <c r="Q53" s="69">
        <v>0.2</v>
      </c>
      <c r="R53" s="1">
        <v>0.9</v>
      </c>
      <c r="S53" s="137">
        <f t="shared" si="2"/>
        <v>0</v>
      </c>
      <c r="T53" s="137">
        <f t="shared" si="3"/>
        <v>0</v>
      </c>
      <c r="U53" s="137">
        <f t="shared" si="4"/>
        <v>0</v>
      </c>
      <c r="V53" s="137">
        <f t="shared" si="5"/>
        <v>0</v>
      </c>
      <c r="W53" s="137">
        <f t="shared" si="6"/>
        <v>0</v>
      </c>
      <c r="X53" s="137">
        <f t="shared" si="7"/>
        <v>0.252</v>
      </c>
      <c r="Y53" s="137">
        <f t="shared" si="8"/>
        <v>0.693</v>
      </c>
      <c r="Z53" s="137">
        <f t="shared" si="9"/>
        <v>0.756</v>
      </c>
      <c r="AA53" s="137">
        <f t="shared" si="10"/>
        <v>1.575</v>
      </c>
      <c r="AB53" s="137">
        <f t="shared" si="11"/>
        <v>1.575</v>
      </c>
      <c r="AC53" s="137">
        <f t="shared" si="12"/>
        <v>1.89</v>
      </c>
      <c r="AD53" s="138">
        <f t="shared" ref="AD53:AN53" si="62">IFERROR((($B$6/1000)/($Q$6*D53)),0)</f>
        <v>0</v>
      </c>
      <c r="AE53" s="138">
        <f t="shared" si="62"/>
        <v>0</v>
      </c>
      <c r="AF53" s="138">
        <f t="shared" si="62"/>
        <v>0</v>
      </c>
      <c r="AG53" s="138">
        <f t="shared" si="62"/>
        <v>0</v>
      </c>
      <c r="AH53" s="138">
        <f t="shared" si="62"/>
        <v>0</v>
      </c>
      <c r="AI53" s="138">
        <f t="shared" si="62"/>
        <v>0.05</v>
      </c>
      <c r="AJ53" s="138">
        <f t="shared" si="62"/>
        <v>0.01818181818</v>
      </c>
      <c r="AK53" s="138">
        <f t="shared" si="62"/>
        <v>0.01666666667</v>
      </c>
      <c r="AL53" s="138">
        <f t="shared" si="62"/>
        <v>0.008</v>
      </c>
      <c r="AM53" s="138">
        <f t="shared" si="62"/>
        <v>0.008</v>
      </c>
      <c r="AN53" s="138">
        <f t="shared" si="62"/>
        <v>0.006666666667</v>
      </c>
    </row>
    <row r="54" ht="15.75" customHeight="1">
      <c r="A54" s="90" t="s">
        <v>300</v>
      </c>
      <c r="B54" s="135">
        <v>16.0</v>
      </c>
      <c r="C54" s="140">
        <f t="shared" si="54"/>
        <v>1.213667321</v>
      </c>
      <c r="D54" s="108"/>
      <c r="E54" s="108"/>
      <c r="F54" s="108"/>
      <c r="G54" s="108"/>
      <c r="H54" s="108"/>
      <c r="I54" s="108"/>
      <c r="J54" s="108">
        <v>0.8</v>
      </c>
      <c r="K54" s="108">
        <v>1.6</v>
      </c>
      <c r="L54" s="108">
        <v>2.0</v>
      </c>
      <c r="M54" s="108">
        <v>3.0</v>
      </c>
      <c r="N54" s="108">
        <v>2.5</v>
      </c>
      <c r="O54" s="69">
        <v>0.7</v>
      </c>
      <c r="P54" s="69">
        <v>0.05</v>
      </c>
      <c r="Q54" s="69">
        <v>0.25</v>
      </c>
      <c r="R54" s="1">
        <v>0.9</v>
      </c>
      <c r="S54" s="137">
        <f t="shared" si="2"/>
        <v>0</v>
      </c>
      <c r="T54" s="137">
        <f t="shared" si="3"/>
        <v>0</v>
      </c>
      <c r="U54" s="137">
        <f t="shared" si="4"/>
        <v>0</v>
      </c>
      <c r="V54" s="137">
        <f t="shared" si="5"/>
        <v>0</v>
      </c>
      <c r="W54" s="137">
        <f t="shared" si="6"/>
        <v>0</v>
      </c>
      <c r="X54" s="137">
        <f t="shared" si="7"/>
        <v>0</v>
      </c>
      <c r="Y54" s="137">
        <f t="shared" si="8"/>
        <v>0.504</v>
      </c>
      <c r="Z54" s="137">
        <f t="shared" si="9"/>
        <v>1.008</v>
      </c>
      <c r="AA54" s="137">
        <f t="shared" si="10"/>
        <v>1.26</v>
      </c>
      <c r="AB54" s="137">
        <f t="shared" si="11"/>
        <v>1.89</v>
      </c>
      <c r="AC54" s="137">
        <f t="shared" si="12"/>
        <v>1.575</v>
      </c>
      <c r="AD54" s="138">
        <f t="shared" ref="AD54:AN54" si="63">IFERROR((($B$6/1000)/($Q$6*D54)),0)</f>
        <v>0</v>
      </c>
      <c r="AE54" s="138">
        <f t="shared" si="63"/>
        <v>0</v>
      </c>
      <c r="AF54" s="138">
        <f t="shared" si="63"/>
        <v>0</v>
      </c>
      <c r="AG54" s="138">
        <f t="shared" si="63"/>
        <v>0</v>
      </c>
      <c r="AH54" s="138">
        <f t="shared" si="63"/>
        <v>0</v>
      </c>
      <c r="AI54" s="138">
        <f t="shared" si="63"/>
        <v>0</v>
      </c>
      <c r="AJ54" s="138">
        <f t="shared" si="63"/>
        <v>0.025</v>
      </c>
      <c r="AK54" s="138">
        <f t="shared" si="63"/>
        <v>0.0125</v>
      </c>
      <c r="AL54" s="138">
        <f t="shared" si="63"/>
        <v>0.01</v>
      </c>
      <c r="AM54" s="138">
        <f t="shared" si="63"/>
        <v>0.006666666667</v>
      </c>
      <c r="AN54" s="138">
        <f t="shared" si="63"/>
        <v>0.008</v>
      </c>
    </row>
    <row r="55" ht="15.75" customHeight="1">
      <c r="A55" s="90" t="s">
        <v>300</v>
      </c>
      <c r="B55" s="135">
        <v>18.0</v>
      </c>
      <c r="C55" s="140">
        <f t="shared" si="54"/>
        <v>1.395717419</v>
      </c>
      <c r="D55" s="108"/>
      <c r="E55" s="108"/>
      <c r="F55" s="108"/>
      <c r="G55" s="108"/>
      <c r="H55" s="108"/>
      <c r="I55" s="108"/>
      <c r="J55" s="108">
        <v>0.75</v>
      </c>
      <c r="K55" s="108">
        <v>1.3</v>
      </c>
      <c r="L55" s="108">
        <v>1.8</v>
      </c>
      <c r="M55" s="108">
        <v>2.5</v>
      </c>
      <c r="N55" s="108">
        <v>1.85</v>
      </c>
      <c r="O55" s="69">
        <v>0.7</v>
      </c>
      <c r="P55" s="69">
        <v>0.05</v>
      </c>
      <c r="Q55" s="69">
        <v>0.25</v>
      </c>
      <c r="R55" s="1">
        <v>0.9</v>
      </c>
      <c r="S55" s="137">
        <f t="shared" si="2"/>
        <v>0</v>
      </c>
      <c r="T55" s="137">
        <f t="shared" si="3"/>
        <v>0</v>
      </c>
      <c r="U55" s="137">
        <f t="shared" si="4"/>
        <v>0</v>
      </c>
      <c r="V55" s="137">
        <f t="shared" si="5"/>
        <v>0</v>
      </c>
      <c r="W55" s="137">
        <f t="shared" si="6"/>
        <v>0</v>
      </c>
      <c r="X55" s="137">
        <f t="shared" si="7"/>
        <v>0</v>
      </c>
      <c r="Y55" s="137">
        <f t="shared" si="8"/>
        <v>0.4725</v>
      </c>
      <c r="Z55" s="137">
        <f t="shared" si="9"/>
        <v>0.819</v>
      </c>
      <c r="AA55" s="137">
        <f t="shared" si="10"/>
        <v>1.134</v>
      </c>
      <c r="AB55" s="137">
        <f t="shared" si="11"/>
        <v>1.575</v>
      </c>
      <c r="AC55" s="137">
        <f t="shared" si="12"/>
        <v>1.1655</v>
      </c>
      <c r="AD55" s="138">
        <f t="shared" ref="AD55:AN55" si="64">IFERROR((($B$6/1000)/($Q$6*D55)),0)</f>
        <v>0</v>
      </c>
      <c r="AE55" s="138">
        <f t="shared" si="64"/>
        <v>0</v>
      </c>
      <c r="AF55" s="138">
        <f t="shared" si="64"/>
        <v>0</v>
      </c>
      <c r="AG55" s="138">
        <f t="shared" si="64"/>
        <v>0</v>
      </c>
      <c r="AH55" s="138">
        <f t="shared" si="64"/>
        <v>0</v>
      </c>
      <c r="AI55" s="138">
        <f t="shared" si="64"/>
        <v>0</v>
      </c>
      <c r="AJ55" s="138">
        <f t="shared" si="64"/>
        <v>0.02666666667</v>
      </c>
      <c r="AK55" s="138">
        <f t="shared" si="64"/>
        <v>0.01538461538</v>
      </c>
      <c r="AL55" s="138">
        <f t="shared" si="64"/>
        <v>0.01111111111</v>
      </c>
      <c r="AM55" s="138">
        <f t="shared" si="64"/>
        <v>0.008</v>
      </c>
      <c r="AN55" s="138">
        <f t="shared" si="64"/>
        <v>0.01081081081</v>
      </c>
    </row>
    <row r="56" ht="15.75" customHeight="1">
      <c r="A56" s="90" t="s">
        <v>300</v>
      </c>
      <c r="B56" s="135">
        <v>20.0</v>
      </c>
      <c r="C56" s="140">
        <f t="shared" si="54"/>
        <v>1.605075032</v>
      </c>
      <c r="D56" s="108"/>
      <c r="E56" s="108"/>
      <c r="F56" s="108"/>
      <c r="G56" s="108"/>
      <c r="H56" s="108"/>
      <c r="I56" s="108"/>
      <c r="J56" s="108">
        <v>0.7</v>
      </c>
      <c r="K56" s="108">
        <v>1.0</v>
      </c>
      <c r="L56" s="108">
        <v>1.6</v>
      </c>
      <c r="M56" s="108">
        <v>2.0</v>
      </c>
      <c r="N56" s="108">
        <v>1.2</v>
      </c>
      <c r="O56" s="69">
        <v>0.7</v>
      </c>
      <c r="P56" s="69">
        <v>0.05</v>
      </c>
      <c r="Q56" s="69">
        <v>0.25</v>
      </c>
      <c r="R56" s="1">
        <v>0.9</v>
      </c>
      <c r="S56" s="137">
        <f t="shared" si="2"/>
        <v>0</v>
      </c>
      <c r="T56" s="137">
        <f t="shared" si="3"/>
        <v>0</v>
      </c>
      <c r="U56" s="137">
        <f t="shared" si="4"/>
        <v>0</v>
      </c>
      <c r="V56" s="137">
        <f t="shared" si="5"/>
        <v>0</v>
      </c>
      <c r="W56" s="137">
        <f t="shared" si="6"/>
        <v>0</v>
      </c>
      <c r="X56" s="137">
        <f t="shared" si="7"/>
        <v>0</v>
      </c>
      <c r="Y56" s="137">
        <f t="shared" si="8"/>
        <v>0.441</v>
      </c>
      <c r="Z56" s="137">
        <f t="shared" si="9"/>
        <v>0.63</v>
      </c>
      <c r="AA56" s="137">
        <f t="shared" si="10"/>
        <v>1.008</v>
      </c>
      <c r="AB56" s="137">
        <f t="shared" si="11"/>
        <v>1.26</v>
      </c>
      <c r="AC56" s="137">
        <f t="shared" si="12"/>
        <v>0.756</v>
      </c>
      <c r="AD56" s="138">
        <f t="shared" ref="AD56:AN56" si="65">IFERROR((($B$6/1000)/($Q$6*D56)),0)</f>
        <v>0</v>
      </c>
      <c r="AE56" s="138">
        <f t="shared" si="65"/>
        <v>0</v>
      </c>
      <c r="AF56" s="138">
        <f t="shared" si="65"/>
        <v>0</v>
      </c>
      <c r="AG56" s="138">
        <f t="shared" si="65"/>
        <v>0</v>
      </c>
      <c r="AH56" s="138">
        <f t="shared" si="65"/>
        <v>0</v>
      </c>
      <c r="AI56" s="138">
        <f t="shared" si="65"/>
        <v>0</v>
      </c>
      <c r="AJ56" s="138">
        <f t="shared" si="65"/>
        <v>0.02857142857</v>
      </c>
      <c r="AK56" s="138">
        <f t="shared" si="65"/>
        <v>0.02</v>
      </c>
      <c r="AL56" s="138">
        <f t="shared" si="65"/>
        <v>0.0125</v>
      </c>
      <c r="AM56" s="138">
        <f t="shared" si="65"/>
        <v>0.01</v>
      </c>
      <c r="AN56" s="138">
        <f t="shared" si="65"/>
        <v>0.01666666667</v>
      </c>
    </row>
    <row r="57" ht="15.75" customHeight="1">
      <c r="A57" s="90" t="s">
        <v>300</v>
      </c>
      <c r="B57" s="135">
        <v>22.0</v>
      </c>
      <c r="C57" s="140">
        <f t="shared" si="54"/>
        <v>1.845836286</v>
      </c>
      <c r="D57" s="108"/>
      <c r="E57" s="108"/>
      <c r="F57" s="108"/>
      <c r="G57" s="108"/>
      <c r="H57" s="108"/>
      <c r="I57" s="108"/>
      <c r="J57" s="108"/>
      <c r="K57" s="108">
        <v>0.85</v>
      </c>
      <c r="L57" s="108">
        <v>1.3</v>
      </c>
      <c r="M57" s="108">
        <v>1.8</v>
      </c>
      <c r="N57" s="108">
        <v>0.95</v>
      </c>
      <c r="O57" s="69">
        <v>0.7</v>
      </c>
      <c r="P57" s="69">
        <v>0.05</v>
      </c>
      <c r="Q57" s="69">
        <v>0.25</v>
      </c>
      <c r="R57" s="1">
        <v>0.9</v>
      </c>
      <c r="S57" s="137">
        <f t="shared" si="2"/>
        <v>0</v>
      </c>
      <c r="T57" s="137">
        <f t="shared" si="3"/>
        <v>0</v>
      </c>
      <c r="U57" s="137">
        <f t="shared" si="4"/>
        <v>0</v>
      </c>
      <c r="V57" s="137">
        <f t="shared" si="5"/>
        <v>0</v>
      </c>
      <c r="W57" s="137">
        <f t="shared" si="6"/>
        <v>0</v>
      </c>
      <c r="X57" s="137">
        <f t="shared" si="7"/>
        <v>0</v>
      </c>
      <c r="Y57" s="137">
        <f t="shared" si="8"/>
        <v>0</v>
      </c>
      <c r="Z57" s="137">
        <f t="shared" si="9"/>
        <v>0.5355</v>
      </c>
      <c r="AA57" s="137">
        <f t="shared" si="10"/>
        <v>0.819</v>
      </c>
      <c r="AB57" s="137">
        <f t="shared" si="11"/>
        <v>1.134</v>
      </c>
      <c r="AC57" s="137">
        <f t="shared" si="12"/>
        <v>0.5985</v>
      </c>
      <c r="AD57" s="138">
        <f t="shared" ref="AD57:AN57" si="66">IFERROR((($B$6/1000)/($Q$6*D57)),0)</f>
        <v>0</v>
      </c>
      <c r="AE57" s="138">
        <f t="shared" si="66"/>
        <v>0</v>
      </c>
      <c r="AF57" s="138">
        <f t="shared" si="66"/>
        <v>0</v>
      </c>
      <c r="AG57" s="138">
        <f t="shared" si="66"/>
        <v>0</v>
      </c>
      <c r="AH57" s="138">
        <f t="shared" si="66"/>
        <v>0</v>
      </c>
      <c r="AI57" s="138">
        <f t="shared" si="66"/>
        <v>0</v>
      </c>
      <c r="AJ57" s="138">
        <f t="shared" si="66"/>
        <v>0</v>
      </c>
      <c r="AK57" s="138">
        <f t="shared" si="66"/>
        <v>0.02352941176</v>
      </c>
      <c r="AL57" s="138">
        <f t="shared" si="66"/>
        <v>0.01538461538</v>
      </c>
      <c r="AM57" s="138">
        <f t="shared" si="66"/>
        <v>0.01111111111</v>
      </c>
      <c r="AN57" s="138">
        <f t="shared" si="66"/>
        <v>0.02105263158</v>
      </c>
    </row>
    <row r="58" ht="15.75" customHeight="1">
      <c r="A58" s="90" t="s">
        <v>300</v>
      </c>
      <c r="B58" s="135">
        <v>25.0</v>
      </c>
      <c r="C58" s="140">
        <f t="shared" si="54"/>
        <v>2.122711729</v>
      </c>
      <c r="D58" s="137"/>
      <c r="E58" s="137"/>
      <c r="F58" s="137"/>
      <c r="G58" s="137"/>
      <c r="H58" s="137"/>
      <c r="I58" s="137"/>
      <c r="J58" s="141"/>
      <c r="K58" s="108">
        <v>0.7</v>
      </c>
      <c r="L58" s="108">
        <v>1.0</v>
      </c>
      <c r="M58" s="108">
        <v>1.6</v>
      </c>
      <c r="N58" s="141">
        <v>0.7</v>
      </c>
      <c r="O58" s="142">
        <v>0.7</v>
      </c>
      <c r="P58" s="142">
        <v>0.05</v>
      </c>
      <c r="Q58" s="142">
        <v>0.25</v>
      </c>
      <c r="R58" s="135">
        <v>0.9</v>
      </c>
      <c r="S58" s="137">
        <f t="shared" si="2"/>
        <v>0</v>
      </c>
      <c r="T58" s="137">
        <f t="shared" si="3"/>
        <v>0</v>
      </c>
      <c r="U58" s="137">
        <f t="shared" si="4"/>
        <v>0</v>
      </c>
      <c r="V58" s="137">
        <f t="shared" si="5"/>
        <v>0</v>
      </c>
      <c r="W58" s="137">
        <f t="shared" si="6"/>
        <v>0</v>
      </c>
      <c r="X58" s="137">
        <f t="shared" si="7"/>
        <v>0</v>
      </c>
      <c r="Y58" s="137">
        <f t="shared" si="8"/>
        <v>0</v>
      </c>
      <c r="Z58" s="137">
        <f t="shared" si="9"/>
        <v>0.441</v>
      </c>
      <c r="AA58" s="137">
        <f t="shared" si="10"/>
        <v>0.63</v>
      </c>
      <c r="AB58" s="137">
        <f t="shared" si="11"/>
        <v>1.008</v>
      </c>
      <c r="AC58" s="137">
        <f t="shared" si="12"/>
        <v>0.441</v>
      </c>
      <c r="AD58" s="138">
        <f t="shared" ref="AD58:AN58" si="67">IFERROR((($B$6/1000)/($Q$6*D58)),0)</f>
        <v>0</v>
      </c>
      <c r="AE58" s="138">
        <f t="shared" si="67"/>
        <v>0</v>
      </c>
      <c r="AF58" s="138">
        <f t="shared" si="67"/>
        <v>0</v>
      </c>
      <c r="AG58" s="138">
        <f t="shared" si="67"/>
        <v>0</v>
      </c>
      <c r="AH58" s="138">
        <f t="shared" si="67"/>
        <v>0</v>
      </c>
      <c r="AI58" s="138">
        <f t="shared" si="67"/>
        <v>0</v>
      </c>
      <c r="AJ58" s="138">
        <f t="shared" si="67"/>
        <v>0</v>
      </c>
      <c r="AK58" s="138">
        <f t="shared" si="67"/>
        <v>0.02857142857</v>
      </c>
      <c r="AL58" s="138">
        <f t="shared" si="67"/>
        <v>0.02</v>
      </c>
      <c r="AM58" s="138">
        <f t="shared" si="67"/>
        <v>0.0125</v>
      </c>
      <c r="AN58" s="138">
        <f t="shared" si="67"/>
        <v>0.02857142857</v>
      </c>
    </row>
    <row r="59" ht="15.75" customHeight="1">
      <c r="A59" s="90" t="s">
        <v>300</v>
      </c>
      <c r="B59" s="135">
        <v>30.0</v>
      </c>
      <c r="C59" s="140">
        <f t="shared" si="54"/>
        <v>2.441118489</v>
      </c>
      <c r="D59" s="137"/>
      <c r="E59" s="137"/>
      <c r="F59" s="137"/>
      <c r="G59" s="137"/>
      <c r="H59" s="137"/>
      <c r="I59" s="137"/>
      <c r="J59" s="137"/>
      <c r="K59" s="137"/>
      <c r="L59" s="137">
        <v>0.7</v>
      </c>
      <c r="M59" s="137">
        <v>0.5</v>
      </c>
      <c r="N59" s="137">
        <v>0.5</v>
      </c>
      <c r="O59" s="142">
        <v>0.7</v>
      </c>
      <c r="P59" s="142">
        <v>0.05</v>
      </c>
      <c r="Q59" s="142">
        <v>0.25</v>
      </c>
      <c r="R59" s="135">
        <v>0.9</v>
      </c>
      <c r="S59" s="137">
        <f t="shared" si="2"/>
        <v>0</v>
      </c>
      <c r="T59" s="137">
        <f t="shared" si="3"/>
        <v>0</v>
      </c>
      <c r="U59" s="137">
        <f t="shared" si="4"/>
        <v>0</v>
      </c>
      <c r="V59" s="137">
        <f t="shared" si="5"/>
        <v>0</v>
      </c>
      <c r="W59" s="137">
        <f t="shared" si="6"/>
        <v>0</v>
      </c>
      <c r="X59" s="137">
        <f t="shared" si="7"/>
        <v>0</v>
      </c>
      <c r="Y59" s="137">
        <f t="shared" si="8"/>
        <v>0</v>
      </c>
      <c r="Z59" s="137">
        <f t="shared" si="9"/>
        <v>0</v>
      </c>
      <c r="AA59" s="137">
        <f t="shared" si="10"/>
        <v>0.441</v>
      </c>
      <c r="AB59" s="137">
        <f t="shared" si="11"/>
        <v>0.315</v>
      </c>
      <c r="AC59" s="137">
        <f t="shared" si="12"/>
        <v>0.315</v>
      </c>
      <c r="AD59" s="138">
        <f t="shared" ref="AD59:AN59" si="68">IFERROR((($B$6/1000)/($Q$6*D59)),0)</f>
        <v>0</v>
      </c>
      <c r="AE59" s="138">
        <f t="shared" si="68"/>
        <v>0</v>
      </c>
      <c r="AF59" s="138">
        <f t="shared" si="68"/>
        <v>0</v>
      </c>
      <c r="AG59" s="138">
        <f t="shared" si="68"/>
        <v>0</v>
      </c>
      <c r="AH59" s="138">
        <f t="shared" si="68"/>
        <v>0</v>
      </c>
      <c r="AI59" s="138">
        <f t="shared" si="68"/>
        <v>0</v>
      </c>
      <c r="AJ59" s="138">
        <f t="shared" si="68"/>
        <v>0</v>
      </c>
      <c r="AK59" s="138">
        <f t="shared" si="68"/>
        <v>0</v>
      </c>
      <c r="AL59" s="138">
        <f t="shared" si="68"/>
        <v>0.02857142857</v>
      </c>
      <c r="AM59" s="138">
        <f t="shared" si="68"/>
        <v>0.04</v>
      </c>
      <c r="AN59" s="138">
        <f t="shared" si="68"/>
        <v>0.04</v>
      </c>
    </row>
    <row r="60" ht="15.75" customHeight="1">
      <c r="A60" s="90" t="s">
        <v>300</v>
      </c>
      <c r="B60" s="135">
        <v>35.0</v>
      </c>
      <c r="C60" s="140">
        <f t="shared" si="54"/>
        <v>2.807286262</v>
      </c>
      <c r="D60" s="137"/>
      <c r="E60" s="137"/>
      <c r="F60" s="137"/>
      <c r="G60" s="137"/>
      <c r="H60" s="137"/>
      <c r="I60" s="137"/>
      <c r="J60" s="137"/>
      <c r="K60" s="137"/>
      <c r="L60" s="137"/>
      <c r="M60" s="137">
        <v>1.0</v>
      </c>
      <c r="N60" s="137">
        <v>0.4</v>
      </c>
      <c r="O60" s="142">
        <v>0.7</v>
      </c>
      <c r="P60" s="142">
        <v>0.05</v>
      </c>
      <c r="Q60" s="142">
        <v>0.25</v>
      </c>
      <c r="R60" s="135">
        <v>0.9</v>
      </c>
      <c r="S60" s="137">
        <f t="shared" si="2"/>
        <v>0</v>
      </c>
      <c r="T60" s="137">
        <f t="shared" si="3"/>
        <v>0</v>
      </c>
      <c r="U60" s="137">
        <f t="shared" si="4"/>
        <v>0</v>
      </c>
      <c r="V60" s="137">
        <f t="shared" si="5"/>
        <v>0</v>
      </c>
      <c r="W60" s="137">
        <f t="shared" si="6"/>
        <v>0</v>
      </c>
      <c r="X60" s="137">
        <f t="shared" si="7"/>
        <v>0</v>
      </c>
      <c r="Y60" s="137">
        <f t="shared" si="8"/>
        <v>0</v>
      </c>
      <c r="Z60" s="137">
        <f t="shared" si="9"/>
        <v>0</v>
      </c>
      <c r="AA60" s="137">
        <f t="shared" si="10"/>
        <v>0</v>
      </c>
      <c r="AB60" s="137">
        <f t="shared" si="11"/>
        <v>0.63</v>
      </c>
      <c r="AC60" s="137">
        <f t="shared" si="12"/>
        <v>0.252</v>
      </c>
      <c r="AD60" s="138">
        <f t="shared" ref="AD60:AN60" si="69">IFERROR((($B$6/1000)/($Q$6*D60)),0)</f>
        <v>0</v>
      </c>
      <c r="AE60" s="138">
        <f t="shared" si="69"/>
        <v>0</v>
      </c>
      <c r="AF60" s="138">
        <f t="shared" si="69"/>
        <v>0</v>
      </c>
      <c r="AG60" s="138">
        <f t="shared" si="69"/>
        <v>0</v>
      </c>
      <c r="AH60" s="138">
        <f t="shared" si="69"/>
        <v>0</v>
      </c>
      <c r="AI60" s="138">
        <f t="shared" si="69"/>
        <v>0</v>
      </c>
      <c r="AJ60" s="138">
        <f t="shared" si="69"/>
        <v>0</v>
      </c>
      <c r="AK60" s="138">
        <f t="shared" si="69"/>
        <v>0</v>
      </c>
      <c r="AL60" s="138">
        <f t="shared" si="69"/>
        <v>0</v>
      </c>
      <c r="AM60" s="138">
        <f t="shared" si="69"/>
        <v>0.02</v>
      </c>
      <c r="AN60" s="138">
        <f t="shared" si="69"/>
        <v>0.05</v>
      </c>
    </row>
    <row r="61" ht="15.75" customHeight="1">
      <c r="A61" s="90" t="s">
        <v>300</v>
      </c>
      <c r="B61" s="135">
        <v>40.0</v>
      </c>
      <c r="C61" s="140">
        <f t="shared" si="54"/>
        <v>3.228379201</v>
      </c>
      <c r="D61" s="137"/>
      <c r="E61" s="137"/>
      <c r="F61" s="137"/>
      <c r="G61" s="137"/>
      <c r="H61" s="137"/>
      <c r="I61" s="137"/>
      <c r="J61" s="137"/>
      <c r="K61" s="137"/>
      <c r="L61" s="137"/>
      <c r="M61" s="137">
        <v>0.3</v>
      </c>
      <c r="N61" s="137">
        <v>0.3</v>
      </c>
      <c r="O61" s="142">
        <v>0.7</v>
      </c>
      <c r="P61" s="142">
        <v>0.05</v>
      </c>
      <c r="Q61" s="142">
        <v>0.25</v>
      </c>
      <c r="R61" s="135">
        <v>0.9</v>
      </c>
      <c r="S61" s="137">
        <f t="shared" si="2"/>
        <v>0</v>
      </c>
      <c r="T61" s="137">
        <f t="shared" si="3"/>
        <v>0</v>
      </c>
      <c r="U61" s="137">
        <f t="shared" si="4"/>
        <v>0</v>
      </c>
      <c r="V61" s="137">
        <f t="shared" si="5"/>
        <v>0</v>
      </c>
      <c r="W61" s="137">
        <f t="shared" si="6"/>
        <v>0</v>
      </c>
      <c r="X61" s="137">
        <f t="shared" si="7"/>
        <v>0</v>
      </c>
      <c r="Y61" s="137">
        <f t="shared" si="8"/>
        <v>0</v>
      </c>
      <c r="Z61" s="137">
        <f t="shared" si="9"/>
        <v>0</v>
      </c>
      <c r="AA61" s="137">
        <f t="shared" si="10"/>
        <v>0</v>
      </c>
      <c r="AB61" s="137">
        <f t="shared" si="11"/>
        <v>0.189</v>
      </c>
      <c r="AC61" s="137">
        <f t="shared" si="12"/>
        <v>0.189</v>
      </c>
      <c r="AD61" s="138">
        <f t="shared" ref="AD61:AN61" si="70">IFERROR((($B$6/1000)/($Q$6*D61)),0)</f>
        <v>0</v>
      </c>
      <c r="AE61" s="138">
        <f t="shared" si="70"/>
        <v>0</v>
      </c>
      <c r="AF61" s="138">
        <f t="shared" si="70"/>
        <v>0</v>
      </c>
      <c r="AG61" s="138">
        <f t="shared" si="70"/>
        <v>0</v>
      </c>
      <c r="AH61" s="138">
        <f t="shared" si="70"/>
        <v>0</v>
      </c>
      <c r="AI61" s="138">
        <f t="shared" si="70"/>
        <v>0</v>
      </c>
      <c r="AJ61" s="138">
        <f t="shared" si="70"/>
        <v>0</v>
      </c>
      <c r="AK61" s="138">
        <f t="shared" si="70"/>
        <v>0</v>
      </c>
      <c r="AL61" s="138">
        <f t="shared" si="70"/>
        <v>0</v>
      </c>
      <c r="AM61" s="138">
        <f t="shared" si="70"/>
        <v>0.06666666667</v>
      </c>
      <c r="AN61" s="138">
        <f t="shared" si="70"/>
        <v>0.06666666667</v>
      </c>
    </row>
    <row r="62" ht="15.75" customHeight="1">
      <c r="A62" s="90" t="s">
        <v>300</v>
      </c>
      <c r="B62" s="135">
        <v>45.0</v>
      </c>
      <c r="C62" s="140">
        <f t="shared" si="54"/>
        <v>3.712636082</v>
      </c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>
        <v>0.275</v>
      </c>
      <c r="O62" s="142">
        <v>0.7</v>
      </c>
      <c r="P62" s="142">
        <v>0.05</v>
      </c>
      <c r="Q62" s="142">
        <v>0.25</v>
      </c>
      <c r="R62" s="135">
        <v>0.9</v>
      </c>
      <c r="S62" s="137">
        <f t="shared" si="2"/>
        <v>0</v>
      </c>
      <c r="T62" s="137">
        <f t="shared" si="3"/>
        <v>0</v>
      </c>
      <c r="U62" s="137">
        <f t="shared" si="4"/>
        <v>0</v>
      </c>
      <c r="V62" s="137">
        <f t="shared" si="5"/>
        <v>0</v>
      </c>
      <c r="W62" s="137">
        <f t="shared" si="6"/>
        <v>0</v>
      </c>
      <c r="X62" s="137">
        <f t="shared" si="7"/>
        <v>0</v>
      </c>
      <c r="Y62" s="137">
        <f t="shared" si="8"/>
        <v>0</v>
      </c>
      <c r="Z62" s="137">
        <f t="shared" si="9"/>
        <v>0</v>
      </c>
      <c r="AA62" s="137">
        <f t="shared" si="10"/>
        <v>0</v>
      </c>
      <c r="AB62" s="137">
        <f t="shared" si="11"/>
        <v>0</v>
      </c>
      <c r="AC62" s="137">
        <f t="shared" si="12"/>
        <v>0.17325</v>
      </c>
      <c r="AD62" s="138">
        <f t="shared" ref="AD62:AN62" si="71">IFERROR((($B$6/1000)/($Q$6*D62)),0)</f>
        <v>0</v>
      </c>
      <c r="AE62" s="138">
        <f t="shared" si="71"/>
        <v>0</v>
      </c>
      <c r="AF62" s="138">
        <f t="shared" si="71"/>
        <v>0</v>
      </c>
      <c r="AG62" s="138">
        <f t="shared" si="71"/>
        <v>0</v>
      </c>
      <c r="AH62" s="138">
        <f t="shared" si="71"/>
        <v>0</v>
      </c>
      <c r="AI62" s="138">
        <f t="shared" si="71"/>
        <v>0</v>
      </c>
      <c r="AJ62" s="138">
        <f t="shared" si="71"/>
        <v>0</v>
      </c>
      <c r="AK62" s="138">
        <f t="shared" si="71"/>
        <v>0</v>
      </c>
      <c r="AL62" s="138">
        <f t="shared" si="71"/>
        <v>0</v>
      </c>
      <c r="AM62" s="138">
        <f t="shared" si="71"/>
        <v>0</v>
      </c>
      <c r="AN62" s="138">
        <f t="shared" si="71"/>
        <v>0.07272727273</v>
      </c>
    </row>
    <row r="63" ht="15.75" customHeight="1">
      <c r="A63" s="90" t="s">
        <v>300</v>
      </c>
      <c r="B63" s="135">
        <v>50.0</v>
      </c>
      <c r="C63" s="140">
        <f t="shared" si="54"/>
        <v>4.269531494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>
        <v>0.25</v>
      </c>
      <c r="O63" s="142">
        <v>0.7</v>
      </c>
      <c r="P63" s="142">
        <v>0.05</v>
      </c>
      <c r="Q63" s="142">
        <v>0.25</v>
      </c>
      <c r="R63" s="135">
        <v>0.9</v>
      </c>
      <c r="S63" s="137">
        <f t="shared" si="2"/>
        <v>0</v>
      </c>
      <c r="T63" s="137">
        <f t="shared" si="3"/>
        <v>0</v>
      </c>
      <c r="U63" s="137">
        <f t="shared" si="4"/>
        <v>0</v>
      </c>
      <c r="V63" s="137">
        <f t="shared" si="5"/>
        <v>0</v>
      </c>
      <c r="W63" s="137">
        <f t="shared" si="6"/>
        <v>0</v>
      </c>
      <c r="X63" s="137">
        <f t="shared" si="7"/>
        <v>0</v>
      </c>
      <c r="Y63" s="137">
        <f t="shared" si="8"/>
        <v>0</v>
      </c>
      <c r="Z63" s="137">
        <f t="shared" si="9"/>
        <v>0</v>
      </c>
      <c r="AA63" s="137">
        <f t="shared" si="10"/>
        <v>0</v>
      </c>
      <c r="AB63" s="137">
        <f t="shared" si="11"/>
        <v>0</v>
      </c>
      <c r="AC63" s="137">
        <f t="shared" si="12"/>
        <v>0.1575</v>
      </c>
      <c r="AD63" s="138">
        <f t="shared" ref="AD63:AN63" si="72">IFERROR((($B$6/1000)/($Q$6*D63)),0)</f>
        <v>0</v>
      </c>
      <c r="AE63" s="138">
        <f t="shared" si="72"/>
        <v>0</v>
      </c>
      <c r="AF63" s="138">
        <f t="shared" si="72"/>
        <v>0</v>
      </c>
      <c r="AG63" s="138">
        <f t="shared" si="72"/>
        <v>0</v>
      </c>
      <c r="AH63" s="138">
        <f t="shared" si="72"/>
        <v>0</v>
      </c>
      <c r="AI63" s="138">
        <f t="shared" si="72"/>
        <v>0</v>
      </c>
      <c r="AJ63" s="138">
        <f t="shared" si="72"/>
        <v>0</v>
      </c>
      <c r="AK63" s="138">
        <f t="shared" si="72"/>
        <v>0</v>
      </c>
      <c r="AL63" s="138">
        <f t="shared" si="72"/>
        <v>0</v>
      </c>
      <c r="AM63" s="138">
        <f t="shared" si="72"/>
        <v>0</v>
      </c>
      <c r="AN63" s="138">
        <f t="shared" si="72"/>
        <v>0.08</v>
      </c>
    </row>
    <row r="64" ht="15.75" customHeight="1">
      <c r="A64" s="90" t="s">
        <v>300</v>
      </c>
      <c r="B64" s="135">
        <v>60.0</v>
      </c>
      <c r="C64" s="140">
        <f t="shared" si="54"/>
        <v>4.909961218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42">
        <v>0.7</v>
      </c>
      <c r="P64" s="142">
        <v>0.05</v>
      </c>
      <c r="Q64" s="142">
        <v>0.25</v>
      </c>
      <c r="R64" s="135">
        <v>0.9</v>
      </c>
      <c r="S64" s="137">
        <f t="shared" si="2"/>
        <v>0</v>
      </c>
      <c r="T64" s="137">
        <f t="shared" si="3"/>
        <v>0</v>
      </c>
      <c r="U64" s="137">
        <f t="shared" si="4"/>
        <v>0</v>
      </c>
      <c r="V64" s="137">
        <f t="shared" si="5"/>
        <v>0</v>
      </c>
      <c r="W64" s="137">
        <f t="shared" si="6"/>
        <v>0</v>
      </c>
      <c r="X64" s="137">
        <f t="shared" si="7"/>
        <v>0</v>
      </c>
      <c r="Y64" s="137">
        <f t="shared" si="8"/>
        <v>0</v>
      </c>
      <c r="Z64" s="137">
        <f t="shared" si="9"/>
        <v>0</v>
      </c>
      <c r="AA64" s="137">
        <f t="shared" si="10"/>
        <v>0</v>
      </c>
      <c r="AB64" s="137">
        <f t="shared" si="11"/>
        <v>0</v>
      </c>
      <c r="AC64" s="137">
        <f t="shared" si="12"/>
        <v>0</v>
      </c>
      <c r="AD64" s="138">
        <f t="shared" ref="AD64:AN64" si="73">IFERROR((($B$6/1000)/($Q$6*D64)),0)</f>
        <v>0</v>
      </c>
      <c r="AE64" s="138">
        <f t="shared" si="73"/>
        <v>0</v>
      </c>
      <c r="AF64" s="138">
        <f t="shared" si="73"/>
        <v>0</v>
      </c>
      <c r="AG64" s="138">
        <f t="shared" si="73"/>
        <v>0</v>
      </c>
      <c r="AH64" s="138">
        <f t="shared" si="73"/>
        <v>0</v>
      </c>
      <c r="AI64" s="138">
        <f t="shared" si="73"/>
        <v>0</v>
      </c>
      <c r="AJ64" s="138">
        <f t="shared" si="73"/>
        <v>0</v>
      </c>
      <c r="AK64" s="138">
        <f t="shared" si="73"/>
        <v>0</v>
      </c>
      <c r="AL64" s="138">
        <f t="shared" si="73"/>
        <v>0</v>
      </c>
      <c r="AM64" s="138">
        <f t="shared" si="73"/>
        <v>0</v>
      </c>
      <c r="AN64" s="138">
        <f t="shared" si="73"/>
        <v>0</v>
      </c>
    </row>
    <row r="65" ht="15.75" customHeight="1">
      <c r="A65" s="90" t="s">
        <v>301</v>
      </c>
      <c r="B65" s="135">
        <v>1.0</v>
      </c>
      <c r="C65" s="135">
        <v>0.5</v>
      </c>
      <c r="D65" s="105">
        <v>5.5</v>
      </c>
      <c r="E65" s="105">
        <v>10.0</v>
      </c>
      <c r="F65" s="105">
        <v>15.0</v>
      </c>
      <c r="G65" s="105">
        <v>18.0</v>
      </c>
      <c r="H65" s="105">
        <v>35.0</v>
      </c>
      <c r="I65" s="105">
        <v>30.0</v>
      </c>
      <c r="J65" s="105">
        <v>55.0</v>
      </c>
      <c r="K65" s="105">
        <v>65.0</v>
      </c>
      <c r="L65" s="105">
        <v>75.0</v>
      </c>
      <c r="M65" s="105">
        <v>85.0</v>
      </c>
      <c r="N65" s="105">
        <v>40.0</v>
      </c>
      <c r="O65" s="136">
        <v>0.6</v>
      </c>
      <c r="P65" s="136">
        <v>0.35</v>
      </c>
      <c r="Q65" s="136">
        <v>0.05</v>
      </c>
      <c r="R65" s="1">
        <v>0.7</v>
      </c>
      <c r="S65" s="137">
        <f t="shared" si="2"/>
        <v>2.31</v>
      </c>
      <c r="T65" s="137">
        <f t="shared" si="3"/>
        <v>4.2</v>
      </c>
      <c r="U65" s="137">
        <f t="shared" si="4"/>
        <v>6.3</v>
      </c>
      <c r="V65" s="137">
        <f t="shared" si="5"/>
        <v>7.56</v>
      </c>
      <c r="W65" s="137">
        <f t="shared" si="6"/>
        <v>14.7</v>
      </c>
      <c r="X65" s="137">
        <f t="shared" si="7"/>
        <v>12.6</v>
      </c>
      <c r="Y65" s="137">
        <f t="shared" si="8"/>
        <v>23.1</v>
      </c>
      <c r="Z65" s="137">
        <f t="shared" si="9"/>
        <v>27.3</v>
      </c>
      <c r="AA65" s="137">
        <f t="shared" si="10"/>
        <v>31.5</v>
      </c>
      <c r="AB65" s="137">
        <f t="shared" si="11"/>
        <v>35.7</v>
      </c>
      <c r="AC65" s="137">
        <f t="shared" si="12"/>
        <v>16.8</v>
      </c>
      <c r="AD65" s="138">
        <f t="shared" ref="AD65:AN65" si="74">IFERROR((($B$6/1000)/($Q$6*D65)),0)</f>
        <v>0.003636363636</v>
      </c>
      <c r="AE65" s="138">
        <f t="shared" si="74"/>
        <v>0.002</v>
      </c>
      <c r="AF65" s="138">
        <f t="shared" si="74"/>
        <v>0.001333333333</v>
      </c>
      <c r="AG65" s="138">
        <f t="shared" si="74"/>
        <v>0.001111111111</v>
      </c>
      <c r="AH65" s="138">
        <f t="shared" si="74"/>
        <v>0.0005714285714</v>
      </c>
      <c r="AI65" s="138">
        <f t="shared" si="74"/>
        <v>0.0006666666667</v>
      </c>
      <c r="AJ65" s="138">
        <f t="shared" si="74"/>
        <v>0.0003636363636</v>
      </c>
      <c r="AK65" s="138">
        <f t="shared" si="74"/>
        <v>0.0003076923077</v>
      </c>
      <c r="AL65" s="138">
        <f t="shared" si="74"/>
        <v>0.0002666666667</v>
      </c>
      <c r="AM65" s="138">
        <f t="shared" si="74"/>
        <v>0.0002352941176</v>
      </c>
      <c r="AN65" s="138">
        <f t="shared" si="74"/>
        <v>0.0005</v>
      </c>
    </row>
    <row r="66" ht="15.75" customHeight="1">
      <c r="A66" s="90" t="s">
        <v>301</v>
      </c>
      <c r="B66" s="135">
        <v>2.0</v>
      </c>
      <c r="C66" s="140">
        <f t="shared" ref="C66:C78" si="76">C65*1.15</f>
        <v>0.575</v>
      </c>
      <c r="D66" s="108">
        <v>1.0</v>
      </c>
      <c r="E66" s="108">
        <v>3.6</v>
      </c>
      <c r="F66" s="108">
        <v>5.0</v>
      </c>
      <c r="G66" s="108">
        <v>8.0</v>
      </c>
      <c r="H66" s="108">
        <v>15.0</v>
      </c>
      <c r="I66" s="108">
        <v>15.0</v>
      </c>
      <c r="J66" s="108">
        <v>30.0</v>
      </c>
      <c r="K66" s="108">
        <v>40.0</v>
      </c>
      <c r="L66" s="108">
        <v>45.0</v>
      </c>
      <c r="M66" s="108">
        <v>50.0</v>
      </c>
      <c r="N66" s="108">
        <v>37.0</v>
      </c>
      <c r="O66" s="69">
        <v>0.65</v>
      </c>
      <c r="P66" s="69">
        <v>0.25</v>
      </c>
      <c r="Q66" s="69">
        <v>0.1</v>
      </c>
      <c r="R66" s="1">
        <v>0.7</v>
      </c>
      <c r="S66" s="137">
        <f t="shared" si="2"/>
        <v>0.455</v>
      </c>
      <c r="T66" s="137">
        <f t="shared" si="3"/>
        <v>1.638</v>
      </c>
      <c r="U66" s="137">
        <f t="shared" si="4"/>
        <v>2.275</v>
      </c>
      <c r="V66" s="137">
        <f t="shared" si="5"/>
        <v>3.64</v>
      </c>
      <c r="W66" s="137">
        <f t="shared" si="6"/>
        <v>6.825</v>
      </c>
      <c r="X66" s="137">
        <f t="shared" si="7"/>
        <v>6.825</v>
      </c>
      <c r="Y66" s="137">
        <f t="shared" si="8"/>
        <v>13.65</v>
      </c>
      <c r="Z66" s="137">
        <f t="shared" si="9"/>
        <v>18.2</v>
      </c>
      <c r="AA66" s="137">
        <f t="shared" si="10"/>
        <v>20.475</v>
      </c>
      <c r="AB66" s="137">
        <f t="shared" si="11"/>
        <v>22.75</v>
      </c>
      <c r="AC66" s="137">
        <f t="shared" si="12"/>
        <v>16.835</v>
      </c>
      <c r="AD66" s="138">
        <f t="shared" ref="AD66:AN66" si="75">IFERROR((($B$6/1000)/($Q$6*D66)),0)</f>
        <v>0.02</v>
      </c>
      <c r="AE66" s="138">
        <f t="shared" si="75"/>
        <v>0.005555555556</v>
      </c>
      <c r="AF66" s="138">
        <f t="shared" si="75"/>
        <v>0.004</v>
      </c>
      <c r="AG66" s="138">
        <f t="shared" si="75"/>
        <v>0.0025</v>
      </c>
      <c r="AH66" s="138">
        <f t="shared" si="75"/>
        <v>0.001333333333</v>
      </c>
      <c r="AI66" s="138">
        <f t="shared" si="75"/>
        <v>0.001333333333</v>
      </c>
      <c r="AJ66" s="138">
        <f t="shared" si="75"/>
        <v>0.0006666666667</v>
      </c>
      <c r="AK66" s="138">
        <f t="shared" si="75"/>
        <v>0.0005</v>
      </c>
      <c r="AL66" s="138">
        <f t="shared" si="75"/>
        <v>0.0004444444444</v>
      </c>
      <c r="AM66" s="138">
        <f t="shared" si="75"/>
        <v>0.0004</v>
      </c>
      <c r="AN66" s="138">
        <f t="shared" si="75"/>
        <v>0.0005405405405</v>
      </c>
    </row>
    <row r="67" ht="15.75" customHeight="1">
      <c r="A67" s="90" t="s">
        <v>301</v>
      </c>
      <c r="B67" s="135">
        <v>3.0</v>
      </c>
      <c r="C67" s="140">
        <f t="shared" si="76"/>
        <v>0.66125</v>
      </c>
      <c r="D67" s="108"/>
      <c r="E67" s="108">
        <v>1.0</v>
      </c>
      <c r="F67" s="108">
        <v>2.5</v>
      </c>
      <c r="G67" s="108">
        <v>4.0</v>
      </c>
      <c r="H67" s="108">
        <v>6.0</v>
      </c>
      <c r="I67" s="108">
        <v>8.0</v>
      </c>
      <c r="J67" s="108">
        <v>18.0</v>
      </c>
      <c r="K67" s="108">
        <v>30.0</v>
      </c>
      <c r="L67" s="108">
        <v>40.0</v>
      </c>
      <c r="M67" s="108">
        <v>50.0</v>
      </c>
      <c r="N67" s="108">
        <v>24.0</v>
      </c>
      <c r="O67" s="69">
        <v>0.65</v>
      </c>
      <c r="P67" s="69">
        <v>0.25</v>
      </c>
      <c r="Q67" s="69">
        <v>0.1</v>
      </c>
      <c r="R67" s="1">
        <v>0.7</v>
      </c>
      <c r="S67" s="137">
        <f t="shared" si="2"/>
        <v>0</v>
      </c>
      <c r="T67" s="137">
        <f t="shared" si="3"/>
        <v>0.455</v>
      </c>
      <c r="U67" s="137">
        <f t="shared" si="4"/>
        <v>1.1375</v>
      </c>
      <c r="V67" s="137">
        <f t="shared" si="5"/>
        <v>1.82</v>
      </c>
      <c r="W67" s="137">
        <f t="shared" si="6"/>
        <v>2.73</v>
      </c>
      <c r="X67" s="137">
        <f t="shared" si="7"/>
        <v>3.64</v>
      </c>
      <c r="Y67" s="137">
        <f t="shared" si="8"/>
        <v>8.19</v>
      </c>
      <c r="Z67" s="137">
        <f t="shared" si="9"/>
        <v>13.65</v>
      </c>
      <c r="AA67" s="137">
        <f t="shared" si="10"/>
        <v>18.2</v>
      </c>
      <c r="AB67" s="137">
        <f t="shared" si="11"/>
        <v>22.75</v>
      </c>
      <c r="AC67" s="137">
        <f t="shared" si="12"/>
        <v>10.92</v>
      </c>
      <c r="AD67" s="138">
        <f t="shared" ref="AD67:AN67" si="77">IFERROR((($B$6/1000)/($Q$6*D67)),0)</f>
        <v>0</v>
      </c>
      <c r="AE67" s="138">
        <f t="shared" si="77"/>
        <v>0.02</v>
      </c>
      <c r="AF67" s="138">
        <f t="shared" si="77"/>
        <v>0.008</v>
      </c>
      <c r="AG67" s="138">
        <f t="shared" si="77"/>
        <v>0.005</v>
      </c>
      <c r="AH67" s="138">
        <f t="shared" si="77"/>
        <v>0.003333333333</v>
      </c>
      <c r="AI67" s="138">
        <f t="shared" si="77"/>
        <v>0.0025</v>
      </c>
      <c r="AJ67" s="138">
        <f t="shared" si="77"/>
        <v>0.001111111111</v>
      </c>
      <c r="AK67" s="138">
        <f t="shared" si="77"/>
        <v>0.0006666666667</v>
      </c>
      <c r="AL67" s="138">
        <f t="shared" si="77"/>
        <v>0.0005</v>
      </c>
      <c r="AM67" s="138">
        <f t="shared" si="77"/>
        <v>0.0004</v>
      </c>
      <c r="AN67" s="138">
        <f t="shared" si="77"/>
        <v>0.0008333333333</v>
      </c>
    </row>
    <row r="68" ht="15.75" customHeight="1">
      <c r="A68" s="90" t="s">
        <v>301</v>
      </c>
      <c r="B68" s="135">
        <v>4.0</v>
      </c>
      <c r="C68" s="140">
        <f t="shared" si="76"/>
        <v>0.7604375</v>
      </c>
      <c r="D68" s="108"/>
      <c r="E68" s="108"/>
      <c r="F68" s="108">
        <v>1.6</v>
      </c>
      <c r="G68" s="108">
        <v>2.0</v>
      </c>
      <c r="H68" s="108">
        <v>5.0</v>
      </c>
      <c r="I68" s="108">
        <v>5.5</v>
      </c>
      <c r="J68" s="108">
        <v>10.0</v>
      </c>
      <c r="K68" s="108">
        <v>18.0</v>
      </c>
      <c r="L68" s="108">
        <v>24.0</v>
      </c>
      <c r="M68" s="108">
        <v>33.0</v>
      </c>
      <c r="N68" s="108">
        <v>19.0</v>
      </c>
      <c r="O68" s="69">
        <v>0.65</v>
      </c>
      <c r="P68" s="69">
        <v>0.2</v>
      </c>
      <c r="Q68" s="69">
        <v>0.15</v>
      </c>
      <c r="R68" s="1">
        <v>0.8</v>
      </c>
      <c r="S68" s="137">
        <f t="shared" si="2"/>
        <v>0</v>
      </c>
      <c r="T68" s="137">
        <f t="shared" si="3"/>
        <v>0</v>
      </c>
      <c r="U68" s="137">
        <f t="shared" si="4"/>
        <v>0.832</v>
      </c>
      <c r="V68" s="137">
        <f t="shared" si="5"/>
        <v>1.04</v>
      </c>
      <c r="W68" s="137">
        <f t="shared" si="6"/>
        <v>2.6</v>
      </c>
      <c r="X68" s="137">
        <f t="shared" si="7"/>
        <v>2.86</v>
      </c>
      <c r="Y68" s="137">
        <f t="shared" si="8"/>
        <v>5.2</v>
      </c>
      <c r="Z68" s="137">
        <f t="shared" si="9"/>
        <v>9.36</v>
      </c>
      <c r="AA68" s="137">
        <f t="shared" si="10"/>
        <v>12.48</v>
      </c>
      <c r="AB68" s="137">
        <f t="shared" si="11"/>
        <v>17.16</v>
      </c>
      <c r="AC68" s="137">
        <f t="shared" si="12"/>
        <v>9.88</v>
      </c>
      <c r="AD68" s="138">
        <f t="shared" ref="AD68:AN68" si="78">IFERROR((($B$6/1000)/($Q$6*D68)),0)</f>
        <v>0</v>
      </c>
      <c r="AE68" s="138">
        <f t="shared" si="78"/>
        <v>0</v>
      </c>
      <c r="AF68" s="138">
        <f t="shared" si="78"/>
        <v>0.0125</v>
      </c>
      <c r="AG68" s="138">
        <f t="shared" si="78"/>
        <v>0.01</v>
      </c>
      <c r="AH68" s="138">
        <f t="shared" si="78"/>
        <v>0.004</v>
      </c>
      <c r="AI68" s="138">
        <f t="shared" si="78"/>
        <v>0.003636363636</v>
      </c>
      <c r="AJ68" s="138">
        <f t="shared" si="78"/>
        <v>0.002</v>
      </c>
      <c r="AK68" s="138">
        <f t="shared" si="78"/>
        <v>0.001111111111</v>
      </c>
      <c r="AL68" s="138">
        <f t="shared" si="78"/>
        <v>0.0008333333333</v>
      </c>
      <c r="AM68" s="138">
        <f t="shared" si="78"/>
        <v>0.0006060606061</v>
      </c>
      <c r="AN68" s="138">
        <f t="shared" si="78"/>
        <v>0.001052631579</v>
      </c>
    </row>
    <row r="69" ht="15.75" customHeight="1">
      <c r="A69" s="90" t="s">
        <v>301</v>
      </c>
      <c r="B69" s="135">
        <v>5.0</v>
      </c>
      <c r="C69" s="140">
        <f t="shared" si="76"/>
        <v>0.874503125</v>
      </c>
      <c r="D69" s="108"/>
      <c r="E69" s="108"/>
      <c r="F69" s="108">
        <v>0.7</v>
      </c>
      <c r="G69" s="108">
        <v>1.2</v>
      </c>
      <c r="H69" s="108">
        <v>2.2</v>
      </c>
      <c r="I69" s="108">
        <v>3.0</v>
      </c>
      <c r="J69" s="108">
        <v>6.0</v>
      </c>
      <c r="K69" s="108">
        <v>9.0</v>
      </c>
      <c r="L69" s="108">
        <v>15.0</v>
      </c>
      <c r="M69" s="108">
        <v>24.0</v>
      </c>
      <c r="N69" s="108">
        <v>16.0</v>
      </c>
      <c r="O69" s="69">
        <v>0.65</v>
      </c>
      <c r="P69" s="69">
        <v>0.2</v>
      </c>
      <c r="Q69" s="69">
        <v>0.15</v>
      </c>
      <c r="R69" s="1">
        <v>0.8</v>
      </c>
      <c r="S69" s="137">
        <f t="shared" si="2"/>
        <v>0</v>
      </c>
      <c r="T69" s="137">
        <f t="shared" si="3"/>
        <v>0</v>
      </c>
      <c r="U69" s="137">
        <f t="shared" si="4"/>
        <v>0.364</v>
      </c>
      <c r="V69" s="137">
        <f t="shared" si="5"/>
        <v>0.624</v>
      </c>
      <c r="W69" s="137">
        <f t="shared" si="6"/>
        <v>1.144</v>
      </c>
      <c r="X69" s="137">
        <f t="shared" si="7"/>
        <v>1.56</v>
      </c>
      <c r="Y69" s="137">
        <f t="shared" si="8"/>
        <v>3.12</v>
      </c>
      <c r="Z69" s="137">
        <f t="shared" si="9"/>
        <v>4.68</v>
      </c>
      <c r="AA69" s="137">
        <f t="shared" si="10"/>
        <v>7.8</v>
      </c>
      <c r="AB69" s="137">
        <f t="shared" si="11"/>
        <v>12.48</v>
      </c>
      <c r="AC69" s="137">
        <f t="shared" si="12"/>
        <v>8.32</v>
      </c>
      <c r="AD69" s="138">
        <f t="shared" ref="AD69:AN69" si="79">IFERROR((($B$6/1000)/($Q$6*D69)),0)</f>
        <v>0</v>
      </c>
      <c r="AE69" s="138">
        <f t="shared" si="79"/>
        <v>0</v>
      </c>
      <c r="AF69" s="138">
        <f t="shared" si="79"/>
        <v>0.02857142857</v>
      </c>
      <c r="AG69" s="138">
        <f t="shared" si="79"/>
        <v>0.01666666667</v>
      </c>
      <c r="AH69" s="138">
        <f t="shared" si="79"/>
        <v>0.009090909091</v>
      </c>
      <c r="AI69" s="138">
        <f t="shared" si="79"/>
        <v>0.006666666667</v>
      </c>
      <c r="AJ69" s="138">
        <f t="shared" si="79"/>
        <v>0.003333333333</v>
      </c>
      <c r="AK69" s="138">
        <f t="shared" si="79"/>
        <v>0.002222222222</v>
      </c>
      <c r="AL69" s="138">
        <f t="shared" si="79"/>
        <v>0.001333333333</v>
      </c>
      <c r="AM69" s="138">
        <f t="shared" si="79"/>
        <v>0.0008333333333</v>
      </c>
      <c r="AN69" s="138">
        <f t="shared" si="79"/>
        <v>0.00125</v>
      </c>
    </row>
    <row r="70" ht="15.75" customHeight="1">
      <c r="A70" s="90" t="s">
        <v>301</v>
      </c>
      <c r="B70" s="135">
        <v>6.0</v>
      </c>
      <c r="C70" s="140">
        <f t="shared" si="76"/>
        <v>1.005678594</v>
      </c>
      <c r="D70" s="108"/>
      <c r="E70" s="108"/>
      <c r="F70" s="108"/>
      <c r="G70" s="108">
        <v>0.7</v>
      </c>
      <c r="H70" s="108">
        <v>1.8</v>
      </c>
      <c r="I70" s="108">
        <v>2.5</v>
      </c>
      <c r="J70" s="108">
        <v>4.5</v>
      </c>
      <c r="K70" s="108">
        <v>6.5</v>
      </c>
      <c r="L70" s="108">
        <v>9.0</v>
      </c>
      <c r="M70" s="108">
        <v>15.0</v>
      </c>
      <c r="N70" s="108">
        <v>11.0</v>
      </c>
      <c r="O70" s="69">
        <v>0.65</v>
      </c>
      <c r="P70" s="69">
        <v>0.2</v>
      </c>
      <c r="Q70" s="69">
        <v>0.15</v>
      </c>
      <c r="R70" s="1">
        <v>0.8</v>
      </c>
      <c r="S70" s="137">
        <f t="shared" si="2"/>
        <v>0</v>
      </c>
      <c r="T70" s="137">
        <f t="shared" si="3"/>
        <v>0</v>
      </c>
      <c r="U70" s="137">
        <f t="shared" si="4"/>
        <v>0</v>
      </c>
      <c r="V70" s="137">
        <f t="shared" si="5"/>
        <v>0.364</v>
      </c>
      <c r="W70" s="137">
        <f t="shared" si="6"/>
        <v>0.936</v>
      </c>
      <c r="X70" s="137">
        <f t="shared" si="7"/>
        <v>1.3</v>
      </c>
      <c r="Y70" s="137">
        <f t="shared" si="8"/>
        <v>2.34</v>
      </c>
      <c r="Z70" s="137">
        <f t="shared" si="9"/>
        <v>3.38</v>
      </c>
      <c r="AA70" s="137">
        <f t="shared" si="10"/>
        <v>4.68</v>
      </c>
      <c r="AB70" s="137">
        <f t="shared" si="11"/>
        <v>7.8</v>
      </c>
      <c r="AC70" s="137">
        <f t="shared" si="12"/>
        <v>5.72</v>
      </c>
      <c r="AD70" s="138">
        <f t="shared" ref="AD70:AN70" si="80">IFERROR((($B$6/1000)/($Q$6*D70)),0)</f>
        <v>0</v>
      </c>
      <c r="AE70" s="138">
        <f t="shared" si="80"/>
        <v>0</v>
      </c>
      <c r="AF70" s="138">
        <f t="shared" si="80"/>
        <v>0</v>
      </c>
      <c r="AG70" s="138">
        <f t="shared" si="80"/>
        <v>0.02857142857</v>
      </c>
      <c r="AH70" s="138">
        <f t="shared" si="80"/>
        <v>0.01111111111</v>
      </c>
      <c r="AI70" s="138">
        <f t="shared" si="80"/>
        <v>0.008</v>
      </c>
      <c r="AJ70" s="138">
        <f t="shared" si="80"/>
        <v>0.004444444444</v>
      </c>
      <c r="AK70" s="138">
        <f t="shared" si="80"/>
        <v>0.003076923077</v>
      </c>
      <c r="AL70" s="138">
        <f t="shared" si="80"/>
        <v>0.002222222222</v>
      </c>
      <c r="AM70" s="138">
        <f t="shared" si="80"/>
        <v>0.001333333333</v>
      </c>
      <c r="AN70" s="138">
        <f t="shared" si="80"/>
        <v>0.001818181818</v>
      </c>
    </row>
    <row r="71" ht="15.75" customHeight="1">
      <c r="A71" s="90" t="s">
        <v>301</v>
      </c>
      <c r="B71" s="135">
        <v>8.0</v>
      </c>
      <c r="C71" s="140">
        <f t="shared" si="76"/>
        <v>1.156530383</v>
      </c>
      <c r="D71" s="108"/>
      <c r="E71" s="141"/>
      <c r="F71" s="108"/>
      <c r="G71" s="108"/>
      <c r="H71" s="108">
        <v>0.7</v>
      </c>
      <c r="I71" s="108">
        <v>1.0</v>
      </c>
      <c r="J71" s="108">
        <v>2.2</v>
      </c>
      <c r="K71" s="108">
        <v>4.0</v>
      </c>
      <c r="L71" s="108">
        <v>6.5</v>
      </c>
      <c r="M71" s="108">
        <v>9.0</v>
      </c>
      <c r="N71" s="108">
        <v>8.0</v>
      </c>
      <c r="O71" s="69">
        <v>0.7</v>
      </c>
      <c r="P71" s="69">
        <v>0.15</v>
      </c>
      <c r="Q71" s="69">
        <v>0.15</v>
      </c>
      <c r="R71" s="1">
        <v>0.8</v>
      </c>
      <c r="S71" s="137">
        <f t="shared" si="2"/>
        <v>0</v>
      </c>
      <c r="T71" s="137">
        <f t="shared" si="3"/>
        <v>0</v>
      </c>
      <c r="U71" s="137">
        <f t="shared" si="4"/>
        <v>0</v>
      </c>
      <c r="V71" s="137">
        <f t="shared" si="5"/>
        <v>0</v>
      </c>
      <c r="W71" s="137">
        <f t="shared" si="6"/>
        <v>0.392</v>
      </c>
      <c r="X71" s="137">
        <f t="shared" si="7"/>
        <v>0.56</v>
      </c>
      <c r="Y71" s="137">
        <f t="shared" si="8"/>
        <v>1.232</v>
      </c>
      <c r="Z71" s="137">
        <f t="shared" si="9"/>
        <v>2.24</v>
      </c>
      <c r="AA71" s="137">
        <f t="shared" si="10"/>
        <v>3.64</v>
      </c>
      <c r="AB71" s="137">
        <f t="shared" si="11"/>
        <v>5.04</v>
      </c>
      <c r="AC71" s="137">
        <f t="shared" si="12"/>
        <v>4.48</v>
      </c>
      <c r="AD71" s="138">
        <f t="shared" ref="AD71:AN71" si="81">IFERROR((($B$6/1000)/($Q$6*D71)),0)</f>
        <v>0</v>
      </c>
      <c r="AE71" s="138">
        <f t="shared" si="81"/>
        <v>0</v>
      </c>
      <c r="AF71" s="138">
        <f t="shared" si="81"/>
        <v>0</v>
      </c>
      <c r="AG71" s="138">
        <f t="shared" si="81"/>
        <v>0</v>
      </c>
      <c r="AH71" s="138">
        <f t="shared" si="81"/>
        <v>0.02857142857</v>
      </c>
      <c r="AI71" s="138">
        <f t="shared" si="81"/>
        <v>0.02</v>
      </c>
      <c r="AJ71" s="138">
        <f t="shared" si="81"/>
        <v>0.009090909091</v>
      </c>
      <c r="AK71" s="138">
        <f t="shared" si="81"/>
        <v>0.005</v>
      </c>
      <c r="AL71" s="138">
        <f t="shared" si="81"/>
        <v>0.003076923077</v>
      </c>
      <c r="AM71" s="138">
        <f t="shared" si="81"/>
        <v>0.002222222222</v>
      </c>
      <c r="AN71" s="138">
        <f t="shared" si="81"/>
        <v>0.0025</v>
      </c>
    </row>
    <row r="72" ht="15.75" customHeight="1">
      <c r="A72" s="90" t="s">
        <v>301</v>
      </c>
      <c r="B72" s="135">
        <v>10.0</v>
      </c>
      <c r="C72" s="140">
        <f t="shared" si="76"/>
        <v>1.33000994</v>
      </c>
      <c r="D72" s="108"/>
      <c r="E72" s="108"/>
      <c r="F72" s="108"/>
      <c r="G72" s="108"/>
      <c r="H72" s="108"/>
      <c r="I72" s="108">
        <v>0.4</v>
      </c>
      <c r="J72" s="108">
        <v>1.2</v>
      </c>
      <c r="K72" s="108">
        <v>2.2</v>
      </c>
      <c r="L72" s="108">
        <v>4.0</v>
      </c>
      <c r="M72" s="108">
        <v>6.5</v>
      </c>
      <c r="N72" s="108">
        <v>6.0</v>
      </c>
      <c r="O72" s="69">
        <v>0.7</v>
      </c>
      <c r="P72" s="69">
        <v>0.1</v>
      </c>
      <c r="Q72" s="69">
        <v>0.2</v>
      </c>
      <c r="R72" s="1">
        <v>0.8</v>
      </c>
      <c r="S72" s="137">
        <f t="shared" si="2"/>
        <v>0</v>
      </c>
      <c r="T72" s="137">
        <f t="shared" si="3"/>
        <v>0</v>
      </c>
      <c r="U72" s="137">
        <f t="shared" si="4"/>
        <v>0</v>
      </c>
      <c r="V72" s="137">
        <f t="shared" si="5"/>
        <v>0</v>
      </c>
      <c r="W72" s="137">
        <f t="shared" si="6"/>
        <v>0</v>
      </c>
      <c r="X72" s="137">
        <f t="shared" si="7"/>
        <v>0.224</v>
      </c>
      <c r="Y72" s="137">
        <f t="shared" si="8"/>
        <v>0.672</v>
      </c>
      <c r="Z72" s="137">
        <f t="shared" si="9"/>
        <v>1.232</v>
      </c>
      <c r="AA72" s="137">
        <f t="shared" si="10"/>
        <v>2.24</v>
      </c>
      <c r="AB72" s="137">
        <f t="shared" si="11"/>
        <v>3.64</v>
      </c>
      <c r="AC72" s="137">
        <f t="shared" si="12"/>
        <v>3.36</v>
      </c>
      <c r="AD72" s="138">
        <f t="shared" ref="AD72:AN72" si="82">IFERROR((($B$6/1000)/($Q$6*D72)),0)</f>
        <v>0</v>
      </c>
      <c r="AE72" s="138">
        <f t="shared" si="82"/>
        <v>0</v>
      </c>
      <c r="AF72" s="138">
        <f t="shared" si="82"/>
        <v>0</v>
      </c>
      <c r="AG72" s="138">
        <f t="shared" si="82"/>
        <v>0</v>
      </c>
      <c r="AH72" s="138">
        <f t="shared" si="82"/>
        <v>0</v>
      </c>
      <c r="AI72" s="138">
        <f t="shared" si="82"/>
        <v>0.05</v>
      </c>
      <c r="AJ72" s="138">
        <f t="shared" si="82"/>
        <v>0.01666666667</v>
      </c>
      <c r="AK72" s="138">
        <f t="shared" si="82"/>
        <v>0.009090909091</v>
      </c>
      <c r="AL72" s="138">
        <f t="shared" si="82"/>
        <v>0.005</v>
      </c>
      <c r="AM72" s="138">
        <f t="shared" si="82"/>
        <v>0.003076923077</v>
      </c>
      <c r="AN72" s="138">
        <f t="shared" si="82"/>
        <v>0.003333333333</v>
      </c>
    </row>
    <row r="73" ht="15.75" customHeight="1">
      <c r="A73" s="90" t="s">
        <v>301</v>
      </c>
      <c r="B73" s="135">
        <v>12.0</v>
      </c>
      <c r="C73" s="140">
        <f t="shared" si="76"/>
        <v>1.529511431</v>
      </c>
      <c r="D73" s="108"/>
      <c r="E73" s="108"/>
      <c r="F73" s="108"/>
      <c r="G73" s="108"/>
      <c r="H73" s="108"/>
      <c r="I73" s="108"/>
      <c r="J73" s="108">
        <v>0.4</v>
      </c>
      <c r="K73" s="108">
        <v>1.5</v>
      </c>
      <c r="L73" s="108">
        <v>2.2</v>
      </c>
      <c r="M73" s="108">
        <v>4.0</v>
      </c>
      <c r="N73" s="108">
        <v>2.2</v>
      </c>
      <c r="O73" s="69">
        <v>0.7</v>
      </c>
      <c r="P73" s="69">
        <v>0.1</v>
      </c>
      <c r="Q73" s="69">
        <v>0.2</v>
      </c>
      <c r="R73" s="1">
        <v>0.9</v>
      </c>
      <c r="S73" s="137">
        <f t="shared" si="2"/>
        <v>0</v>
      </c>
      <c r="T73" s="137">
        <f t="shared" si="3"/>
        <v>0</v>
      </c>
      <c r="U73" s="137">
        <f t="shared" si="4"/>
        <v>0</v>
      </c>
      <c r="V73" s="137">
        <f t="shared" si="5"/>
        <v>0</v>
      </c>
      <c r="W73" s="137">
        <f t="shared" si="6"/>
        <v>0</v>
      </c>
      <c r="X73" s="137">
        <f t="shared" si="7"/>
        <v>0</v>
      </c>
      <c r="Y73" s="137">
        <f t="shared" si="8"/>
        <v>0.252</v>
      </c>
      <c r="Z73" s="137">
        <f t="shared" si="9"/>
        <v>0.945</v>
      </c>
      <c r="AA73" s="137">
        <f t="shared" si="10"/>
        <v>1.386</v>
      </c>
      <c r="AB73" s="137">
        <f t="shared" si="11"/>
        <v>2.52</v>
      </c>
      <c r="AC73" s="137">
        <f t="shared" si="12"/>
        <v>1.386</v>
      </c>
      <c r="AD73" s="138">
        <f t="shared" ref="AD73:AN73" si="83">IFERROR((($B$6/1000)/($Q$6*D73)),0)</f>
        <v>0</v>
      </c>
      <c r="AE73" s="138">
        <f t="shared" si="83"/>
        <v>0</v>
      </c>
      <c r="AF73" s="138">
        <f t="shared" si="83"/>
        <v>0</v>
      </c>
      <c r="AG73" s="138">
        <f t="shared" si="83"/>
        <v>0</v>
      </c>
      <c r="AH73" s="138">
        <f t="shared" si="83"/>
        <v>0</v>
      </c>
      <c r="AI73" s="138">
        <f t="shared" si="83"/>
        <v>0</v>
      </c>
      <c r="AJ73" s="138">
        <f t="shared" si="83"/>
        <v>0.05</v>
      </c>
      <c r="AK73" s="138">
        <f t="shared" si="83"/>
        <v>0.01333333333</v>
      </c>
      <c r="AL73" s="138">
        <f t="shared" si="83"/>
        <v>0.009090909091</v>
      </c>
      <c r="AM73" s="138">
        <f t="shared" si="83"/>
        <v>0.005</v>
      </c>
      <c r="AN73" s="138">
        <f t="shared" si="83"/>
        <v>0.009090909091</v>
      </c>
    </row>
    <row r="74" ht="15.75" customHeight="1">
      <c r="A74" s="90" t="s">
        <v>301</v>
      </c>
      <c r="B74" s="135">
        <v>14.0</v>
      </c>
      <c r="C74" s="140">
        <f t="shared" si="76"/>
        <v>1.758938146</v>
      </c>
      <c r="D74" s="108"/>
      <c r="E74" s="108"/>
      <c r="F74" s="108"/>
      <c r="G74" s="108"/>
      <c r="H74" s="108"/>
      <c r="I74" s="108"/>
      <c r="J74" s="108"/>
      <c r="K74" s="108">
        <v>0.6</v>
      </c>
      <c r="L74" s="108">
        <v>0.8</v>
      </c>
      <c r="M74" s="108">
        <v>1.5</v>
      </c>
      <c r="N74" s="108">
        <v>1.8</v>
      </c>
      <c r="O74" s="69">
        <v>0.7</v>
      </c>
      <c r="P74" s="69">
        <v>0.1</v>
      </c>
      <c r="Q74" s="69">
        <v>0.2</v>
      </c>
      <c r="R74" s="1">
        <v>0.9</v>
      </c>
      <c r="S74" s="137">
        <f t="shared" si="2"/>
        <v>0</v>
      </c>
      <c r="T74" s="137">
        <f t="shared" si="3"/>
        <v>0</v>
      </c>
      <c r="U74" s="137">
        <f t="shared" si="4"/>
        <v>0</v>
      </c>
      <c r="V74" s="137">
        <f t="shared" si="5"/>
        <v>0</v>
      </c>
      <c r="W74" s="137">
        <f t="shared" si="6"/>
        <v>0</v>
      </c>
      <c r="X74" s="137">
        <f t="shared" si="7"/>
        <v>0</v>
      </c>
      <c r="Y74" s="137">
        <f t="shared" si="8"/>
        <v>0</v>
      </c>
      <c r="Z74" s="137">
        <f t="shared" si="9"/>
        <v>0.378</v>
      </c>
      <c r="AA74" s="137">
        <f t="shared" si="10"/>
        <v>0.504</v>
      </c>
      <c r="AB74" s="137">
        <f t="shared" si="11"/>
        <v>0.945</v>
      </c>
      <c r="AC74" s="137">
        <f t="shared" si="12"/>
        <v>1.134</v>
      </c>
      <c r="AD74" s="138">
        <f t="shared" ref="AD74:AN74" si="84">IFERROR((($B$6/1000)/($Q$6*D74)),0)</f>
        <v>0</v>
      </c>
      <c r="AE74" s="138">
        <f t="shared" si="84"/>
        <v>0</v>
      </c>
      <c r="AF74" s="138">
        <f t="shared" si="84"/>
        <v>0</v>
      </c>
      <c r="AG74" s="138">
        <f t="shared" si="84"/>
        <v>0</v>
      </c>
      <c r="AH74" s="138">
        <f t="shared" si="84"/>
        <v>0</v>
      </c>
      <c r="AI74" s="138">
        <f t="shared" si="84"/>
        <v>0</v>
      </c>
      <c r="AJ74" s="138">
        <f t="shared" si="84"/>
        <v>0</v>
      </c>
      <c r="AK74" s="138">
        <f t="shared" si="84"/>
        <v>0.03333333333</v>
      </c>
      <c r="AL74" s="138">
        <f t="shared" si="84"/>
        <v>0.025</v>
      </c>
      <c r="AM74" s="138">
        <f t="shared" si="84"/>
        <v>0.01333333333</v>
      </c>
      <c r="AN74" s="138">
        <f t="shared" si="84"/>
        <v>0.01111111111</v>
      </c>
    </row>
    <row r="75" ht="15.75" customHeight="1">
      <c r="A75" s="90" t="s">
        <v>301</v>
      </c>
      <c r="B75" s="135">
        <v>15.0</v>
      </c>
      <c r="C75" s="140">
        <f t="shared" si="76"/>
        <v>2.022778868</v>
      </c>
      <c r="D75" s="108"/>
      <c r="E75" s="108"/>
      <c r="F75" s="108"/>
      <c r="G75" s="108"/>
      <c r="H75" s="108"/>
      <c r="I75" s="108"/>
      <c r="J75" s="108"/>
      <c r="K75" s="108">
        <v>0.8</v>
      </c>
      <c r="L75" s="108">
        <v>0.9</v>
      </c>
      <c r="M75" s="108">
        <v>1.0</v>
      </c>
      <c r="N75" s="108">
        <v>1.4</v>
      </c>
      <c r="O75" s="69">
        <v>0.7</v>
      </c>
      <c r="P75" s="69">
        <v>0.1</v>
      </c>
      <c r="Q75" s="69">
        <v>0.2</v>
      </c>
      <c r="R75" s="1">
        <v>0.9</v>
      </c>
      <c r="S75" s="137">
        <f t="shared" si="2"/>
        <v>0</v>
      </c>
      <c r="T75" s="137">
        <f t="shared" si="3"/>
        <v>0</v>
      </c>
      <c r="U75" s="137">
        <f t="shared" si="4"/>
        <v>0</v>
      </c>
      <c r="V75" s="137">
        <f t="shared" si="5"/>
        <v>0</v>
      </c>
      <c r="W75" s="137">
        <f t="shared" si="6"/>
        <v>0</v>
      </c>
      <c r="X75" s="137">
        <f t="shared" si="7"/>
        <v>0</v>
      </c>
      <c r="Y75" s="137">
        <f t="shared" si="8"/>
        <v>0</v>
      </c>
      <c r="Z75" s="137">
        <f t="shared" si="9"/>
        <v>0.504</v>
      </c>
      <c r="AA75" s="137">
        <f t="shared" si="10"/>
        <v>0.567</v>
      </c>
      <c r="AB75" s="137">
        <f t="shared" si="11"/>
        <v>0.63</v>
      </c>
      <c r="AC75" s="137">
        <f t="shared" si="12"/>
        <v>0.882</v>
      </c>
      <c r="AD75" s="138">
        <f t="shared" ref="AD75:AN75" si="85">IFERROR((($B$6/1000)/($Q$6*D75)),0)</f>
        <v>0</v>
      </c>
      <c r="AE75" s="138">
        <f t="shared" si="85"/>
        <v>0</v>
      </c>
      <c r="AF75" s="138">
        <f t="shared" si="85"/>
        <v>0</v>
      </c>
      <c r="AG75" s="138">
        <f t="shared" si="85"/>
        <v>0</v>
      </c>
      <c r="AH75" s="138">
        <f t="shared" si="85"/>
        <v>0</v>
      </c>
      <c r="AI75" s="138">
        <f t="shared" si="85"/>
        <v>0</v>
      </c>
      <c r="AJ75" s="138">
        <f t="shared" si="85"/>
        <v>0</v>
      </c>
      <c r="AK75" s="138">
        <f t="shared" si="85"/>
        <v>0.025</v>
      </c>
      <c r="AL75" s="138">
        <f t="shared" si="85"/>
        <v>0.02222222222</v>
      </c>
      <c r="AM75" s="138">
        <f t="shared" si="85"/>
        <v>0.02</v>
      </c>
      <c r="AN75" s="138">
        <f t="shared" si="85"/>
        <v>0.01428571429</v>
      </c>
    </row>
    <row r="76" ht="15.75" customHeight="1">
      <c r="A76" s="90" t="s">
        <v>301</v>
      </c>
      <c r="B76" s="135">
        <v>16.0</v>
      </c>
      <c r="C76" s="140">
        <f t="shared" si="76"/>
        <v>2.326195698</v>
      </c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>
        <v>1.2999999999999998</v>
      </c>
      <c r="O76" s="69">
        <v>0.7</v>
      </c>
      <c r="P76" s="69">
        <v>0.05</v>
      </c>
      <c r="Q76" s="69">
        <v>0.25</v>
      </c>
      <c r="R76" s="1">
        <v>0.9</v>
      </c>
      <c r="S76" s="137">
        <f t="shared" si="2"/>
        <v>0</v>
      </c>
      <c r="T76" s="137">
        <f t="shared" si="3"/>
        <v>0</v>
      </c>
      <c r="U76" s="137">
        <f t="shared" si="4"/>
        <v>0</v>
      </c>
      <c r="V76" s="137">
        <f t="shared" si="5"/>
        <v>0</v>
      </c>
      <c r="W76" s="137">
        <f t="shared" si="6"/>
        <v>0</v>
      </c>
      <c r="X76" s="137">
        <f t="shared" si="7"/>
        <v>0</v>
      </c>
      <c r="Y76" s="137">
        <f t="shared" si="8"/>
        <v>0</v>
      </c>
      <c r="Z76" s="137">
        <f t="shared" si="9"/>
        <v>0</v>
      </c>
      <c r="AA76" s="137">
        <f t="shared" si="10"/>
        <v>0</v>
      </c>
      <c r="AB76" s="137">
        <f t="shared" si="11"/>
        <v>0</v>
      </c>
      <c r="AC76" s="137">
        <f t="shared" si="12"/>
        <v>0.819</v>
      </c>
      <c r="AD76" s="138">
        <f t="shared" ref="AD76:AN76" si="86">IFERROR((($B$6/1000)/($Q$6*D76)),0)</f>
        <v>0</v>
      </c>
      <c r="AE76" s="138">
        <f t="shared" si="86"/>
        <v>0</v>
      </c>
      <c r="AF76" s="138">
        <f t="shared" si="86"/>
        <v>0</v>
      </c>
      <c r="AG76" s="138">
        <f t="shared" si="86"/>
        <v>0</v>
      </c>
      <c r="AH76" s="138">
        <f t="shared" si="86"/>
        <v>0</v>
      </c>
      <c r="AI76" s="138">
        <f t="shared" si="86"/>
        <v>0</v>
      </c>
      <c r="AJ76" s="138">
        <f t="shared" si="86"/>
        <v>0</v>
      </c>
      <c r="AK76" s="138">
        <f t="shared" si="86"/>
        <v>0</v>
      </c>
      <c r="AL76" s="138">
        <f t="shared" si="86"/>
        <v>0</v>
      </c>
      <c r="AM76" s="138">
        <f t="shared" si="86"/>
        <v>0</v>
      </c>
      <c r="AN76" s="138">
        <f t="shared" si="86"/>
        <v>0.01538461538</v>
      </c>
    </row>
    <row r="77" ht="15.75" customHeight="1">
      <c r="A77" s="90" t="s">
        <v>301</v>
      </c>
      <c r="B77" s="135">
        <v>18.0</v>
      </c>
      <c r="C77" s="140">
        <f t="shared" si="76"/>
        <v>2.675125053</v>
      </c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>
        <v>1.2</v>
      </c>
      <c r="O77" s="69">
        <v>0.7</v>
      </c>
      <c r="P77" s="69">
        <v>0.05</v>
      </c>
      <c r="Q77" s="69">
        <v>0.25</v>
      </c>
      <c r="R77" s="1">
        <v>0.9</v>
      </c>
      <c r="S77" s="137">
        <f t="shared" si="2"/>
        <v>0</v>
      </c>
      <c r="T77" s="137">
        <f t="shared" si="3"/>
        <v>0</v>
      </c>
      <c r="U77" s="137">
        <f t="shared" si="4"/>
        <v>0</v>
      </c>
      <c r="V77" s="137">
        <f t="shared" si="5"/>
        <v>0</v>
      </c>
      <c r="W77" s="137">
        <f t="shared" si="6"/>
        <v>0</v>
      </c>
      <c r="X77" s="137">
        <f t="shared" si="7"/>
        <v>0</v>
      </c>
      <c r="Y77" s="137">
        <f t="shared" si="8"/>
        <v>0</v>
      </c>
      <c r="Z77" s="137">
        <f t="shared" si="9"/>
        <v>0</v>
      </c>
      <c r="AA77" s="137">
        <f t="shared" si="10"/>
        <v>0</v>
      </c>
      <c r="AB77" s="137">
        <f t="shared" si="11"/>
        <v>0</v>
      </c>
      <c r="AC77" s="137">
        <f t="shared" si="12"/>
        <v>0.756</v>
      </c>
      <c r="AD77" s="138">
        <f t="shared" ref="AD77:AN77" si="87">IFERROR((($B$6/1000)/($Q$6*D77)),0)</f>
        <v>0</v>
      </c>
      <c r="AE77" s="138">
        <f t="shared" si="87"/>
        <v>0</v>
      </c>
      <c r="AF77" s="138">
        <f t="shared" si="87"/>
        <v>0</v>
      </c>
      <c r="AG77" s="138">
        <f t="shared" si="87"/>
        <v>0</v>
      </c>
      <c r="AH77" s="138">
        <f t="shared" si="87"/>
        <v>0</v>
      </c>
      <c r="AI77" s="138">
        <f t="shared" si="87"/>
        <v>0</v>
      </c>
      <c r="AJ77" s="138">
        <f t="shared" si="87"/>
        <v>0</v>
      </c>
      <c r="AK77" s="138">
        <f t="shared" si="87"/>
        <v>0</v>
      </c>
      <c r="AL77" s="138">
        <f t="shared" si="87"/>
        <v>0</v>
      </c>
      <c r="AM77" s="138">
        <f t="shared" si="87"/>
        <v>0</v>
      </c>
      <c r="AN77" s="138">
        <f t="shared" si="87"/>
        <v>0.01666666667</v>
      </c>
    </row>
    <row r="78" ht="15.75" customHeight="1">
      <c r="A78" s="90" t="s">
        <v>301</v>
      </c>
      <c r="B78" s="135">
        <v>20.0</v>
      </c>
      <c r="C78" s="140">
        <f t="shared" si="76"/>
        <v>3.076393811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>
        <v>0.7</v>
      </c>
      <c r="O78" s="69">
        <v>0.7</v>
      </c>
      <c r="P78" s="69">
        <v>0.05</v>
      </c>
      <c r="Q78" s="69">
        <v>0.25</v>
      </c>
      <c r="R78" s="1">
        <v>0.9</v>
      </c>
      <c r="S78" s="137">
        <f t="shared" si="2"/>
        <v>0</v>
      </c>
      <c r="T78" s="137">
        <f t="shared" si="3"/>
        <v>0</v>
      </c>
      <c r="U78" s="137">
        <f t="shared" si="4"/>
        <v>0</v>
      </c>
      <c r="V78" s="137">
        <f t="shared" si="5"/>
        <v>0</v>
      </c>
      <c r="W78" s="137">
        <f t="shared" si="6"/>
        <v>0</v>
      </c>
      <c r="X78" s="137">
        <f t="shared" si="7"/>
        <v>0</v>
      </c>
      <c r="Y78" s="137">
        <f t="shared" si="8"/>
        <v>0</v>
      </c>
      <c r="Z78" s="137">
        <f t="shared" si="9"/>
        <v>0</v>
      </c>
      <c r="AA78" s="137">
        <f t="shared" si="10"/>
        <v>0</v>
      </c>
      <c r="AB78" s="137">
        <f t="shared" si="11"/>
        <v>0</v>
      </c>
      <c r="AC78" s="137">
        <f t="shared" si="12"/>
        <v>0.441</v>
      </c>
      <c r="AD78" s="138">
        <f t="shared" ref="AD78:AN78" si="88">IFERROR((($B$6/1000)/($Q$6*D78)),0)</f>
        <v>0</v>
      </c>
      <c r="AE78" s="138">
        <f t="shared" si="88"/>
        <v>0</v>
      </c>
      <c r="AF78" s="138">
        <f t="shared" si="88"/>
        <v>0</v>
      </c>
      <c r="AG78" s="138">
        <f t="shared" si="88"/>
        <v>0</v>
      </c>
      <c r="AH78" s="138">
        <f t="shared" si="88"/>
        <v>0</v>
      </c>
      <c r="AI78" s="138">
        <f t="shared" si="88"/>
        <v>0</v>
      </c>
      <c r="AJ78" s="138">
        <f t="shared" si="88"/>
        <v>0</v>
      </c>
      <c r="AK78" s="138">
        <f t="shared" si="88"/>
        <v>0</v>
      </c>
      <c r="AL78" s="138">
        <f t="shared" si="88"/>
        <v>0</v>
      </c>
      <c r="AM78" s="138">
        <f t="shared" si="88"/>
        <v>0</v>
      </c>
      <c r="AN78" s="138">
        <f t="shared" si="88"/>
        <v>0.02857142857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3:N3"/>
    <mergeCell ref="S3:AC3"/>
    <mergeCell ref="AD3:AN3"/>
    <mergeCell ref="D4:N4"/>
    <mergeCell ref="S4:AC4"/>
    <mergeCell ref="AD4:AN4"/>
    <mergeCell ref="A3:A5"/>
    <mergeCell ref="B3:B5"/>
    <mergeCell ref="C3:C5"/>
    <mergeCell ref="O3:O5"/>
    <mergeCell ref="P3:P5"/>
    <mergeCell ref="Q3:Q5"/>
    <mergeCell ref="R3:R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18.57"/>
    <col customWidth="1" min="4" max="4" width="9.29"/>
    <col customWidth="1" min="5" max="6" width="9.57"/>
    <col customWidth="1" min="7" max="41" width="8.71"/>
  </cols>
  <sheetData>
    <row r="1">
      <c r="A1" s="92" t="s">
        <v>302</v>
      </c>
    </row>
    <row r="3">
      <c r="B3" s="143" t="s">
        <v>303</v>
      </c>
      <c r="C3" s="144"/>
      <c r="D3" s="143" t="s">
        <v>304</v>
      </c>
      <c r="E3" s="145"/>
      <c r="F3" s="144"/>
      <c r="G3" s="143" t="s">
        <v>305</v>
      </c>
      <c r="H3" s="145"/>
      <c r="I3" s="144"/>
    </row>
    <row r="4">
      <c r="B4" s="63" t="s">
        <v>306</v>
      </c>
      <c r="C4" s="63" t="s">
        <v>307</v>
      </c>
      <c r="D4" s="63" t="s">
        <v>308</v>
      </c>
      <c r="E4" s="63" t="s">
        <v>309</v>
      </c>
      <c r="F4" s="63" t="s">
        <v>310</v>
      </c>
      <c r="G4" s="63" t="s">
        <v>308</v>
      </c>
      <c r="H4" s="63" t="s">
        <v>309</v>
      </c>
      <c r="I4" s="63" t="s">
        <v>310</v>
      </c>
    </row>
    <row r="5">
      <c r="B5" s="146">
        <v>2.0</v>
      </c>
      <c r="C5" s="146">
        <v>8.0</v>
      </c>
      <c r="D5" s="146">
        <v>2.0</v>
      </c>
      <c r="E5" s="146">
        <v>2.0</v>
      </c>
      <c r="F5" s="146">
        <v>3.0</v>
      </c>
      <c r="G5" s="147">
        <f t="shared" ref="G5:G19" si="1">D5/C5</f>
        <v>0.25</v>
      </c>
      <c r="H5" s="147">
        <f t="shared" ref="H5:H19" si="2">E5/C5</f>
        <v>0.25</v>
      </c>
      <c r="I5" s="147">
        <f t="shared" ref="I5:I19" si="3">F5/C5</f>
        <v>0.375</v>
      </c>
    </row>
    <row r="6">
      <c r="B6" s="146">
        <v>9.0</v>
      </c>
      <c r="C6" s="146">
        <v>15.0</v>
      </c>
      <c r="D6" s="146">
        <v>2.0</v>
      </c>
      <c r="E6" s="146">
        <v>3.0</v>
      </c>
      <c r="F6" s="146">
        <v>5.0</v>
      </c>
      <c r="G6" s="147">
        <f t="shared" si="1"/>
        <v>0.1333333333</v>
      </c>
      <c r="H6" s="147">
        <f t="shared" si="2"/>
        <v>0.2</v>
      </c>
      <c r="I6" s="147">
        <f t="shared" si="3"/>
        <v>0.3333333333</v>
      </c>
    </row>
    <row r="7">
      <c r="B7" s="146">
        <v>16.0</v>
      </c>
      <c r="C7" s="146">
        <v>25.0</v>
      </c>
      <c r="D7" s="146">
        <v>3.0</v>
      </c>
      <c r="E7" s="146">
        <v>5.0</v>
      </c>
      <c r="F7" s="146">
        <v>8.0</v>
      </c>
      <c r="G7" s="147">
        <f t="shared" si="1"/>
        <v>0.12</v>
      </c>
      <c r="H7" s="147">
        <f t="shared" si="2"/>
        <v>0.2</v>
      </c>
      <c r="I7" s="147">
        <f t="shared" si="3"/>
        <v>0.32</v>
      </c>
    </row>
    <row r="8">
      <c r="B8" s="146">
        <v>26.0</v>
      </c>
      <c r="C8" s="146">
        <v>50.0</v>
      </c>
      <c r="D8" s="146">
        <v>5.0</v>
      </c>
      <c r="E8" s="146">
        <v>8.0</v>
      </c>
      <c r="F8" s="146">
        <v>13.0</v>
      </c>
      <c r="G8" s="147">
        <f t="shared" si="1"/>
        <v>0.1</v>
      </c>
      <c r="H8" s="147">
        <f t="shared" si="2"/>
        <v>0.16</v>
      </c>
      <c r="I8" s="147">
        <f t="shared" si="3"/>
        <v>0.26</v>
      </c>
    </row>
    <row r="9">
      <c r="B9" s="146">
        <v>51.0</v>
      </c>
      <c r="C9" s="146">
        <v>90.0</v>
      </c>
      <c r="D9" s="146">
        <v>5.0</v>
      </c>
      <c r="E9" s="146">
        <v>13.0</v>
      </c>
      <c r="F9" s="146">
        <v>20.0</v>
      </c>
      <c r="G9" s="147">
        <f t="shared" si="1"/>
        <v>0.05555555556</v>
      </c>
      <c r="H9" s="147">
        <f t="shared" si="2"/>
        <v>0.1444444444</v>
      </c>
      <c r="I9" s="147">
        <f t="shared" si="3"/>
        <v>0.2222222222</v>
      </c>
    </row>
    <row r="10">
      <c r="B10" s="146">
        <v>91.0</v>
      </c>
      <c r="C10" s="146">
        <v>150.0</v>
      </c>
      <c r="D10" s="146">
        <v>8.0</v>
      </c>
      <c r="E10" s="146">
        <v>20.0</v>
      </c>
      <c r="F10" s="146">
        <v>32.0</v>
      </c>
      <c r="G10" s="147">
        <f t="shared" si="1"/>
        <v>0.05333333333</v>
      </c>
      <c r="H10" s="147">
        <f t="shared" si="2"/>
        <v>0.1333333333</v>
      </c>
      <c r="I10" s="147">
        <f t="shared" si="3"/>
        <v>0.2133333333</v>
      </c>
    </row>
    <row r="11">
      <c r="B11" s="146">
        <v>151.0</v>
      </c>
      <c r="C11" s="146">
        <v>280.0</v>
      </c>
      <c r="D11" s="146">
        <v>13.0</v>
      </c>
      <c r="E11" s="146">
        <v>32.0</v>
      </c>
      <c r="F11" s="146">
        <v>50.0</v>
      </c>
      <c r="G11" s="147">
        <f t="shared" si="1"/>
        <v>0.04642857143</v>
      </c>
      <c r="H11" s="147">
        <f t="shared" si="2"/>
        <v>0.1142857143</v>
      </c>
      <c r="I11" s="147">
        <f t="shared" si="3"/>
        <v>0.1785714286</v>
      </c>
    </row>
    <row r="12">
      <c r="B12" s="146">
        <v>281.0</v>
      </c>
      <c r="C12" s="146">
        <v>500.0</v>
      </c>
      <c r="D12" s="146">
        <v>20.0</v>
      </c>
      <c r="E12" s="146">
        <v>50.0</v>
      </c>
      <c r="F12" s="146">
        <v>80.0</v>
      </c>
      <c r="G12" s="147">
        <f t="shared" si="1"/>
        <v>0.04</v>
      </c>
      <c r="H12" s="147">
        <f t="shared" si="2"/>
        <v>0.1</v>
      </c>
      <c r="I12" s="147">
        <f t="shared" si="3"/>
        <v>0.16</v>
      </c>
    </row>
    <row r="13">
      <c r="B13" s="146">
        <v>501.0</v>
      </c>
      <c r="C13" s="146">
        <v>1200.0</v>
      </c>
      <c r="D13" s="146">
        <v>32.0</v>
      </c>
      <c r="E13" s="146">
        <v>80.0</v>
      </c>
      <c r="F13" s="146">
        <v>125.0</v>
      </c>
      <c r="G13" s="147">
        <f t="shared" si="1"/>
        <v>0.02666666667</v>
      </c>
      <c r="H13" s="147">
        <f t="shared" si="2"/>
        <v>0.06666666667</v>
      </c>
      <c r="I13" s="147">
        <f t="shared" si="3"/>
        <v>0.1041666667</v>
      </c>
    </row>
    <row r="14">
      <c r="B14" s="146">
        <v>1201.0</v>
      </c>
      <c r="C14" s="146">
        <v>3200.0</v>
      </c>
      <c r="D14" s="146">
        <v>50.0</v>
      </c>
      <c r="E14" s="146">
        <v>125.0</v>
      </c>
      <c r="F14" s="146">
        <v>200.0</v>
      </c>
      <c r="G14" s="147">
        <f t="shared" si="1"/>
        <v>0.015625</v>
      </c>
      <c r="H14" s="147">
        <f t="shared" si="2"/>
        <v>0.0390625</v>
      </c>
      <c r="I14" s="147">
        <f t="shared" si="3"/>
        <v>0.0625</v>
      </c>
    </row>
    <row r="15">
      <c r="B15" s="146">
        <v>3201.0</v>
      </c>
      <c r="C15" s="146">
        <v>10000.0</v>
      </c>
      <c r="D15" s="146">
        <v>80.0</v>
      </c>
      <c r="E15" s="146">
        <v>200.0</v>
      </c>
      <c r="F15" s="146">
        <v>315.0</v>
      </c>
      <c r="G15" s="147">
        <f t="shared" si="1"/>
        <v>0.008</v>
      </c>
      <c r="H15" s="147">
        <f t="shared" si="2"/>
        <v>0.02</v>
      </c>
      <c r="I15" s="147">
        <f t="shared" si="3"/>
        <v>0.0315</v>
      </c>
    </row>
    <row r="16">
      <c r="B16" s="146">
        <v>10001.0</v>
      </c>
      <c r="C16" s="146">
        <v>35000.0</v>
      </c>
      <c r="D16" s="146">
        <v>125.0</v>
      </c>
      <c r="E16" s="146">
        <v>315.0</v>
      </c>
      <c r="F16" s="146">
        <v>500.0</v>
      </c>
      <c r="G16" s="147">
        <f t="shared" si="1"/>
        <v>0.003571428571</v>
      </c>
      <c r="H16" s="147">
        <f t="shared" si="2"/>
        <v>0.009</v>
      </c>
      <c r="I16" s="147">
        <f t="shared" si="3"/>
        <v>0.01428571429</v>
      </c>
    </row>
    <row r="17">
      <c r="B17" s="146">
        <v>35001.0</v>
      </c>
      <c r="C17" s="146">
        <v>150000.0</v>
      </c>
      <c r="D17" s="146">
        <v>200.0</v>
      </c>
      <c r="E17" s="146">
        <v>500.0</v>
      </c>
      <c r="F17" s="146">
        <v>800.0</v>
      </c>
      <c r="G17" s="147">
        <f t="shared" si="1"/>
        <v>0.001333333333</v>
      </c>
      <c r="H17" s="147">
        <f t="shared" si="2"/>
        <v>0.003333333333</v>
      </c>
      <c r="I17" s="147">
        <f t="shared" si="3"/>
        <v>0.005333333333</v>
      </c>
    </row>
    <row r="18">
      <c r="B18" s="146">
        <v>150001.0</v>
      </c>
      <c r="C18" s="146">
        <v>500000.0</v>
      </c>
      <c r="D18" s="146">
        <v>315.0</v>
      </c>
      <c r="E18" s="146">
        <v>800.0</v>
      </c>
      <c r="F18" s="146">
        <v>1250.0</v>
      </c>
      <c r="G18" s="147">
        <f t="shared" si="1"/>
        <v>0.00063</v>
      </c>
      <c r="H18" s="147">
        <f t="shared" si="2"/>
        <v>0.0016</v>
      </c>
      <c r="I18" s="147">
        <f t="shared" si="3"/>
        <v>0.0025</v>
      </c>
    </row>
    <row r="19">
      <c r="B19" s="146">
        <v>500001.0</v>
      </c>
      <c r="C19" s="146">
        <v>1000000.0</v>
      </c>
      <c r="D19" s="146">
        <v>500.0</v>
      </c>
      <c r="E19" s="146">
        <v>1250.0</v>
      </c>
      <c r="F19" s="146">
        <v>2000.0</v>
      </c>
      <c r="G19" s="147">
        <f t="shared" si="1"/>
        <v>0.0005</v>
      </c>
      <c r="H19" s="147">
        <f t="shared" si="2"/>
        <v>0.00125</v>
      </c>
      <c r="I19" s="147">
        <f t="shared" si="3"/>
        <v>0.002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F3"/>
    <mergeCell ref="G3:I3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32.86"/>
    <col customWidth="1" min="3" max="4" width="34.14"/>
    <col customWidth="1" min="5" max="26" width="8.71"/>
  </cols>
  <sheetData>
    <row r="3">
      <c r="B3" s="148" t="s">
        <v>267</v>
      </c>
      <c r="C3" s="148" t="s">
        <v>311</v>
      </c>
      <c r="D3" s="148" t="s">
        <v>269</v>
      </c>
    </row>
    <row r="5">
      <c r="A5" s="149" t="s">
        <v>312</v>
      </c>
      <c r="B5" s="150" t="s">
        <v>313</v>
      </c>
      <c r="C5" s="150" t="s">
        <v>314</v>
      </c>
      <c r="D5" s="151" t="s">
        <v>315</v>
      </c>
    </row>
    <row r="6">
      <c r="A6" s="152"/>
      <c r="B6" s="153" t="s">
        <v>316</v>
      </c>
      <c r="C6" s="153" t="s">
        <v>317</v>
      </c>
      <c r="D6" s="154" t="s">
        <v>318</v>
      </c>
    </row>
    <row r="8">
      <c r="A8" s="149" t="s">
        <v>319</v>
      </c>
      <c r="B8" s="150" t="s">
        <v>320</v>
      </c>
      <c r="C8" s="150" t="s">
        <v>320</v>
      </c>
      <c r="D8" s="151" t="s">
        <v>320</v>
      </c>
    </row>
    <row r="9">
      <c r="A9" s="155"/>
      <c r="B9" s="90" t="s">
        <v>321</v>
      </c>
      <c r="C9" s="90" t="s">
        <v>321</v>
      </c>
      <c r="D9" s="156" t="s">
        <v>321</v>
      </c>
    </row>
    <row r="10">
      <c r="A10" s="152"/>
      <c r="B10" s="153"/>
      <c r="C10" s="153" t="s">
        <v>322</v>
      </c>
      <c r="D10" s="154" t="s">
        <v>322</v>
      </c>
    </row>
    <row r="12">
      <c r="A12" s="149" t="s">
        <v>323</v>
      </c>
      <c r="B12" s="150" t="s">
        <v>324</v>
      </c>
      <c r="C12" s="150" t="s">
        <v>325</v>
      </c>
      <c r="D12" s="151" t="s">
        <v>326</v>
      </c>
    </row>
    <row r="13">
      <c r="A13" s="155"/>
      <c r="B13" s="90"/>
      <c r="C13" s="90" t="s">
        <v>327</v>
      </c>
      <c r="D13" s="156" t="s">
        <v>327</v>
      </c>
    </row>
    <row r="14">
      <c r="A14" s="155"/>
      <c r="B14" s="90"/>
      <c r="C14" s="90" t="s">
        <v>328</v>
      </c>
      <c r="D14" s="156" t="s">
        <v>328</v>
      </c>
    </row>
    <row r="15">
      <c r="A15" s="152"/>
      <c r="B15" s="153"/>
      <c r="C15" s="153"/>
      <c r="D15" s="154" t="s">
        <v>329</v>
      </c>
    </row>
    <row r="17">
      <c r="A17" s="65" t="s">
        <v>330</v>
      </c>
      <c r="B17" s="65" t="s">
        <v>331</v>
      </c>
    </row>
    <row r="18">
      <c r="A18" s="65" t="s">
        <v>332</v>
      </c>
    </row>
    <row r="19">
      <c r="A19" s="65" t="s">
        <v>333</v>
      </c>
      <c r="B19" s="65" t="s">
        <v>334</v>
      </c>
      <c r="C19" s="157" t="s">
        <v>335</v>
      </c>
      <c r="D19" s="65" t="s"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2022-01-28T17:11:25Z</dcterms:created>
  <dc:creator>nalsr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0x010100F70FCAE5FFEA6C418E533058AE1C97F9</vt:lpwstr>
  </property>
</Properties>
</file>